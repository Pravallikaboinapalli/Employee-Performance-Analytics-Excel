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6f515c6f5274aab7/Desktop/"/>
    </mc:Choice>
  </mc:AlternateContent>
  <xr:revisionPtr revIDLastSave="0" documentId="8_{0F4ADD57-0479-419D-BEA9-8641A48FD0DD}" xr6:coauthVersionLast="47" xr6:coauthVersionMax="47" xr10:uidLastSave="{00000000-0000-0000-0000-000000000000}"/>
  <bookViews>
    <workbookView xWindow="-108" yWindow="-108" windowWidth="23256" windowHeight="12456" activeTab="3" xr2:uid="{00000000-000D-0000-FFFF-FFFF00000000}"/>
  </bookViews>
  <sheets>
    <sheet name="Pivot tables" sheetId="5" r:id="rId1"/>
    <sheet name="Charts" sheetId="10" r:id="rId2"/>
    <sheet name="Calculations" sheetId="2" r:id="rId3"/>
    <sheet name="Dashboard" sheetId="9" r:id="rId4"/>
  </sheets>
  <definedNames>
    <definedName name="Slicer_City1">#N/A</definedName>
    <definedName name="Slicer_Department">#N/A</definedName>
    <definedName name="Slicer_Employment_Type">#N/A</definedName>
    <definedName name="Slicer_Experience_Level">#N/A</definedName>
    <definedName name="Slicer_Gender">#N/A</definedName>
  </definedNames>
  <calcPr calcId="191029"/>
  <pivotCaches>
    <pivotCache cacheId="0" r:id="rId5"/>
    <pivotCache cacheId="4" r:id="rId6"/>
  </pivotCaches>
  <fileRecoveryPr repairLoad="1"/>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 i="2" l="1"/>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3" i="2"/>
  <c r="W4" i="2"/>
  <c r="W5" i="2"/>
  <c r="W6" i="2"/>
  <c r="W7" i="2"/>
  <c r="W8" i="2"/>
  <c r="W9" i="2"/>
  <c r="W10" i="2"/>
  <c r="W11" i="2"/>
  <c r="W12" i="2"/>
  <c r="W13" i="2"/>
  <c r="W14" i="2"/>
  <c r="W15" i="2"/>
  <c r="W16" i="2"/>
  <c r="W17" i="2"/>
  <c r="W18" i="2"/>
  <c r="W19" i="2"/>
  <c r="W20" i="2"/>
  <c r="W21" i="2"/>
  <c r="W22" i="2"/>
  <c r="W23" i="2"/>
  <c r="W24" i="2"/>
  <c r="W25" i="2"/>
  <c r="W26"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2" i="2"/>
  <c r="Y2" i="2"/>
  <c r="X2" i="2"/>
  <c r="W2" i="2"/>
  <c r="V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7584A6-CFE3-4B2F-A136-A444C57CFD9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<sst xmlns="http://schemas.openxmlformats.org/spreadsheetml/2006/main" count="11104" uniqueCount="953">
  <si>
    <t>Employee_ID</t>
  </si>
  <si>
    <t>Employee_Name</t>
  </si>
  <si>
    <t>Gender</t>
  </si>
  <si>
    <t>Age</t>
  </si>
  <si>
    <t>Department</t>
  </si>
  <si>
    <t>Designation</t>
  </si>
  <si>
    <t>City</t>
  </si>
  <si>
    <t>Joining_Date</t>
  </si>
  <si>
    <t>Experience_Years</t>
  </si>
  <si>
    <t>Salary</t>
  </si>
  <si>
    <t>Performance_Rating</t>
  </si>
  <si>
    <t>Attendance_Percent</t>
  </si>
  <si>
    <t>Overtime_Hours</t>
  </si>
  <si>
    <t>Training_Hours</t>
  </si>
  <si>
    <t>Bonus</t>
  </si>
  <si>
    <t>Manager</t>
  </si>
  <si>
    <t>Employment_Type</t>
  </si>
  <si>
    <t>Performance_Category</t>
  </si>
  <si>
    <t>Salary_Band</t>
  </si>
  <si>
    <t>Experience_Level</t>
  </si>
  <si>
    <t>Varun</t>
  </si>
  <si>
    <t>Male</t>
  </si>
  <si>
    <t>Sales</t>
  </si>
  <si>
    <t>Sales Executive</t>
  </si>
  <si>
    <t>Bengaluru</t>
  </si>
  <si>
    <t>2018-06-22</t>
  </si>
  <si>
    <t>Ramesh</t>
  </si>
  <si>
    <t>Contract</t>
  </si>
  <si>
    <t>Average</t>
  </si>
  <si>
    <t>High</t>
  </si>
  <si>
    <t>Junior</t>
  </si>
  <si>
    <t>Priya</t>
  </si>
  <si>
    <t>2024-01-15</t>
  </si>
  <si>
    <t>Suresh</t>
  </si>
  <si>
    <t>Low</t>
  </si>
  <si>
    <t>Mid Level</t>
  </si>
  <si>
    <t>Anu</t>
  </si>
  <si>
    <t>Female</t>
  </si>
  <si>
    <t>Finance</t>
  </si>
  <si>
    <t>Accountant</t>
  </si>
  <si>
    <t>2019-10-04</t>
  </si>
  <si>
    <t>Anitha</t>
  </si>
  <si>
    <t>Needs Improvement</t>
  </si>
  <si>
    <t>Rahul</t>
  </si>
  <si>
    <t>Financial Analyst</t>
  </si>
  <si>
    <t>Hyderabad</t>
  </si>
  <si>
    <t>2022-02-25</t>
  </si>
  <si>
    <t>Amit</t>
  </si>
  <si>
    <t>Full-Time</t>
  </si>
  <si>
    <t>Medium</t>
  </si>
  <si>
    <t>Senior</t>
  </si>
  <si>
    <t>Chennai</t>
  </si>
  <si>
    <t>2023-08-25</t>
  </si>
  <si>
    <t>Kavya</t>
  </si>
  <si>
    <t>Nikhil</t>
  </si>
  <si>
    <t>IT</t>
  </si>
  <si>
    <t>Data Analyst</t>
  </si>
  <si>
    <t>2019-02-01</t>
  </si>
  <si>
    <t>Good</t>
  </si>
  <si>
    <t>Mumbai</t>
  </si>
  <si>
    <t>2025-05-13</t>
  </si>
  <si>
    <t>Harsha</t>
  </si>
  <si>
    <t>HR</t>
  </si>
  <si>
    <t>HR Manager</t>
  </si>
  <si>
    <t>Pune</t>
  </si>
  <si>
    <t>2021-10-24</t>
  </si>
  <si>
    <t>Sales Manager</t>
  </si>
  <si>
    <t>2018-06-11</t>
  </si>
  <si>
    <t>Vijay</t>
  </si>
  <si>
    <t>2024-01-10</t>
  </si>
  <si>
    <t>Excellent</t>
  </si>
  <si>
    <t>Deepa</t>
  </si>
  <si>
    <t>2019-07-23</t>
  </si>
  <si>
    <t>Ajay</t>
  </si>
  <si>
    <t>2024-10-25</t>
  </si>
  <si>
    <t>Kiran</t>
  </si>
  <si>
    <t>2019-11-29</t>
  </si>
  <si>
    <t>2022-06-10</t>
  </si>
  <si>
    <t>Ravi</t>
  </si>
  <si>
    <t>Software Engineer</t>
  </si>
  <si>
    <t>2019-12-01</t>
  </si>
  <si>
    <t>2018-02-24</t>
  </si>
  <si>
    <t>2020-08-04</t>
  </si>
  <si>
    <t>Sai</t>
  </si>
  <si>
    <t>2019-02-25</t>
  </si>
  <si>
    <t>Arjun</t>
  </si>
  <si>
    <t>2018-07-23</t>
  </si>
  <si>
    <t>2019-08-07</t>
  </si>
  <si>
    <t>Manoj</t>
  </si>
  <si>
    <t>2022-11-28</t>
  </si>
  <si>
    <t>2019-01-25</t>
  </si>
  <si>
    <t>Marketing</t>
  </si>
  <si>
    <t>Marketing Executive</t>
  </si>
  <si>
    <t>2021-09-18</t>
  </si>
  <si>
    <t>2023-01-16</t>
  </si>
  <si>
    <t>2018-01-23</t>
  </si>
  <si>
    <t>2020-03-29</t>
  </si>
  <si>
    <t>HR Executive</t>
  </si>
  <si>
    <t>2020-04-02</t>
  </si>
  <si>
    <t>Meena</t>
  </si>
  <si>
    <t>2020-05-04</t>
  </si>
  <si>
    <t>SEO Analyst</t>
  </si>
  <si>
    <t>2021-07-17</t>
  </si>
  <si>
    <t>2020-11-27</t>
  </si>
  <si>
    <t>2023-06-07</t>
  </si>
  <si>
    <t>2023-03-09</t>
  </si>
  <si>
    <t>2024-11-14</t>
  </si>
  <si>
    <t>2024-08-28</t>
  </si>
  <si>
    <t>2024-07-14</t>
  </si>
  <si>
    <t>2023-10-22</t>
  </si>
  <si>
    <t>2018-10-01</t>
  </si>
  <si>
    <t>Pooja</t>
  </si>
  <si>
    <t>2023-02-10</t>
  </si>
  <si>
    <t>2019-04-18</t>
  </si>
  <si>
    <t>2022-02-18</t>
  </si>
  <si>
    <t>2019-02-23</t>
  </si>
  <si>
    <t>2022-03-21</t>
  </si>
  <si>
    <t>2023-10-16</t>
  </si>
  <si>
    <t>2020-12-27</t>
  </si>
  <si>
    <t>2021-04-06</t>
  </si>
  <si>
    <t>2021-07-18</t>
  </si>
  <si>
    <t>Keerthi</t>
  </si>
  <si>
    <t>2024-11-02</t>
  </si>
  <si>
    <t>2020-12-17</t>
  </si>
  <si>
    <t>Sonia</t>
  </si>
  <si>
    <t>2020-11-28</t>
  </si>
  <si>
    <t>2022-11-08</t>
  </si>
  <si>
    <t>2024-06-28</t>
  </si>
  <si>
    <t>2024-09-17</t>
  </si>
  <si>
    <t>2021-04-16</t>
  </si>
  <si>
    <t>2021-03-20</t>
  </si>
  <si>
    <t>2018-12-12</t>
  </si>
  <si>
    <t>2022-12-20</t>
  </si>
  <si>
    <t>2020-09-12</t>
  </si>
  <si>
    <t>2021-10-10</t>
  </si>
  <si>
    <t>2019-01-09</t>
  </si>
  <si>
    <t>2024-09-11</t>
  </si>
  <si>
    <t>2024-04-18</t>
  </si>
  <si>
    <t>2024-03-03</t>
  </si>
  <si>
    <t>2022-11-18</t>
  </si>
  <si>
    <t>2019-08-11</t>
  </si>
  <si>
    <t>2022-08-29</t>
  </si>
  <si>
    <t>2022-12-25</t>
  </si>
  <si>
    <t>Senior Developer</t>
  </si>
  <si>
    <t>2024-02-06</t>
  </si>
  <si>
    <t>2024-12-20</t>
  </si>
  <si>
    <t>2022-02-09</t>
  </si>
  <si>
    <t>2023-09-04</t>
  </si>
  <si>
    <t>Sneha</t>
  </si>
  <si>
    <t>2019-03-08</t>
  </si>
  <si>
    <t>2024-07-01</t>
  </si>
  <si>
    <t>2020-06-19</t>
  </si>
  <si>
    <t>2019-12-19</t>
  </si>
  <si>
    <t>2019-11-21</t>
  </si>
  <si>
    <t>2022-06-11</t>
  </si>
  <si>
    <t>2019-10-05</t>
  </si>
  <si>
    <t>2020-12-11</t>
  </si>
  <si>
    <t>2020-05-26</t>
  </si>
  <si>
    <t>2021-05-08</t>
  </si>
  <si>
    <t>2020-09-30</t>
  </si>
  <si>
    <t>2021-08-22</t>
  </si>
  <si>
    <t>2023-01-25</t>
  </si>
  <si>
    <t>2019-02-14</t>
  </si>
  <si>
    <t>2021-08-17</t>
  </si>
  <si>
    <t>2018-12-25</t>
  </si>
  <si>
    <t>2020-11-08</t>
  </si>
  <si>
    <t>2024-02-23</t>
  </si>
  <si>
    <t>2020-05-19</t>
  </si>
  <si>
    <t>2025-02-24</t>
  </si>
  <si>
    <t>2023-12-22</t>
  </si>
  <si>
    <t>2023-08-13</t>
  </si>
  <si>
    <t>2025-01-25</t>
  </si>
  <si>
    <t>2020-04-10</t>
  </si>
  <si>
    <t>2020-05-17</t>
  </si>
  <si>
    <t>2023-05-30</t>
  </si>
  <si>
    <t>2025-03-26</t>
  </si>
  <si>
    <t>2020-09-06</t>
  </si>
  <si>
    <t>2022-05-03</t>
  </si>
  <si>
    <t>Divya</t>
  </si>
  <si>
    <t>2019-11-08</t>
  </si>
  <si>
    <t>2021-06-30</t>
  </si>
  <si>
    <t>2020-07-05</t>
  </si>
  <si>
    <t>2018-06-09</t>
  </si>
  <si>
    <t>2020-11-05</t>
  </si>
  <si>
    <t>2022-05-24</t>
  </si>
  <si>
    <t>2021-10-05</t>
  </si>
  <si>
    <t>2018-04-25</t>
  </si>
  <si>
    <t>2019-03-15</t>
  </si>
  <si>
    <t>2020-01-22</t>
  </si>
  <si>
    <t>2020-02-13</t>
  </si>
  <si>
    <t>2019-07-04</t>
  </si>
  <si>
    <t>2021-09-15</t>
  </si>
  <si>
    <t>2019-03-09</t>
  </si>
  <si>
    <t>2022-09-22</t>
  </si>
  <si>
    <t>2018-11-29</t>
  </si>
  <si>
    <t>2018-11-18</t>
  </si>
  <si>
    <t>2024-03-02</t>
  </si>
  <si>
    <t>2024-08-25</t>
  </si>
  <si>
    <t>2018-09-15</t>
  </si>
  <si>
    <t>2020-07-12</t>
  </si>
  <si>
    <t>2022-12-12</t>
  </si>
  <si>
    <t>2022-01-01</t>
  </si>
  <si>
    <t>2021-08-14</t>
  </si>
  <si>
    <t>2024-12-25</t>
  </si>
  <si>
    <t>2020-04-01</t>
  </si>
  <si>
    <t>2019-12-28</t>
  </si>
  <si>
    <t>2024-04-28</t>
  </si>
  <si>
    <t>2022-12-27</t>
  </si>
  <si>
    <t>2021-02-25</t>
  </si>
  <si>
    <t>2018-12-03</t>
  </si>
  <si>
    <t>2024-09-24</t>
  </si>
  <si>
    <t>2024-06-03</t>
  </si>
  <si>
    <t>2019-01-05</t>
  </si>
  <si>
    <t>2021-10-17</t>
  </si>
  <si>
    <t>2020-06-04</t>
  </si>
  <si>
    <t>2020-11-01</t>
  </si>
  <si>
    <t>2022-04-05</t>
  </si>
  <si>
    <t>2025-04-21</t>
  </si>
  <si>
    <t>2024-08-12</t>
  </si>
  <si>
    <t>2019-11-22</t>
  </si>
  <si>
    <t>2018-06-14</t>
  </si>
  <si>
    <t>2022-09-03</t>
  </si>
  <si>
    <t>2018-10-28</t>
  </si>
  <si>
    <t>2020-03-19</t>
  </si>
  <si>
    <t>2018-06-10</t>
  </si>
  <si>
    <t>2019-06-25</t>
  </si>
  <si>
    <t>2018-11-03</t>
  </si>
  <si>
    <t>2020-03-23</t>
  </si>
  <si>
    <t>2023-07-31</t>
  </si>
  <si>
    <t>2022-03-16</t>
  </si>
  <si>
    <t>2021-08-05</t>
  </si>
  <si>
    <t>2020-10-09</t>
  </si>
  <si>
    <t>2022-03-10</t>
  </si>
  <si>
    <t>2018-03-17</t>
  </si>
  <si>
    <t>2025-01-26</t>
  </si>
  <si>
    <t>2024-05-17</t>
  </si>
  <si>
    <t>2018-10-06</t>
  </si>
  <si>
    <t>2021-06-06</t>
  </si>
  <si>
    <t>2022-12-24</t>
  </si>
  <si>
    <t>2019-09-30</t>
  </si>
  <si>
    <t>2018-06-19</t>
  </si>
  <si>
    <t>2021-06-03</t>
  </si>
  <si>
    <t>2018-11-01</t>
  </si>
  <si>
    <t>2018-06-24</t>
  </si>
  <si>
    <t>2024-10-30</t>
  </si>
  <si>
    <t>2021-05-29</t>
  </si>
  <si>
    <t>2022-05-12</t>
  </si>
  <si>
    <t>2022-05-13</t>
  </si>
  <si>
    <t>2022-11-12</t>
  </si>
  <si>
    <t>2018-01-06</t>
  </si>
  <si>
    <t>2020-01-17</t>
  </si>
  <si>
    <t>2020-04-11</t>
  </si>
  <si>
    <t>2023-03-31</t>
  </si>
  <si>
    <t>2018-07-06</t>
  </si>
  <si>
    <t>2021-10-18</t>
  </si>
  <si>
    <t>2022-12-28</t>
  </si>
  <si>
    <t>2023-03-02</t>
  </si>
  <si>
    <t>2023-03-26</t>
  </si>
  <si>
    <t>2019-05-17</t>
  </si>
  <si>
    <t>2022-10-15</t>
  </si>
  <si>
    <t>2018-05-27</t>
  </si>
  <si>
    <t>2020-02-25</t>
  </si>
  <si>
    <t>2023-09-08</t>
  </si>
  <si>
    <t>2024-12-10</t>
  </si>
  <si>
    <t>2019-05-15</t>
  </si>
  <si>
    <t>2018-08-03</t>
  </si>
  <si>
    <t>2022-02-23</t>
  </si>
  <si>
    <t>2021-06-09</t>
  </si>
  <si>
    <t>2021-10-16</t>
  </si>
  <si>
    <t>2024-05-30</t>
  </si>
  <si>
    <t>2022-03-30</t>
  </si>
  <si>
    <t>2024-01-24</t>
  </si>
  <si>
    <t>2020-10-26</t>
  </si>
  <si>
    <t>2022-09-06</t>
  </si>
  <si>
    <t>2023-11-14</t>
  </si>
  <si>
    <t>2019-11-24</t>
  </si>
  <si>
    <t>2022-10-28</t>
  </si>
  <si>
    <t>2021-10-15</t>
  </si>
  <si>
    <t>2024-11-18</t>
  </si>
  <si>
    <t>2019-10-17</t>
  </si>
  <si>
    <t>2018-04-30</t>
  </si>
  <si>
    <t>2024-03-24</t>
  </si>
  <si>
    <t>2020-12-29</t>
  </si>
  <si>
    <t>2018-05-03</t>
  </si>
  <si>
    <t>2019-03-19</t>
  </si>
  <si>
    <t>2024-08-17</t>
  </si>
  <si>
    <t>2021-04-05</t>
  </si>
  <si>
    <t>2024-07-29</t>
  </si>
  <si>
    <t>2019-09-28</t>
  </si>
  <si>
    <t>2023-02-16</t>
  </si>
  <si>
    <t>2022-02-15</t>
  </si>
  <si>
    <t>2019-05-12</t>
  </si>
  <si>
    <t>2021-05-21</t>
  </si>
  <si>
    <t>2020-03-30</t>
  </si>
  <si>
    <t>2020-10-20</t>
  </si>
  <si>
    <t>2018-10-21</t>
  </si>
  <si>
    <t>2022-08-02</t>
  </si>
  <si>
    <t>2019-04-12</t>
  </si>
  <si>
    <t>2023-07-14</t>
  </si>
  <si>
    <t>2018-03-02</t>
  </si>
  <si>
    <t>2022-06-23</t>
  </si>
  <si>
    <t>2023-07-07</t>
  </si>
  <si>
    <t>2021-12-25</t>
  </si>
  <si>
    <t>2021-03-29</t>
  </si>
  <si>
    <t>2021-03-28</t>
  </si>
  <si>
    <t>2020-12-05</t>
  </si>
  <si>
    <t>2023-03-05</t>
  </si>
  <si>
    <t>2023-04-02</t>
  </si>
  <si>
    <t>2022-01-23</t>
  </si>
  <si>
    <t>2021-04-13</t>
  </si>
  <si>
    <t>2020-10-24</t>
  </si>
  <si>
    <t>2018-11-15</t>
  </si>
  <si>
    <t>2021-08-24</t>
  </si>
  <si>
    <t>2025-03-31</t>
  </si>
  <si>
    <t>2021-02-28</t>
  </si>
  <si>
    <t>2025-03-28</t>
  </si>
  <si>
    <t>2019-05-27</t>
  </si>
  <si>
    <t>2023-12-13</t>
  </si>
  <si>
    <t>2023-08-06</t>
  </si>
  <si>
    <t>2024-09-30</t>
  </si>
  <si>
    <t>2020-07-19</t>
  </si>
  <si>
    <t>2025-04-27</t>
  </si>
  <si>
    <t>2023-10-14</t>
  </si>
  <si>
    <t>2018-10-22</t>
  </si>
  <si>
    <t>2022-04-24</t>
  </si>
  <si>
    <t>2018-09-01</t>
  </si>
  <si>
    <t>2019-05-08</t>
  </si>
  <si>
    <t>2022-08-21</t>
  </si>
  <si>
    <t>2022-12-03</t>
  </si>
  <si>
    <t>2022-03-03</t>
  </si>
  <si>
    <t>2021-10-22</t>
  </si>
  <si>
    <t>2019-09-01</t>
  </si>
  <si>
    <t>2024-03-27</t>
  </si>
  <si>
    <t>2019-07-20</t>
  </si>
  <si>
    <t>2022-02-04</t>
  </si>
  <si>
    <t>2022-02-17</t>
  </si>
  <si>
    <t>2021-04-30</t>
  </si>
  <si>
    <t>2022-11-16</t>
  </si>
  <si>
    <t>2024-05-06</t>
  </si>
  <si>
    <t>2021-04-29</t>
  </si>
  <si>
    <t>2023-12-12</t>
  </si>
  <si>
    <t>2025-04-18</t>
  </si>
  <si>
    <t>2018-04-12</t>
  </si>
  <si>
    <t>2024-05-24</t>
  </si>
  <si>
    <t>2020-03-28</t>
  </si>
  <si>
    <t>2025-02-22</t>
  </si>
  <si>
    <t>2022-03-20</t>
  </si>
  <si>
    <t>2019-07-07</t>
  </si>
  <si>
    <t>2022-05-25</t>
  </si>
  <si>
    <t>2019-05-26</t>
  </si>
  <si>
    <t>2018-06-04</t>
  </si>
  <si>
    <t>2018-01-13</t>
  </si>
  <si>
    <t>2023-04-08</t>
  </si>
  <si>
    <t>2022-12-04</t>
  </si>
  <si>
    <t>2024-09-16</t>
  </si>
  <si>
    <t>2025-02-20</t>
  </si>
  <si>
    <t>2023-01-17</t>
  </si>
  <si>
    <t>2018-03-21</t>
  </si>
  <si>
    <t>2020-05-15</t>
  </si>
  <si>
    <t>2020-01-20</t>
  </si>
  <si>
    <t>2023-12-05</t>
  </si>
  <si>
    <t>2020-10-12</t>
  </si>
  <si>
    <t>2025-03-18</t>
  </si>
  <si>
    <t>2018-08-07</t>
  </si>
  <si>
    <t>2023-03-18</t>
  </si>
  <si>
    <t>2022-10-02</t>
  </si>
  <si>
    <t>2022-01-15</t>
  </si>
  <si>
    <t>2024-03-25</t>
  </si>
  <si>
    <t>2021-01-18</t>
  </si>
  <si>
    <t>2019-07-26</t>
  </si>
  <si>
    <t>2022-03-25</t>
  </si>
  <si>
    <t>2020-07-31</t>
  </si>
  <si>
    <t>2024-11-07</t>
  </si>
  <si>
    <t>2022-01-21</t>
  </si>
  <si>
    <t>2019-09-29</t>
  </si>
  <si>
    <t>2023-06-11</t>
  </si>
  <si>
    <t>2024-12-17</t>
  </si>
  <si>
    <t>2024-11-12</t>
  </si>
  <si>
    <t>2019-04-07</t>
  </si>
  <si>
    <t>2019-02-26</t>
  </si>
  <si>
    <t>2024-08-30</t>
  </si>
  <si>
    <t>2023-12-21</t>
  </si>
  <si>
    <t>2022-02-19</t>
  </si>
  <si>
    <t>2023-11-02</t>
  </si>
  <si>
    <t>2018-02-28</t>
  </si>
  <si>
    <t>2024-12-23</t>
  </si>
  <si>
    <t>2022-09-09</t>
  </si>
  <si>
    <t>2018-07-02</t>
  </si>
  <si>
    <t>2024-01-27</t>
  </si>
  <si>
    <t>2018-12-17</t>
  </si>
  <si>
    <t>2023-08-21</t>
  </si>
  <si>
    <t>2021-07-06</t>
  </si>
  <si>
    <t>2024-12-24</t>
  </si>
  <si>
    <t>2019-04-21</t>
  </si>
  <si>
    <t>2022-06-16</t>
  </si>
  <si>
    <t>2020-06-11</t>
  </si>
  <si>
    <t>2021-05-28</t>
  </si>
  <si>
    <t>2023-08-22</t>
  </si>
  <si>
    <t>2020-04-24</t>
  </si>
  <si>
    <t>2019-12-25</t>
  </si>
  <si>
    <t>2019-05-07</t>
  </si>
  <si>
    <t>2019-03-30</t>
  </si>
  <si>
    <t>2021-11-22</t>
  </si>
  <si>
    <t>2025-04-19</t>
  </si>
  <si>
    <t>2024-07-26</t>
  </si>
  <si>
    <t>2019-04-08</t>
  </si>
  <si>
    <t>2020-12-21</t>
  </si>
  <si>
    <t>2020-03-27</t>
  </si>
  <si>
    <t>2021-05-31</t>
  </si>
  <si>
    <t>2018-11-23</t>
  </si>
  <si>
    <t>2019-11-28</t>
  </si>
  <si>
    <t>2019-06-28</t>
  </si>
  <si>
    <t>2021-12-09</t>
  </si>
  <si>
    <t>2024-01-05</t>
  </si>
  <si>
    <t>2024-01-03</t>
  </si>
  <si>
    <t>2018-03-16</t>
  </si>
  <si>
    <t>2018-10-14</t>
  </si>
  <si>
    <t>2022-12-01</t>
  </si>
  <si>
    <t>2023-06-29</t>
  </si>
  <si>
    <t>2022-03-11</t>
  </si>
  <si>
    <t>2025-01-22</t>
  </si>
  <si>
    <t>2024-07-18</t>
  </si>
  <si>
    <t>2024-09-02</t>
  </si>
  <si>
    <t>2024-02-13</t>
  </si>
  <si>
    <t>2020-12-12</t>
  </si>
  <si>
    <t>2018-04-16</t>
  </si>
  <si>
    <t>2021-12-26</t>
  </si>
  <si>
    <t>2024-06-16</t>
  </si>
  <si>
    <t>2023-07-24</t>
  </si>
  <si>
    <t>2021-09-19</t>
  </si>
  <si>
    <t>2024-01-26</t>
  </si>
  <si>
    <t>2024-04-23</t>
  </si>
  <si>
    <t>2025-04-30</t>
  </si>
  <si>
    <t>2019-07-11</t>
  </si>
  <si>
    <t>2023-01-23</t>
  </si>
  <si>
    <t>2021-01-19</t>
  </si>
  <si>
    <t>2020-01-19</t>
  </si>
  <si>
    <t>2019-07-17</t>
  </si>
  <si>
    <t>2023-08-24</t>
  </si>
  <si>
    <t>2024-04-09</t>
  </si>
  <si>
    <t>2024-07-07</t>
  </si>
  <si>
    <t>2024-10-12</t>
  </si>
  <si>
    <t>2021-04-02</t>
  </si>
  <si>
    <t>2021-02-09</t>
  </si>
  <si>
    <t>2022-08-27</t>
  </si>
  <si>
    <t>2023-01-01</t>
  </si>
  <si>
    <t>2023-05-02</t>
  </si>
  <si>
    <t>2020-10-16</t>
  </si>
  <si>
    <t>2018-10-25</t>
  </si>
  <si>
    <t>2024-06-09</t>
  </si>
  <si>
    <t>2021-07-16</t>
  </si>
  <si>
    <t>2018-10-03</t>
  </si>
  <si>
    <t>2021-06-07</t>
  </si>
  <si>
    <t>2018-03-04</t>
  </si>
  <si>
    <t>2024-01-18</t>
  </si>
  <si>
    <t>2018-04-15</t>
  </si>
  <si>
    <t>2024-11-24</t>
  </si>
  <si>
    <t>2019-04-24</t>
  </si>
  <si>
    <t>2021-03-31</t>
  </si>
  <si>
    <t>2018-05-09</t>
  </si>
  <si>
    <t>2021-02-05</t>
  </si>
  <si>
    <t>2019-04-30</t>
  </si>
  <si>
    <t>2024-07-22</t>
  </si>
  <si>
    <t>2022-10-25</t>
  </si>
  <si>
    <t>2022-12-05</t>
  </si>
  <si>
    <t>2020-02-15</t>
  </si>
  <si>
    <t>2022-02-12</t>
  </si>
  <si>
    <t>2024-08-29</t>
  </si>
  <si>
    <t>2024-08-06</t>
  </si>
  <si>
    <t>2019-10-14</t>
  </si>
  <si>
    <t>2021-06-20</t>
  </si>
  <si>
    <t>2024-08-02</t>
  </si>
  <si>
    <t>2023-08-08</t>
  </si>
  <si>
    <t>2024-09-23</t>
  </si>
  <si>
    <t>2025-03-12</t>
  </si>
  <si>
    <t>2024-10-14</t>
  </si>
  <si>
    <t>2018-03-30</t>
  </si>
  <si>
    <t>2020-01-25</t>
  </si>
  <si>
    <t>2024-09-01</t>
  </si>
  <si>
    <t>2018-10-10</t>
  </si>
  <si>
    <t>2019-10-22</t>
  </si>
  <si>
    <t>2021-05-12</t>
  </si>
  <si>
    <t>2022-01-02</t>
  </si>
  <si>
    <t>2019-11-18</t>
  </si>
  <si>
    <t>2020-09-13</t>
  </si>
  <si>
    <t>2018-09-17</t>
  </si>
  <si>
    <t>2018-04-22</t>
  </si>
  <si>
    <t>2025-05-12</t>
  </si>
  <si>
    <t>2019-01-21</t>
  </si>
  <si>
    <t>2025-03-29</t>
  </si>
  <si>
    <t>2019-07-21</t>
  </si>
  <si>
    <t>2020-09-22</t>
  </si>
  <si>
    <t>2020-02-22</t>
  </si>
  <si>
    <t>2019-07-10</t>
  </si>
  <si>
    <t>2019-10-03</t>
  </si>
  <si>
    <t>2018-10-11</t>
  </si>
  <si>
    <t>2018-09-08</t>
  </si>
  <si>
    <t>2023-12-14</t>
  </si>
  <si>
    <t>2024-09-29</t>
  </si>
  <si>
    <t>2018-12-20</t>
  </si>
  <si>
    <t>2018-01-12</t>
  </si>
  <si>
    <t>2019-02-24</t>
  </si>
  <si>
    <t>2021-04-18</t>
  </si>
  <si>
    <t>2023-06-21</t>
  </si>
  <si>
    <t>2018-07-14</t>
  </si>
  <si>
    <t>2020-10-08</t>
  </si>
  <si>
    <t>2023-09-11</t>
  </si>
  <si>
    <t>2024-07-24</t>
  </si>
  <si>
    <t>2024-05-19</t>
  </si>
  <si>
    <t>2018-11-12</t>
  </si>
  <si>
    <t>2022-03-27</t>
  </si>
  <si>
    <t>2022-10-31</t>
  </si>
  <si>
    <t>2020-04-16</t>
  </si>
  <si>
    <t>2023-04-15</t>
  </si>
  <si>
    <t>2020-12-10</t>
  </si>
  <si>
    <t>2021-05-17</t>
  </si>
  <si>
    <t>2021-09-14</t>
  </si>
  <si>
    <t>2018-08-21</t>
  </si>
  <si>
    <t>2019-03-16</t>
  </si>
  <si>
    <t>2020-02-17</t>
  </si>
  <si>
    <t>2023-10-07</t>
  </si>
  <si>
    <t>2019-05-20</t>
  </si>
  <si>
    <t>2021-09-23</t>
  </si>
  <si>
    <t>2019-01-26</t>
  </si>
  <si>
    <t>2018-04-24</t>
  </si>
  <si>
    <t>2021-01-13</t>
  </si>
  <si>
    <t>2022-12-30</t>
  </si>
  <si>
    <t>2023-04-10</t>
  </si>
  <si>
    <t>2018-05-08</t>
  </si>
  <si>
    <t>2018-01-04</t>
  </si>
  <si>
    <t>2023-09-20</t>
  </si>
  <si>
    <t>2022-10-03</t>
  </si>
  <si>
    <t>2019-01-10</t>
  </si>
  <si>
    <t>2018-06-05</t>
  </si>
  <si>
    <t>2024-08-27</t>
  </si>
  <si>
    <t>2024-12-16</t>
  </si>
  <si>
    <t>2022-01-22</t>
  </si>
  <si>
    <t>2018-02-15</t>
  </si>
  <si>
    <t>2022-08-12</t>
  </si>
  <si>
    <t>2019-10-15</t>
  </si>
  <si>
    <t>2024-10-27</t>
  </si>
  <si>
    <t>2021-01-29</t>
  </si>
  <si>
    <t>2022-03-14</t>
  </si>
  <si>
    <t>2021-02-16</t>
  </si>
  <si>
    <t>2019-01-29</t>
  </si>
  <si>
    <t>2018-11-22</t>
  </si>
  <si>
    <t>2020-03-26</t>
  </si>
  <si>
    <t>2020-05-23</t>
  </si>
  <si>
    <t>2022-03-01</t>
  </si>
  <si>
    <t>2021-07-09</t>
  </si>
  <si>
    <t>2020-06-01</t>
  </si>
  <si>
    <t>2021-05-24</t>
  </si>
  <si>
    <t>2022-06-25</t>
  </si>
  <si>
    <t>2020-04-14</t>
  </si>
  <si>
    <t>2018-03-31</t>
  </si>
  <si>
    <t>2025-01-27</t>
  </si>
  <si>
    <t>2020-06-29</t>
  </si>
  <si>
    <t>2018-09-24</t>
  </si>
  <si>
    <t>2020-10-13</t>
  </si>
  <si>
    <t>2020-04-05</t>
  </si>
  <si>
    <t>2019-08-04</t>
  </si>
  <si>
    <t>2023-05-05</t>
  </si>
  <si>
    <t>2020-06-02</t>
  </si>
  <si>
    <t>2018-08-22</t>
  </si>
  <si>
    <t>2021-03-27</t>
  </si>
  <si>
    <t>2021-12-20</t>
  </si>
  <si>
    <t>2023-11-08</t>
  </si>
  <si>
    <t>2019-08-13</t>
  </si>
  <si>
    <t>2024-12-21</t>
  </si>
  <si>
    <t>2021-09-09</t>
  </si>
  <si>
    <t>2020-07-21</t>
  </si>
  <si>
    <t>2018-02-27</t>
  </si>
  <si>
    <t>2024-09-20</t>
  </si>
  <si>
    <t>2022-05-17</t>
  </si>
  <si>
    <t>2023-06-26</t>
  </si>
  <si>
    <t>2020-05-07</t>
  </si>
  <si>
    <t>2023-01-12</t>
  </si>
  <si>
    <t>2019-06-23</t>
  </si>
  <si>
    <t>2021-02-18</t>
  </si>
  <si>
    <t>2023-12-02</t>
  </si>
  <si>
    <t>2023-01-11</t>
  </si>
  <si>
    <t>2022-04-01</t>
  </si>
  <si>
    <t>2020-04-04</t>
  </si>
  <si>
    <t>2022-02-28</t>
  </si>
  <si>
    <t>2021-01-22</t>
  </si>
  <si>
    <t>2023-10-23</t>
  </si>
  <si>
    <t>2018-07-31</t>
  </si>
  <si>
    <t>2022-11-11</t>
  </si>
  <si>
    <t>2021-11-25</t>
  </si>
  <si>
    <t>2025-02-17</t>
  </si>
  <si>
    <t>2023-05-25</t>
  </si>
  <si>
    <t>2021-09-01</t>
  </si>
  <si>
    <t>2020-03-16</t>
  </si>
  <si>
    <t>2018-12-11</t>
  </si>
  <si>
    <t>2022-07-20</t>
  </si>
  <si>
    <t>2025-04-02</t>
  </si>
  <si>
    <t>2023-10-29</t>
  </si>
  <si>
    <t>2024-03-18</t>
  </si>
  <si>
    <t>2018-12-08</t>
  </si>
  <si>
    <t>2023-01-19</t>
  </si>
  <si>
    <t>2022-01-19</t>
  </si>
  <si>
    <t>2020-12-03</t>
  </si>
  <si>
    <t>2018-02-14</t>
  </si>
  <si>
    <t>2022-01-10</t>
  </si>
  <si>
    <t>2019-03-04</t>
  </si>
  <si>
    <t>2019-08-25</t>
  </si>
  <si>
    <t>2025-05-18</t>
  </si>
  <si>
    <t>2021-10-02</t>
  </si>
  <si>
    <t>2024-04-21</t>
  </si>
  <si>
    <t>2019-01-03</t>
  </si>
  <si>
    <t>2022-03-02</t>
  </si>
  <si>
    <t>2024-02-14</t>
  </si>
  <si>
    <t>2020-08-18</t>
  </si>
  <si>
    <t>2019-12-29</t>
  </si>
  <si>
    <t>2020-08-21</t>
  </si>
  <si>
    <t>2022-04-27</t>
  </si>
  <si>
    <t>2018-02-22</t>
  </si>
  <si>
    <t>2023-10-21</t>
  </si>
  <si>
    <t>2018-01-05</t>
  </si>
  <si>
    <t>2018-03-13</t>
  </si>
  <si>
    <t>2020-11-12</t>
  </si>
  <si>
    <t>2025-01-19</t>
  </si>
  <si>
    <t>2021-02-07</t>
  </si>
  <si>
    <t>2022-04-12</t>
  </si>
  <si>
    <t>2021-07-25</t>
  </si>
  <si>
    <t>2023-01-27</t>
  </si>
  <si>
    <t>2022-01-07</t>
  </si>
  <si>
    <t>2018-08-25</t>
  </si>
  <si>
    <t>2022-09-17</t>
  </si>
  <si>
    <t>2025-01-12</t>
  </si>
  <si>
    <t>2019-07-28</t>
  </si>
  <si>
    <t>2019-06-21</t>
  </si>
  <si>
    <t>2019-08-21</t>
  </si>
  <si>
    <t>2021-11-06</t>
  </si>
  <si>
    <t>2020-04-07</t>
  </si>
  <si>
    <t>2018-04-23</t>
  </si>
  <si>
    <t>2019-08-15</t>
  </si>
  <si>
    <t>2021-03-11</t>
  </si>
  <si>
    <t>2021-09-07</t>
  </si>
  <si>
    <t>2022-04-04</t>
  </si>
  <si>
    <t>2019-07-24</t>
  </si>
  <si>
    <t>2020-08-11</t>
  </si>
  <si>
    <t>2021-01-26</t>
  </si>
  <si>
    <t>2020-01-10</t>
  </si>
  <si>
    <t>2018-03-11</t>
  </si>
  <si>
    <t>2020-02-26</t>
  </si>
  <si>
    <t>2022-09-12</t>
  </si>
  <si>
    <t>2020-08-09</t>
  </si>
  <si>
    <t>2024-05-05</t>
  </si>
  <si>
    <t>2020-08-31</t>
  </si>
  <si>
    <t>2023-06-15</t>
  </si>
  <si>
    <t>2018-02-08</t>
  </si>
  <si>
    <t>2022-08-16</t>
  </si>
  <si>
    <t>2023-03-17</t>
  </si>
  <si>
    <t>2024-10-17</t>
  </si>
  <si>
    <t>2022-07-12</t>
  </si>
  <si>
    <t>2020-07-22</t>
  </si>
  <si>
    <t>2021-10-25</t>
  </si>
  <si>
    <t>2020-10-17</t>
  </si>
  <si>
    <t>2022-05-11</t>
  </si>
  <si>
    <t>2020-09-01</t>
  </si>
  <si>
    <t>2025-04-07</t>
  </si>
  <si>
    <t>2025-02-10</t>
  </si>
  <si>
    <t>2020-03-12</t>
  </si>
  <si>
    <t>2022-12-26</t>
  </si>
  <si>
    <t>2019-08-19</t>
  </si>
  <si>
    <t>2022-05-20</t>
  </si>
  <si>
    <t>2019-10-18</t>
  </si>
  <si>
    <t>2018-09-05</t>
  </si>
  <si>
    <t>2019-12-30</t>
  </si>
  <si>
    <t>2019-07-15</t>
  </si>
  <si>
    <t>2022-10-24</t>
  </si>
  <si>
    <t>2023-03-21</t>
  </si>
  <si>
    <t>2024-04-11</t>
  </si>
  <si>
    <t>2021-11-03</t>
  </si>
  <si>
    <t>2023-07-10</t>
  </si>
  <si>
    <t>2019-08-02</t>
  </si>
  <si>
    <t>2023-06-30</t>
  </si>
  <si>
    <t>2019-09-23</t>
  </si>
  <si>
    <t>2024-02-11</t>
  </si>
  <si>
    <t>2023-03-03</t>
  </si>
  <si>
    <t>2021-12-31</t>
  </si>
  <si>
    <t>2018-12-06</t>
  </si>
  <si>
    <t>2023-09-07</t>
  </si>
  <si>
    <t>2021-06-25</t>
  </si>
  <si>
    <t>2024-09-25</t>
  </si>
  <si>
    <t>2023-03-15</t>
  </si>
  <si>
    <t>2020-10-04</t>
  </si>
  <si>
    <t>2024-06-07</t>
  </si>
  <si>
    <t>2022-11-20</t>
  </si>
  <si>
    <t>2021-10-23</t>
  </si>
  <si>
    <t>2018-01-19</t>
  </si>
  <si>
    <t>2022-01-26</t>
  </si>
  <si>
    <t>2018-09-26</t>
  </si>
  <si>
    <t>2020-07-10</t>
  </si>
  <si>
    <t>2018-10-13</t>
  </si>
  <si>
    <t>2018-04-26</t>
  </si>
  <si>
    <t>2020-08-27</t>
  </si>
  <si>
    <t>2019-01-23</t>
  </si>
  <si>
    <t>2024-11-03</t>
  </si>
  <si>
    <t>2022-08-07</t>
  </si>
  <si>
    <t>2018-02-16</t>
  </si>
  <si>
    <t>2019-11-17</t>
  </si>
  <si>
    <t>2024-07-03</t>
  </si>
  <si>
    <t>2024-04-26</t>
  </si>
  <si>
    <t>2022-09-04</t>
  </si>
  <si>
    <t>2024-05-15</t>
  </si>
  <si>
    <t>2019-07-19</t>
  </si>
  <si>
    <t>2020-07-13</t>
  </si>
  <si>
    <t>2024-09-14</t>
  </si>
  <si>
    <t>2018-03-06</t>
  </si>
  <si>
    <t>2020-10-19</t>
  </si>
  <si>
    <t>2025-03-19</t>
  </si>
  <si>
    <t>2023-04-12</t>
  </si>
  <si>
    <t>2019-12-17</t>
  </si>
  <si>
    <t>2024-02-24</t>
  </si>
  <si>
    <t>2022-05-23</t>
  </si>
  <si>
    <t>2021-08-15</t>
  </si>
  <si>
    <t>2023-01-29</t>
  </si>
  <si>
    <t>2021-09-04</t>
  </si>
  <si>
    <t>2020-05-03</t>
  </si>
  <si>
    <t>2022-05-16</t>
  </si>
  <si>
    <t>2023-11-24</t>
  </si>
  <si>
    <t>2019-10-10</t>
  </si>
  <si>
    <t>2020-07-23</t>
  </si>
  <si>
    <t>2022-07-26</t>
  </si>
  <si>
    <t>2022-11-25</t>
  </si>
  <si>
    <t>2023-12-30</t>
  </si>
  <si>
    <t>2022-05-31</t>
  </si>
  <si>
    <t>2018-07-15</t>
  </si>
  <si>
    <t>2019-12-20</t>
  </si>
  <si>
    <t>2023-10-04</t>
  </si>
  <si>
    <t>2024-07-06</t>
  </si>
  <si>
    <t>2020-01-15</t>
  </si>
  <si>
    <t>2019-10-08</t>
  </si>
  <si>
    <t>2022-04-29</t>
  </si>
  <si>
    <t>2019-01-06</t>
  </si>
  <si>
    <t>2020-06-21</t>
  </si>
  <si>
    <t>2021-02-12</t>
  </si>
  <si>
    <t>2024-07-17</t>
  </si>
  <si>
    <t>2018-05-28</t>
  </si>
  <si>
    <t>2021-09-26</t>
  </si>
  <si>
    <t>2023-06-28</t>
  </si>
  <si>
    <t>2020-11-29</t>
  </si>
  <si>
    <t>2019-11-09</t>
  </si>
  <si>
    <t>2022-11-03</t>
  </si>
  <si>
    <t>2018-11-07</t>
  </si>
  <si>
    <t>2018-10-08</t>
  </si>
  <si>
    <t>2025-02-23</t>
  </si>
  <si>
    <t>2020-07-26</t>
  </si>
  <si>
    <t>2023-11-18</t>
  </si>
  <si>
    <t>2020-04-30</t>
  </si>
  <si>
    <t>2022-10-17</t>
  </si>
  <si>
    <t>2024-12-22</t>
  </si>
  <si>
    <t>2019-02-12</t>
  </si>
  <si>
    <t>2020-09-27</t>
  </si>
  <si>
    <t>2018-08-16</t>
  </si>
  <si>
    <t>2018-05-10</t>
  </si>
  <si>
    <t>2019-10-16</t>
  </si>
  <si>
    <t>2019-01-15</t>
  </si>
  <si>
    <t>2021-03-26</t>
  </si>
  <si>
    <t>2023-08-10</t>
  </si>
  <si>
    <t>2024-02-10</t>
  </si>
  <si>
    <t>2022-04-26</t>
  </si>
  <si>
    <t>2025-03-14</t>
  </si>
  <si>
    <t>2021-07-12</t>
  </si>
  <si>
    <t>2018-06-07</t>
  </si>
  <si>
    <t>2025-04-15</t>
  </si>
  <si>
    <t>2018-06-26</t>
  </si>
  <si>
    <t>2019-01-22</t>
  </si>
  <si>
    <t>2018-05-29</t>
  </si>
  <si>
    <t>2019-01-20</t>
  </si>
  <si>
    <t>2019-09-05</t>
  </si>
  <si>
    <t>2020-05-06</t>
  </si>
  <si>
    <t>2018-11-16</t>
  </si>
  <si>
    <t>2022-04-10</t>
  </si>
  <si>
    <t>2019-05-22</t>
  </si>
  <si>
    <t>2020-03-11</t>
  </si>
  <si>
    <t>2019-12-14</t>
  </si>
  <si>
    <t>2021-04-03</t>
  </si>
  <si>
    <t>2018-09-09</t>
  </si>
  <si>
    <t>2019-02-15</t>
  </si>
  <si>
    <t>2022-07-22</t>
  </si>
  <si>
    <t>2024-11-30</t>
  </si>
  <si>
    <t>2022-08-10</t>
  </si>
  <si>
    <t>2023-08-11</t>
  </si>
  <si>
    <t>2020-05-13</t>
  </si>
  <si>
    <t>2020-11-02</t>
  </si>
  <si>
    <t>2023-12-25</t>
  </si>
  <si>
    <t>2021-02-14</t>
  </si>
  <si>
    <t>2024-04-13</t>
  </si>
  <si>
    <t>2024-07-10</t>
  </si>
  <si>
    <t>2024-03-23</t>
  </si>
  <si>
    <t>2021-11-09</t>
  </si>
  <si>
    <t>2024-12-01</t>
  </si>
  <si>
    <t>2021-02-27</t>
  </si>
  <si>
    <t>2025-04-20</t>
  </si>
  <si>
    <t>2023-03-30</t>
  </si>
  <si>
    <t>2018-03-29</t>
  </si>
  <si>
    <t>2018-11-04</t>
  </si>
  <si>
    <t>2019-07-25</t>
  </si>
  <si>
    <t>2021-01-03</t>
  </si>
  <si>
    <t>2019-09-06</t>
  </si>
  <si>
    <t>2025-03-23</t>
  </si>
  <si>
    <t>2018-02-13</t>
  </si>
  <si>
    <t>2018-01-07</t>
  </si>
  <si>
    <t>2020-03-15</t>
  </si>
  <si>
    <t>2020-06-17</t>
  </si>
  <si>
    <t>2020-02-03</t>
  </si>
  <si>
    <t>2020-02-08</t>
  </si>
  <si>
    <t>2022-07-23</t>
  </si>
  <si>
    <t>2020-07-17</t>
  </si>
  <si>
    <t>2018-08-12</t>
  </si>
  <si>
    <t>2020-04-12</t>
  </si>
  <si>
    <t>2022-10-08</t>
  </si>
  <si>
    <t>2018-03-25</t>
  </si>
  <si>
    <t>2018-04-05</t>
  </si>
  <si>
    <t>2020-12-18</t>
  </si>
  <si>
    <t>2018-01-30</t>
  </si>
  <si>
    <t>2025-02-12</t>
  </si>
  <si>
    <t>2023-11-19</t>
  </si>
  <si>
    <t>2020-02-07</t>
  </si>
  <si>
    <t>2020-05-30</t>
  </si>
  <si>
    <t>2023-03-19</t>
  </si>
  <si>
    <t>2022-06-17</t>
  </si>
  <si>
    <t>2018-01-18</t>
  </si>
  <si>
    <t>2019-06-08</t>
  </si>
  <si>
    <t>2023-11-17</t>
  </si>
  <si>
    <t>2020-02-18</t>
  </si>
  <si>
    <t>2018-08-14</t>
  </si>
  <si>
    <t>2024-11-15</t>
  </si>
  <si>
    <t>2022-08-13</t>
  </si>
  <si>
    <t>2018-02-12</t>
  </si>
  <si>
    <t>2018-07-11</t>
  </si>
  <si>
    <t>2018-11-11</t>
  </si>
  <si>
    <t>2018-12-28</t>
  </si>
  <si>
    <t>2023-06-09</t>
  </si>
  <si>
    <t>2022-09-25</t>
  </si>
  <si>
    <t>2019-06-16</t>
  </si>
  <si>
    <t>2023-05-19</t>
  </si>
  <si>
    <t>2025-02-26</t>
  </si>
  <si>
    <t>2022-11-09</t>
  </si>
  <si>
    <t>2020-11-17</t>
  </si>
  <si>
    <t>2019-08-09</t>
  </si>
  <si>
    <t>2021-12-05</t>
  </si>
  <si>
    <t>2022-05-06</t>
  </si>
  <si>
    <t>2020-09-25</t>
  </si>
  <si>
    <t>2024-04-12</t>
  </si>
  <si>
    <t>2021-05-05</t>
  </si>
  <si>
    <t>2019-06-18</t>
  </si>
  <si>
    <t>2022-06-30</t>
  </si>
  <si>
    <t>2021-10-29</t>
  </si>
  <si>
    <t>2023-03-04</t>
  </si>
  <si>
    <t>2019-09-13</t>
  </si>
  <si>
    <t>2018-09-03</t>
  </si>
  <si>
    <t>2020-05-28</t>
  </si>
  <si>
    <t>2020-12-28</t>
  </si>
  <si>
    <t>2020-08-12</t>
  </si>
  <si>
    <t>2022-02-02</t>
  </si>
  <si>
    <t>2020-08-23</t>
  </si>
  <si>
    <t>2019-10-23</t>
  </si>
  <si>
    <t>2023-10-13</t>
  </si>
  <si>
    <t>2022-03-07</t>
  </si>
  <si>
    <t>2023-04-03</t>
  </si>
  <si>
    <t>2020-07-11</t>
  </si>
  <si>
    <t>2020-12-06</t>
  </si>
  <si>
    <t>2020-11-09</t>
  </si>
  <si>
    <t>2021-04-17</t>
  </si>
  <si>
    <t>2019-06-26</t>
  </si>
  <si>
    <t>2018-07-25</t>
  </si>
  <si>
    <t>2024-07-30</t>
  </si>
  <si>
    <t>2022-09-10</t>
  </si>
  <si>
    <t>2020-05-05</t>
  </si>
  <si>
    <t>2024-07-31</t>
  </si>
  <si>
    <t>2022-06-19</t>
  </si>
  <si>
    <t>2020-10-21</t>
  </si>
  <si>
    <t>2023-02-21</t>
  </si>
  <si>
    <t>2021-01-15</t>
  </si>
  <si>
    <t>2020-08-15</t>
  </si>
  <si>
    <t>2019-02-09</t>
  </si>
  <si>
    <t>2025-01-30</t>
  </si>
  <si>
    <t>2020-08-08</t>
  </si>
  <si>
    <t>2018-05-21</t>
  </si>
  <si>
    <t>2018-09-30</t>
  </si>
  <si>
    <t>2018-10-17</t>
  </si>
  <si>
    <t>2021-07-31</t>
  </si>
  <si>
    <t>2019-06-09</t>
  </si>
  <si>
    <t>2021-05-15</t>
  </si>
  <si>
    <t>2021-09-20</t>
  </si>
  <si>
    <t>2021-03-07</t>
  </si>
  <si>
    <t>2019-12-13</t>
  </si>
  <si>
    <t>2019-08-30</t>
  </si>
  <si>
    <t>2025-03-30</t>
  </si>
  <si>
    <t>2024-10-13</t>
  </si>
  <si>
    <t>2018-06-12</t>
  </si>
  <si>
    <t>2019-06-27</t>
  </si>
  <si>
    <t>2023-09-28</t>
  </si>
  <si>
    <t>2022-12-17</t>
  </si>
  <si>
    <t>2020-11-25</t>
  </si>
  <si>
    <t>2022-01-04</t>
  </si>
  <si>
    <t>2019-03-29</t>
  </si>
  <si>
    <t>2024-02-20</t>
  </si>
  <si>
    <t>2024-10-15</t>
  </si>
  <si>
    <t>2025-03-20</t>
  </si>
  <si>
    <t>2022-10-20</t>
  </si>
  <si>
    <t>2023-07-23</t>
  </si>
  <si>
    <t>2019-05-31</t>
  </si>
  <si>
    <t>2018-12-07</t>
  </si>
  <si>
    <t>2021-11-29</t>
  </si>
  <si>
    <t>2022-11-17</t>
  </si>
  <si>
    <t>2023-08-31</t>
  </si>
  <si>
    <t>2019-09-14</t>
  </si>
  <si>
    <t>2023-04-07</t>
  </si>
  <si>
    <t>2021-08-21</t>
  </si>
  <si>
    <t>2024-05-28</t>
  </si>
  <si>
    <t>2020-02-09</t>
  </si>
  <si>
    <t>2018-12-02</t>
  </si>
  <si>
    <t>2020-07-08</t>
  </si>
  <si>
    <t>2021-09-30</t>
  </si>
  <si>
    <t>2022-08-09</t>
  </si>
  <si>
    <t>2023-11-25</t>
  </si>
  <si>
    <t>2023-07-19</t>
  </si>
  <si>
    <t>2023-12-15</t>
  </si>
  <si>
    <t>2019-12-18</t>
  </si>
  <si>
    <t>2018-07-09</t>
  </si>
  <si>
    <t>2024-04-05</t>
  </si>
  <si>
    <t>2022-07-30</t>
  </si>
  <si>
    <t>2023-07-08</t>
  </si>
  <si>
    <t>2020-07-18</t>
  </si>
  <si>
    <t>2022-12-15</t>
  </si>
  <si>
    <t>2020-02-27</t>
  </si>
  <si>
    <t>Total Compensation</t>
  </si>
  <si>
    <t>Attendance Status</t>
  </si>
  <si>
    <t>Overtime Category</t>
  </si>
  <si>
    <t>Experience Group</t>
  </si>
  <si>
    <t>Age Group</t>
  </si>
  <si>
    <t>Row Labels</t>
  </si>
  <si>
    <t>Grand Total</t>
  </si>
  <si>
    <t>Average of Salary</t>
  </si>
  <si>
    <t>Average of Performance_Rating</t>
  </si>
  <si>
    <t>Sum of Employee_ID</t>
  </si>
  <si>
    <t>Count of Employee_ID</t>
  </si>
  <si>
    <t>Average of Attendance_Percent</t>
  </si>
  <si>
    <r>
      <rPr>
        <b/>
        <sz val="12"/>
        <color rgb="FFFF0000"/>
        <rFont val="Calibri"/>
        <family val="2"/>
      </rPr>
      <t>📉 Lowest Salary</t>
    </r>
    <r>
      <rPr>
        <b/>
        <sz val="12"/>
        <rFont val="Calibri"/>
      </rPr>
      <t xml:space="preserve">
₹30,000</t>
    </r>
  </si>
  <si>
    <r>
      <rPr>
        <b/>
        <sz val="12"/>
        <color rgb="FFFFC000"/>
        <rFont val="Calibri"/>
        <family val="2"/>
      </rPr>
      <t>🎁 Avg Bonus</t>
    </r>
    <r>
      <rPr>
        <b/>
        <sz val="12"/>
        <rFont val="Calibri"/>
      </rPr>
      <t xml:space="preserve">
₹8,500</t>
    </r>
  </si>
  <si>
    <r>
      <rPr>
        <b/>
        <sz val="12"/>
        <color theme="3"/>
        <rFont val="Calibri"/>
        <family val="2"/>
      </rPr>
      <t>💼 Total Comp.</t>
    </r>
    <r>
      <rPr>
        <b/>
        <sz val="12"/>
        <rFont val="Calibri"/>
      </rPr>
      <t xml:space="preserve">
₹6.90 CR</t>
    </r>
  </si>
  <si>
    <r>
      <rPr>
        <b/>
        <sz val="12"/>
        <color theme="6"/>
        <rFont val="Calibri"/>
        <family val="2"/>
      </rPr>
      <t>₹  Avg Salary</t>
    </r>
    <r>
      <rPr>
        <b/>
        <sz val="12"/>
        <rFont val="Calibri"/>
        <family val="2"/>
      </rPr>
      <t xml:space="preserve">
₹60,287</t>
    </r>
  </si>
  <si>
    <r>
      <rPr>
        <b/>
        <sz val="12"/>
        <color theme="7" tint="-0.249977111117893"/>
        <rFont val="Calibri"/>
        <family val="2"/>
      </rPr>
      <t>⭐ Avg Rating</t>
    </r>
    <r>
      <rPr>
        <b/>
        <sz val="12"/>
        <rFont val="Calibri"/>
        <family val="2"/>
      </rPr>
      <t xml:space="preserve">
3.71</t>
    </r>
  </si>
  <si>
    <r>
      <rPr>
        <b/>
        <sz val="12"/>
        <color theme="9"/>
        <rFont val="Calibri"/>
        <family val="2"/>
      </rPr>
      <t>📅 Attendance</t>
    </r>
    <r>
      <rPr>
        <b/>
        <sz val="12"/>
        <rFont val="Calibri"/>
        <family val="2"/>
      </rPr>
      <t xml:space="preserve">
91%</t>
    </r>
  </si>
  <si>
    <r>
      <rPr>
        <b/>
        <sz val="12"/>
        <color rgb="FF52ECE1"/>
        <rFont val="Calibri"/>
        <family val="2"/>
      </rPr>
      <t>📈 Highest Salary</t>
    </r>
    <r>
      <rPr>
        <b/>
        <sz val="12"/>
        <rFont val="Calibri"/>
        <family val="2"/>
      </rPr>
      <t xml:space="preserve">
₹1,20,000</t>
    </r>
  </si>
  <si>
    <t>Pivot Charts</t>
  </si>
  <si>
    <t xml:space="preserve">  Employee Performance Analytics Dashboard</t>
  </si>
  <si>
    <r>
      <t xml:space="preserve">👥Total Emp </t>
    </r>
    <r>
      <rPr>
        <b/>
        <sz val="12"/>
        <rFont val="Calibri"/>
        <family val="2"/>
      </rPr>
      <t>1,000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</si>
</sst>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2"/>
      <name val="Calibri"/>
    </font>
    <font>
      <b/>
      <sz val="12"/>
      <color theme="6"/>
      <name val="Calibri"/>
      <family val="2"/>
    </font>
    <font>
      <b/>
      <sz val="12"/>
      <name val="Calibri"/>
      <family val="2"/>
    </font>
    <font>
      <b/>
      <sz val="12"/>
      <color theme="3"/>
      <name val="Calibri"/>
      <family val="2"/>
    </font>
    <font>
      <b/>
      <sz val="12"/>
      <color theme="7" tint="-0.249977111117893"/>
      <name val="Calibri"/>
      <family val="2"/>
    </font>
    <font>
      <b/>
      <sz val="12"/>
      <color theme="9"/>
      <name val="Calibri"/>
      <family val="2"/>
    </font>
    <font>
      <b/>
      <sz val="12"/>
      <color rgb="FF52ECE1"/>
      <name val="Calibri"/>
      <family val="2"/>
    </font>
    <font>
      <b/>
      <sz val="12"/>
      <color rgb="FFFF0000"/>
      <name val="Calibri"/>
      <family val="2"/>
    </font>
    <font>
      <b/>
      <sz val="12"/>
      <color rgb="FFFFC000"/>
      <name val="Calibri"/>
      <family val="2"/>
    </font>
    <font>
      <b/>
      <sz val="16"/>
      <color theme="1"/>
      <name val="Calibri"/>
      <family val="2"/>
      <scheme val="minor"/>
    </font>
    <font>
      <b/>
      <sz val="22"/>
      <color theme="3"/>
      <name val="Calibri"/>
      <family val="2"/>
    </font>
    <font>
      <b/>
      <sz val="22"/>
      <color theme="0"/>
      <name val="Calibri"/>
      <family val="2"/>
    </font>
  </fonts>
  <fills count="4">
    <fill>
      <patternFill patternType="none"/>
    </fill>
    <fill>
      <patternFill patternType="gray125"/>
    </fill>
    <fill>
      <patternFill patternType="solid">
        <fgColor rgb="FFDDEBF7"/>
      </patternFill>
    </fill>
    <fill>
      <patternFill patternType="solid">
        <fgColor theme="3"/>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xf numFmtId="0" fontId="5" fillId="2" borderId="0"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0" fillId="0" borderId="0" xfId="0" applyBorder="1" applyAlignment="1">
      <alignment horizontal="center"/>
    </xf>
    <xf numFmtId="0" fontId="0" fillId="0" borderId="0" xfId="0" applyBorder="1"/>
    <xf numFmtId="0" fontId="11" fillId="0" borderId="0" xfId="0" applyFont="1" applyAlignment="1">
      <alignment horizontal="center"/>
    </xf>
    <xf numFmtId="0" fontId="12" fillId="3" borderId="0" xfId="0" applyFont="1" applyFill="1" applyBorder="1" applyAlignment="1">
      <alignment horizontal="center" vertical="center"/>
    </xf>
    <xf numFmtId="0" fontId="13" fillId="3" borderId="0" xfId="0" applyFont="1" applyFill="1" applyBorder="1" applyAlignment="1">
      <alignment horizontal="center" vertical="center"/>
    </xf>
    <xf numFmtId="1" fontId="0" fillId="0" borderId="0" xfId="0" applyNumberFormat="1"/>
  </cellXfs>
  <cellStyles count="1">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colors>
    <mruColors>
      <color rgb="FF52EC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[Employee_Performance_Analytics_Dashboard.xlsx]Pivot tables!PivotTable2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rPr>
              <a:t>Average Salary by Department</a:t>
            </a:r>
            <a:endParaRPr lang="en-US" sz="1800">
              <a:solidFill>
                <a:schemeClr val="tx2"/>
              </a:solidFill>
            </a:endParaRPr>
          </a:p>
        </c:rich>
      </c:tx>
      <c:layout>
        <c:manualLayout>
          <c:xMode val="edge"/>
          <c:yMode val="edge"/>
          <c:x val="0.21922554033213246"/>
          <c:y val="4.51851970448169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Finance</c:v>
                </c:pt>
                <c:pt idx="1">
                  <c:v>HR</c:v>
                </c:pt>
                <c:pt idx="2">
                  <c:v>IT</c:v>
                </c:pt>
                <c:pt idx="3">
                  <c:v>Marketing</c:v>
                </c:pt>
                <c:pt idx="4">
                  <c:v>Sales</c:v>
                </c:pt>
              </c:strCache>
            </c:strRef>
          </c:cat>
          <c:val>
            <c:numRef>
              <c:f>'Pivot tables'!$B$4:$B$9</c:f>
              <c:numCache>
                <c:formatCode>0</c:formatCode>
                <c:ptCount val="5"/>
                <c:pt idx="0">
                  <c:v>60690.961722488035</c:v>
                </c:pt>
                <c:pt idx="1">
                  <c:v>58649.103960396038</c:v>
                </c:pt>
                <c:pt idx="2">
                  <c:v>61216.648241206029</c:v>
                </c:pt>
                <c:pt idx="3">
                  <c:v>61339.221052631576</c:v>
                </c:pt>
                <c:pt idx="4">
                  <c:v>59573.768041237112</c:v>
                </c:pt>
              </c:numCache>
            </c:numRef>
          </c:val>
          <c:extLst>
            <c:ext xmlns:c16="http://schemas.microsoft.com/office/drawing/2014/chart" uri="{C3380CC4-5D6E-409C-BE32-E72D297353CC}">
              <c16:uniqueId val="{00000000-0CF7-4B97-ABFF-6276129B9DB5}"/>
            </c:ext>
          </c:extLst>
        </c:ser>
        <c:dLbls>
          <c:dLblPos val="outEnd"/>
          <c:showLegendKey val="0"/>
          <c:showVal val="1"/>
          <c:showCatName val="0"/>
          <c:showSerName val="0"/>
          <c:showPercent val="0"/>
          <c:showBubbleSize val="0"/>
        </c:dLbls>
        <c:gapWidth val="219"/>
        <c:overlap val="-27"/>
        <c:axId val="1470765951"/>
        <c:axId val="306372591"/>
      </c:barChart>
      <c:catAx>
        <c:axId val="147076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72591"/>
        <c:crosses val="autoZero"/>
        <c:auto val="1"/>
        <c:lblAlgn val="ctr"/>
        <c:lblOffset val="100"/>
        <c:noMultiLvlLbl val="0"/>
      </c:catAx>
      <c:valAx>
        <c:axId val="306372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76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[Employee_Performance_Analytics_Dashboard.xlsx]Pivot tables!PivotTable3</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latin typeface="+mn-lt"/>
              </a:rPr>
              <a:t>Average Performance by Department</a:t>
            </a:r>
          </a:p>
          <a:p>
            <a:pPr>
              <a:defRPr/>
            </a:pPr>
            <a:endParaRPr lang="en-US"/>
          </a:p>
        </c:rich>
      </c:tx>
      <c:layout>
        <c:manualLayout>
          <c:xMode val="edge"/>
          <c:yMode val="edge"/>
          <c:x val="0.16680612984136825"/>
          <c:y val="4.45184485466910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pPr>
            <a:solidFill>
              <a:schemeClr val="accent3"/>
            </a:solidFill>
            <a:ln w="9525">
              <a:solidFill>
                <a:schemeClr val="accent3"/>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tables'!$D$4:$D$9</c:f>
              <c:strCache>
                <c:ptCount val="5"/>
                <c:pt idx="0">
                  <c:v>Finance</c:v>
                </c:pt>
                <c:pt idx="1">
                  <c:v>HR</c:v>
                </c:pt>
                <c:pt idx="2">
                  <c:v>IT</c:v>
                </c:pt>
                <c:pt idx="3">
                  <c:v>Marketing</c:v>
                </c:pt>
                <c:pt idx="4">
                  <c:v>Sales</c:v>
                </c:pt>
              </c:strCache>
            </c:strRef>
          </c:cat>
          <c:val>
            <c:numRef>
              <c:f>'Pivot tables'!$E$4:$E$9</c:f>
              <c:numCache>
                <c:formatCode>General</c:formatCode>
                <c:ptCount val="5"/>
                <c:pt idx="0">
                  <c:v>3.6976303317535559</c:v>
                </c:pt>
                <c:pt idx="1">
                  <c:v>3.7882352941176474</c:v>
                </c:pt>
                <c:pt idx="2">
                  <c:v>3.6590000000000003</c:v>
                </c:pt>
                <c:pt idx="3">
                  <c:v>3.69</c:v>
                </c:pt>
                <c:pt idx="4">
                  <c:v>3.7225641025641036</c:v>
                </c:pt>
              </c:numCache>
            </c:numRef>
          </c:val>
          <c:extLst>
            <c:ext xmlns:c16="http://schemas.microsoft.com/office/drawing/2014/chart" uri="{C3380CC4-5D6E-409C-BE32-E72D297353CC}">
              <c16:uniqueId val="{00000000-0B17-46DB-8706-27050BE1F61F}"/>
            </c:ext>
          </c:extLst>
        </c:ser>
        <c:dLbls>
          <c:dLblPos val="outEnd"/>
          <c:showLegendKey val="0"/>
          <c:showVal val="1"/>
          <c:showCatName val="0"/>
          <c:showSerName val="0"/>
          <c:showPercent val="0"/>
          <c:showBubbleSize val="0"/>
        </c:dLbls>
        <c:gapWidth val="182"/>
        <c:axId val="1470816991"/>
        <c:axId val="306365391"/>
      </c:barChart>
      <c:catAx>
        <c:axId val="147081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5391"/>
        <c:crosses val="autoZero"/>
        <c:auto val="1"/>
        <c:lblAlgn val="ctr"/>
        <c:lblOffset val="100"/>
        <c:noMultiLvlLbl val="0"/>
      </c:catAx>
      <c:valAx>
        <c:axId val="306365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81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[Employee_Performance_Analytics_Dashboard.xlsx]Pivot tables!PivotTable4</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b="0">
                <a:solidFill>
                  <a:schemeClr val="tx2"/>
                </a:solidFill>
              </a:rPr>
              <a:t>Employee Count by Department</a:t>
            </a:r>
            <a:endParaRPr lang="en-US" sz="1800" b="0">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tables'!$H$3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tables'!$G$4:$G$9</c:f>
              <c:strCache>
                <c:ptCount val="5"/>
                <c:pt idx="0">
                  <c:v>Finance</c:v>
                </c:pt>
                <c:pt idx="1">
                  <c:v>HR</c:v>
                </c:pt>
                <c:pt idx="2">
                  <c:v>IT</c:v>
                </c:pt>
                <c:pt idx="3">
                  <c:v>Marketing</c:v>
                </c:pt>
                <c:pt idx="4">
                  <c:v>Sales</c:v>
                </c:pt>
              </c:strCache>
            </c:strRef>
          </c:cat>
          <c:val>
            <c:numRef>
              <c:f>'Pivot tables'!$H$4:$H$9</c:f>
              <c:numCache>
                <c:formatCode>General</c:formatCode>
                <c:ptCount val="5"/>
                <c:pt idx="0">
                  <c:v>211</c:v>
                </c:pt>
                <c:pt idx="1">
                  <c:v>204</c:v>
                </c:pt>
                <c:pt idx="2">
                  <c:v>200</c:v>
                </c:pt>
                <c:pt idx="3">
                  <c:v>190</c:v>
                </c:pt>
                <c:pt idx="4">
                  <c:v>195</c:v>
                </c:pt>
              </c:numCache>
            </c:numRef>
          </c:val>
          <c:extLst>
            <c:ext xmlns:c16="http://schemas.microsoft.com/office/drawing/2014/chart" uri="{C3380CC4-5D6E-409C-BE32-E72D297353CC}">
              <c16:uniqueId val="{00000000-A1D8-4A1F-880C-F16972549B1A}"/>
            </c:ext>
          </c:extLst>
        </c:ser>
        <c:dLbls>
          <c:showLegendKey val="0"/>
          <c:showVal val="1"/>
          <c:showCatName val="0"/>
          <c:showSerName val="0"/>
          <c:showPercent val="0"/>
          <c:showBubbleSize val="0"/>
        </c:dLbls>
        <c:gapWidth val="150"/>
        <c:shape val="box"/>
        <c:axId val="452820255"/>
        <c:axId val="1461182703"/>
        <c:axId val="0"/>
      </c:bar3DChart>
      <c:catAx>
        <c:axId val="452820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82703"/>
        <c:crosses val="autoZero"/>
        <c:auto val="1"/>
        <c:lblAlgn val="ctr"/>
        <c:lblOffset val="100"/>
        <c:noMultiLvlLbl val="0"/>
      </c:catAx>
      <c:valAx>
        <c:axId val="1461182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82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[Employee_Performance_Analytics_Dashboard.xlsx]Pivot tables!PivotTable5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rPr>
              <a:t>Gender Distribution</a:t>
            </a:r>
            <a:endParaRPr lang="en-US" sz="1800">
              <a:solidFill>
                <a:schemeClr val="tx2"/>
              </a:solidFill>
            </a:endParaRPr>
          </a:p>
        </c:rich>
      </c:tx>
      <c:layout>
        <c:manualLayout>
          <c:xMode val="edge"/>
          <c:yMode val="edge"/>
          <c:x val="0.29471661831128476"/>
          <c:y val="5.31949611644148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0666776027996503E-2"/>
              <c:y val="-0.1450816564596092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9535870516185506E-2"/>
              <c:y val="-0.2471850393700787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0666776027996503E-2"/>
              <c:y val="-0.1450816564596092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7.9535870516185506E-2"/>
              <c:y val="-0.2471850393700787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tint val="77000"/>
            </a:schemeClr>
          </a:solidFill>
          <a:ln w="19050">
            <a:solidFill>
              <a:schemeClr val="lt1"/>
            </a:solidFill>
          </a:ln>
          <a:effectLst/>
        </c:spPr>
        <c:dLbl>
          <c:idx val="0"/>
          <c:layout>
            <c:manualLayout>
              <c:x val="-1.2952359672226479E-4"/>
              <c:y val="-0.14725369691188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5106085224825864E-2"/>
                  <c:h val="7.2108563158356009E-2"/>
                </c:manualLayout>
              </c15:layout>
            </c:ext>
          </c:extLst>
        </c:dLbl>
      </c:pivotFmt>
      <c:pivotFmt>
        <c:idx val="8"/>
        <c:spPr>
          <a:solidFill>
            <a:schemeClr val="accent6">
              <a:shade val="76000"/>
            </a:schemeClr>
          </a:solidFill>
          <a:ln w="19050">
            <a:solidFill>
              <a:schemeClr val="lt1"/>
            </a:solidFill>
          </a:ln>
          <a:effectLst/>
        </c:spPr>
        <c:dLbl>
          <c:idx val="0"/>
          <c:layout>
            <c:manualLayout>
              <c:x val="5.4052135944805582E-2"/>
              <c:y val="-0.2684396646801189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7664054856463086E-2"/>
                  <c:h val="5.0947333892311375E-2"/>
                </c:manualLayout>
              </c15:layout>
            </c:ext>
          </c:extLst>
        </c:dLbl>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tint val="77000"/>
            </a:schemeClr>
          </a:solidFill>
          <a:ln w="19050">
            <a:solidFill>
              <a:schemeClr val="lt1"/>
            </a:solidFill>
          </a:ln>
          <a:effectLst/>
        </c:spPr>
        <c:dLbl>
          <c:idx val="0"/>
          <c:layout>
            <c:manualLayout>
              <c:x val="-1.2952359672226479E-4"/>
              <c:y val="-0.14725369691188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5106085224825864E-2"/>
                  <c:h val="7.2108563158356009E-2"/>
                </c:manualLayout>
              </c15:layout>
            </c:ext>
          </c:extLst>
        </c:dLbl>
      </c:pivotFmt>
      <c:pivotFmt>
        <c:idx val="11"/>
        <c:spPr>
          <a:solidFill>
            <a:schemeClr val="accent6">
              <a:shade val="76000"/>
            </a:schemeClr>
          </a:solidFill>
          <a:ln w="19050">
            <a:solidFill>
              <a:schemeClr val="lt1"/>
            </a:solidFill>
          </a:ln>
          <a:effectLst/>
        </c:spPr>
        <c:dLbl>
          <c:idx val="0"/>
          <c:layout>
            <c:manualLayout>
              <c:x val="5.4052135944805582E-2"/>
              <c:y val="-0.2684396646801189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7664054856463086E-2"/>
                  <c:h val="5.0947333892311375E-2"/>
                </c:manualLayout>
              </c15:layout>
            </c:ext>
          </c:extLst>
        </c:dLbl>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tint val="77000"/>
            </a:schemeClr>
          </a:solidFill>
          <a:ln w="19050">
            <a:solidFill>
              <a:schemeClr val="lt1"/>
            </a:solidFill>
          </a:ln>
          <a:effectLst/>
        </c:spPr>
        <c:dLbl>
          <c:idx val="0"/>
          <c:layout>
            <c:manualLayout>
              <c:x val="-1.2952359672226479E-4"/>
              <c:y val="-0.14725369691188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5106085224825864E-2"/>
                  <c:h val="7.2108563158356009E-2"/>
                </c:manualLayout>
              </c15:layout>
            </c:ext>
          </c:extLst>
        </c:dLbl>
      </c:pivotFmt>
      <c:pivotFmt>
        <c:idx val="14"/>
        <c:spPr>
          <a:solidFill>
            <a:schemeClr val="accent6">
              <a:shade val="76000"/>
            </a:schemeClr>
          </a:solidFill>
          <a:ln w="19050">
            <a:solidFill>
              <a:schemeClr val="lt1"/>
            </a:solidFill>
          </a:ln>
          <a:effectLst/>
        </c:spPr>
        <c:dLbl>
          <c:idx val="0"/>
          <c:layout>
            <c:manualLayout>
              <c:x val="5.4052135944805582E-2"/>
              <c:y val="-0.2684396646801189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7664054856463086E-2"/>
                  <c:h val="5.0947333892311375E-2"/>
                </c:manualLayout>
              </c15:layout>
            </c:ext>
          </c:extLst>
        </c:dLbl>
      </c:pivotFmt>
    </c:pivotFmts>
    <c:plotArea>
      <c:layout>
        <c:manualLayout>
          <c:layoutTarget val="inner"/>
          <c:xMode val="edge"/>
          <c:yMode val="edge"/>
          <c:x val="0.12777777777777777"/>
          <c:y val="0.27921077573636627"/>
          <c:w val="0.67986111111111114"/>
          <c:h val="0.57264107611548554"/>
        </c:manualLayout>
      </c:layout>
      <c:pieChart>
        <c:varyColors val="1"/>
        <c:ser>
          <c:idx val="0"/>
          <c:order val="0"/>
          <c:tx>
            <c:strRef>
              <c:f>'Pivot tables'!$K$3</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4C3B-49EF-A077-CB34E98660D2}"/>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4C3B-49EF-A077-CB34E98660D2}"/>
              </c:ext>
            </c:extLst>
          </c:dPt>
          <c:dLbls>
            <c:dLbl>
              <c:idx val="0"/>
              <c:layout>
                <c:manualLayout>
                  <c:x val="-1.2952359672226479E-4"/>
                  <c:y val="-0.14725369691188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5106085224825864E-2"/>
                      <c:h val="7.2108563158356009E-2"/>
                    </c:manualLayout>
                  </c15:layout>
                </c:ext>
                <c:ext xmlns:c16="http://schemas.microsoft.com/office/drawing/2014/chart" uri="{C3380CC4-5D6E-409C-BE32-E72D297353CC}">
                  <c16:uniqueId val="{00000001-4C3B-49EF-A077-CB34E98660D2}"/>
                </c:ext>
              </c:extLst>
            </c:dLbl>
            <c:dLbl>
              <c:idx val="1"/>
              <c:layout>
                <c:manualLayout>
                  <c:x val="5.4052135944805582E-2"/>
                  <c:y val="-0.2684396646801189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7664054856463086E-2"/>
                      <c:h val="5.0947333892311375E-2"/>
                    </c:manualLayout>
                  </c15:layout>
                </c:ext>
                <c:ext xmlns:c16="http://schemas.microsoft.com/office/drawing/2014/chart" uri="{C3380CC4-5D6E-409C-BE32-E72D297353CC}">
                  <c16:uniqueId val="{00000003-4C3B-49EF-A077-CB34E98660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tables'!$J$4:$J$6</c:f>
              <c:strCache>
                <c:ptCount val="2"/>
                <c:pt idx="0">
                  <c:v>Female</c:v>
                </c:pt>
                <c:pt idx="1">
                  <c:v>Male</c:v>
                </c:pt>
              </c:strCache>
            </c:strRef>
          </c:cat>
          <c:val>
            <c:numRef>
              <c:f>'Pivot tables'!$K$4:$K$6</c:f>
              <c:numCache>
                <c:formatCode>General</c:formatCode>
                <c:ptCount val="2"/>
                <c:pt idx="0">
                  <c:v>479</c:v>
                </c:pt>
                <c:pt idx="1">
                  <c:v>521</c:v>
                </c:pt>
              </c:numCache>
            </c:numRef>
          </c:val>
          <c:extLst>
            <c:ext xmlns:c16="http://schemas.microsoft.com/office/drawing/2014/chart" uri="{C3380CC4-5D6E-409C-BE32-E72D297353CC}">
              <c16:uniqueId val="{00000004-4C3B-49EF-A077-CB34E98660D2}"/>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[Employee_Performance_Analytics_Dashboard.xlsx]Pivot tables!PivotTable6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solidFill>
                  <a:schemeClr val="tx2"/>
                </a:solidFill>
              </a:rPr>
              <a:t>Total Compensation by City</a:t>
            </a:r>
            <a:endParaRPr lang="en-US" sz="1800">
              <a:solidFill>
                <a:schemeClr val="tx2"/>
              </a:solidFill>
            </a:endParaRPr>
          </a:p>
        </c:rich>
      </c:tx>
      <c:layout>
        <c:manualLayout>
          <c:xMode val="edge"/>
          <c:yMode val="edge"/>
          <c:x val="0.22925461055848995"/>
          <c:y val="3.55134077165624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7919359647695211"/>
              <c:y val="-4.3654132774560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5248982207716667"/>
              <c:y val="-4.001582611044248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3391379348772740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71182464157016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39254548367684489"/>
              <c:y val="-4.36541327745620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39254548367684489"/>
              <c:y val="-4.36541327745620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71182464157016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391379348772740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35248982207716667"/>
              <c:y val="-4.001582611044248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37919359647695211"/>
              <c:y val="-4.3654132774560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39254548367684489"/>
              <c:y val="-4.36541327745620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371182464157016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3391379348772740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35248982207716667"/>
              <c:y val="-4.001582611044248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37919359647695211"/>
              <c:y val="-4.3654132774560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2682229250678"/>
          <c:y val="0.16737299201835179"/>
          <c:w val="0.73543955630411773"/>
          <c:h val="0.72794209352062711"/>
        </c:manualLayout>
      </c:layout>
      <c:barChart>
        <c:barDir val="bar"/>
        <c:grouping val="stacked"/>
        <c:varyColors val="0"/>
        <c:ser>
          <c:idx val="0"/>
          <c:order val="0"/>
          <c:tx>
            <c:strRef>
              <c:f>'Pivot tables'!$B$12</c:f>
              <c:strCache>
                <c:ptCount val="1"/>
                <c:pt idx="0">
                  <c:v>Total</c:v>
                </c:pt>
              </c:strCache>
            </c:strRef>
          </c:tx>
          <c:spPr>
            <a:solidFill>
              <a:schemeClr val="accent1"/>
            </a:solidFill>
            <a:ln>
              <a:noFill/>
            </a:ln>
            <a:effectLst/>
          </c:spPr>
          <c:invertIfNegative val="0"/>
          <c:dLbls>
            <c:dLbl>
              <c:idx val="0"/>
              <c:layout>
                <c:manualLayout>
                  <c:x val="0.39254548367684489"/>
                  <c:y val="-4.365413277456203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E0F-4CEC-B207-5D8E0E489411}"/>
                </c:ext>
              </c:extLst>
            </c:dLbl>
            <c:dLbl>
              <c:idx val="1"/>
              <c:layout>
                <c:manualLayout>
                  <c:x val="0.371182464157016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0F-4CEC-B207-5D8E0E489411}"/>
                </c:ext>
              </c:extLst>
            </c:dLbl>
            <c:dLbl>
              <c:idx val="2"/>
              <c:layout>
                <c:manualLayout>
                  <c:x val="0.3391379348772740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0F-4CEC-B207-5D8E0E489411}"/>
                </c:ext>
              </c:extLst>
            </c:dLbl>
            <c:dLbl>
              <c:idx val="3"/>
              <c:layout>
                <c:manualLayout>
                  <c:x val="0.35248982207716667"/>
                  <c:y val="-4.001582611044248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0F-4CEC-B207-5D8E0E489411}"/>
                </c:ext>
              </c:extLst>
            </c:dLbl>
            <c:dLbl>
              <c:idx val="4"/>
              <c:layout>
                <c:manualLayout>
                  <c:x val="0.37919359647695211"/>
                  <c:y val="-4.365413277456043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0F-4CEC-B207-5D8E0E4894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tables'!$A$13:$A$18</c:f>
              <c:strCache>
                <c:ptCount val="5"/>
                <c:pt idx="0">
                  <c:v>Bengaluru</c:v>
                </c:pt>
                <c:pt idx="1">
                  <c:v>Chennai</c:v>
                </c:pt>
                <c:pt idx="2">
                  <c:v>Hyderabad</c:v>
                </c:pt>
                <c:pt idx="3">
                  <c:v>Mumbai</c:v>
                </c:pt>
                <c:pt idx="4">
                  <c:v>Pune</c:v>
                </c:pt>
              </c:strCache>
            </c:strRef>
          </c:cat>
          <c:val>
            <c:numRef>
              <c:f>'Pivot tables'!$B$13:$B$18</c:f>
              <c:numCache>
                <c:formatCode>General</c:formatCode>
                <c:ptCount val="5"/>
                <c:pt idx="0">
                  <c:v>327629</c:v>
                </c:pt>
                <c:pt idx="1">
                  <c:v>299850</c:v>
                </c:pt>
                <c:pt idx="2">
                  <c:v>272550</c:v>
                </c:pt>
                <c:pt idx="3">
                  <c:v>285818</c:v>
                </c:pt>
                <c:pt idx="4">
                  <c:v>314653</c:v>
                </c:pt>
              </c:numCache>
            </c:numRef>
          </c:val>
          <c:extLst>
            <c:ext xmlns:c16="http://schemas.microsoft.com/office/drawing/2014/chart" uri="{C3380CC4-5D6E-409C-BE32-E72D297353CC}">
              <c16:uniqueId val="{00000005-BE0F-4CEC-B207-5D8E0E489411}"/>
            </c:ext>
          </c:extLst>
        </c:ser>
        <c:dLbls>
          <c:dLblPos val="ctr"/>
          <c:showLegendKey val="0"/>
          <c:showVal val="1"/>
          <c:showCatName val="0"/>
          <c:showSerName val="0"/>
          <c:showPercent val="0"/>
          <c:showBubbleSize val="0"/>
        </c:dLbls>
        <c:gapWidth val="150"/>
        <c:overlap val="100"/>
        <c:axId val="747125376"/>
        <c:axId val="753411952"/>
      </c:barChart>
      <c:catAx>
        <c:axId val="7471253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11952"/>
        <c:crosses val="autoZero"/>
        <c:auto val="1"/>
        <c:lblAlgn val="ctr"/>
        <c:lblOffset val="100"/>
        <c:noMultiLvlLbl val="0"/>
      </c:catAx>
      <c:valAx>
        <c:axId val="75341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12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[Employee_Performance_Analytics_Dashboard.xlsx]Pivot tables!PivotTable7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rPr>
              <a:t>Average Salary by Experience</a:t>
            </a:r>
          </a:p>
          <a:p>
            <a:pPr>
              <a:defRPr/>
            </a:pPr>
            <a:endParaRPr lang="en-US"/>
          </a:p>
        </c:rich>
      </c:tx>
      <c:layout>
        <c:manualLayout>
          <c:xMode val="edge"/>
          <c:yMode val="edge"/>
          <c:x val="0.18025480967294516"/>
          <c:y val="3.1527671643374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tables'!$E$12</c:f>
              <c:strCache>
                <c:ptCount val="1"/>
                <c:pt idx="0">
                  <c:v>Total</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tables'!$D$13:$D$16</c:f>
              <c:strCache>
                <c:ptCount val="3"/>
                <c:pt idx="0">
                  <c:v>Junior</c:v>
                </c:pt>
                <c:pt idx="1">
                  <c:v>Mid Level</c:v>
                </c:pt>
                <c:pt idx="2">
                  <c:v>Senior</c:v>
                </c:pt>
              </c:strCache>
            </c:strRef>
          </c:cat>
          <c:val>
            <c:numRef>
              <c:f>'Pivot tables'!$E$13:$E$16</c:f>
              <c:numCache>
                <c:formatCode>General</c:formatCode>
                <c:ptCount val="3"/>
                <c:pt idx="0">
                  <c:v>60167.746376811592</c:v>
                </c:pt>
                <c:pt idx="1">
                  <c:v>61203.939622641512</c:v>
                </c:pt>
                <c:pt idx="2">
                  <c:v>59823.540838852095</c:v>
                </c:pt>
              </c:numCache>
            </c:numRef>
          </c:val>
          <c:extLst>
            <c:ext xmlns:c16="http://schemas.microsoft.com/office/drawing/2014/chart" uri="{C3380CC4-5D6E-409C-BE32-E72D297353CC}">
              <c16:uniqueId val="{00000000-EAED-49C6-B2BA-20BF53922FED}"/>
            </c:ext>
          </c:extLst>
        </c:ser>
        <c:dLbls>
          <c:showLegendKey val="0"/>
          <c:showVal val="1"/>
          <c:showCatName val="0"/>
          <c:showSerName val="0"/>
          <c:showPercent val="0"/>
          <c:showBubbleSize val="0"/>
        </c:dLbls>
        <c:gapWidth val="219"/>
        <c:overlap val="-27"/>
        <c:axId val="576258911"/>
        <c:axId val="1461165903"/>
      </c:barChart>
      <c:catAx>
        <c:axId val="57625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65903"/>
        <c:crosses val="autoZero"/>
        <c:auto val="1"/>
        <c:lblAlgn val="ctr"/>
        <c:lblOffset val="100"/>
        <c:noMultiLvlLbl val="0"/>
      </c:catAx>
      <c:valAx>
        <c:axId val="146116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5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[Employee_Performance_Analytics_Dashboard.xlsx]Pivot tables!PivotTable9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rPr>
              <a:t>Performance Category</a:t>
            </a:r>
            <a:endParaRPr lang="en-US" sz="1800">
              <a:solidFill>
                <a:schemeClr val="tx2"/>
              </a:solidFill>
            </a:endParaRPr>
          </a:p>
        </c:rich>
      </c:tx>
      <c:layout>
        <c:manualLayout>
          <c:xMode val="edge"/>
          <c:yMode val="edge"/>
          <c:x val="0.23504500697610223"/>
          <c:y val="3.18604533645749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4999999999999997E-2"/>
              <c:y val="-6.018518518518518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7777777777777779E-2"/>
              <c:y val="-6.94444444444444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8888888888888906E-2"/>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0925337632079971E-17"/>
              <c:y val="8.33333333333333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7.4999999999999997E-2"/>
              <c:y val="-6.018518518518518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0925337632079971E-17"/>
              <c:y val="8.33333333333333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8.8888888888888906E-2"/>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7777777777777779E-2"/>
              <c:y val="-6.94444444444444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3663585517677191E-3"/>
              <c:y val="-0.2463805603950001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dLbl>
          <c:idx val="0"/>
          <c:layout>
            <c:manualLayout>
              <c:x val="0"/>
              <c:y val="0.111112801746764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3"/>
          </a:solidFill>
          <a:ln w="19050">
            <a:solidFill>
              <a:schemeClr val="lt1"/>
            </a:solidFill>
          </a:ln>
          <a:effectLst/>
        </c:spPr>
        <c:dLbl>
          <c:idx val="0"/>
          <c:layout>
            <c:manualLayout>
              <c:x val="-0.10464399175947052"/>
              <c:y val="4.347892242264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dLbl>
          <c:idx val="0"/>
          <c:layout>
            <c:manualLayout>
              <c:x val="-6.1713123345328767E-2"/>
              <c:y val="-0.115943793127058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5.3663585517677191E-3"/>
              <c:y val="-0.2463805603950001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
              <c:y val="0.111112801746764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0464399175947052"/>
              <c:y val="4.347892242264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6.1713123345328767E-2"/>
              <c:y val="-0.115943793127058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5.3663585517677191E-3"/>
              <c:y val="-0.2463805603950001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
              <c:y val="0.111112801746764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0464399175947052"/>
              <c:y val="4.347892242264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6.1713123345328767E-2"/>
              <c:y val="-0.115943793127058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BD-480E-BA15-6FF60303A2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BD-480E-BA15-6FF60303A2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BD-480E-BA15-6FF60303A2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BD-480E-BA15-6FF60303A26D}"/>
              </c:ext>
            </c:extLst>
          </c:dPt>
          <c:dLbls>
            <c:dLbl>
              <c:idx val="0"/>
              <c:layout>
                <c:manualLayout>
                  <c:x val="-5.3663585517677191E-3"/>
                  <c:y val="-0.2463805603950001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9BD-480E-BA15-6FF60303A26D}"/>
                </c:ext>
              </c:extLst>
            </c:dLbl>
            <c:dLbl>
              <c:idx val="1"/>
              <c:layout>
                <c:manualLayout>
                  <c:x val="0"/>
                  <c:y val="0.1111128017467645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BD-480E-BA15-6FF60303A26D}"/>
                </c:ext>
              </c:extLst>
            </c:dLbl>
            <c:dLbl>
              <c:idx val="2"/>
              <c:layout>
                <c:manualLayout>
                  <c:x val="-0.10464399175947052"/>
                  <c:y val="4.34789224226470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9BD-480E-BA15-6FF60303A26D}"/>
                </c:ext>
              </c:extLst>
            </c:dLbl>
            <c:dLbl>
              <c:idx val="3"/>
              <c:layout>
                <c:manualLayout>
                  <c:x val="-6.1713123345328767E-2"/>
                  <c:y val="-0.1159437931270588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9BD-480E-BA15-6FF60303A2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tables'!$G$13:$G$17</c:f>
              <c:strCache>
                <c:ptCount val="4"/>
                <c:pt idx="0">
                  <c:v>Average</c:v>
                </c:pt>
                <c:pt idx="1">
                  <c:v>Excellent</c:v>
                </c:pt>
                <c:pt idx="2">
                  <c:v>Good</c:v>
                </c:pt>
                <c:pt idx="3">
                  <c:v>Needs Improvement</c:v>
                </c:pt>
              </c:strCache>
            </c:strRef>
          </c:cat>
          <c:val>
            <c:numRef>
              <c:f>'Pivot tables'!$H$13:$H$17</c:f>
              <c:numCache>
                <c:formatCode>General</c:formatCode>
                <c:ptCount val="4"/>
                <c:pt idx="0">
                  <c:v>588154</c:v>
                </c:pt>
                <c:pt idx="1">
                  <c:v>291412</c:v>
                </c:pt>
                <c:pt idx="2">
                  <c:v>318698</c:v>
                </c:pt>
                <c:pt idx="3">
                  <c:v>302236</c:v>
                </c:pt>
              </c:numCache>
            </c:numRef>
          </c:val>
          <c:extLst>
            <c:ext xmlns:c16="http://schemas.microsoft.com/office/drawing/2014/chart" uri="{C3380CC4-5D6E-409C-BE32-E72D297353CC}">
              <c16:uniqueId val="{00000008-19BD-480E-BA15-6FF60303A26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[Employee_Performance_Analytics_Dashboard.xlsx]Pivot tables!PivotTable10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rPr>
              <a:t>Employment Type</a:t>
            </a:r>
          </a:p>
          <a:p>
            <a:pPr>
              <a:defRPr/>
            </a:pPr>
            <a:endParaRPr lang="en-US"/>
          </a:p>
        </c:rich>
      </c:tx>
      <c:layout>
        <c:manualLayout>
          <c:xMode val="edge"/>
          <c:yMode val="edge"/>
          <c:x val="0.15015333426080985"/>
          <c:y val="5.29629691412037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hade val="76000"/>
            </a:schemeClr>
          </a:solidFill>
          <a:ln w="19050">
            <a:solidFill>
              <a:schemeClr val="lt1"/>
            </a:solidFill>
          </a:ln>
          <a:effectLst/>
        </c:spPr>
      </c:pivotFmt>
      <c:pivotFmt>
        <c:idx val="6"/>
        <c:spPr>
          <a:solidFill>
            <a:schemeClr val="accent5">
              <a:tint val="77000"/>
            </a:schemeClr>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hade val="76000"/>
            </a:schemeClr>
          </a:solidFill>
          <a:ln w="19050">
            <a:solidFill>
              <a:schemeClr val="lt1"/>
            </a:solidFill>
          </a:ln>
          <a:effectLst/>
        </c:spPr>
      </c:pivotFmt>
      <c:pivotFmt>
        <c:idx val="9"/>
        <c:spPr>
          <a:solidFill>
            <a:schemeClr val="accent5">
              <a:tint val="77000"/>
            </a:schemeClr>
          </a:solidFill>
          <a:ln w="19050">
            <a:solidFill>
              <a:schemeClr val="lt1"/>
            </a:solidFill>
          </a:ln>
          <a:effectLst/>
        </c:spPr>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hade val="76000"/>
            </a:schemeClr>
          </a:solidFill>
          <a:ln w="19050">
            <a:solidFill>
              <a:schemeClr val="lt1"/>
            </a:solidFill>
          </a:ln>
          <a:effectLst/>
        </c:spPr>
      </c:pivotFmt>
      <c:pivotFmt>
        <c:idx val="12"/>
        <c:spPr>
          <a:solidFill>
            <a:schemeClr val="accent5">
              <a:tint val="77000"/>
            </a:schemeClr>
          </a:solidFill>
          <a:ln w="19050">
            <a:solidFill>
              <a:schemeClr val="lt1"/>
            </a:solidFill>
          </a:ln>
          <a:effectLst/>
        </c:spPr>
      </c:pivotFmt>
    </c:pivotFmts>
    <c:plotArea>
      <c:layout/>
      <c:pieChart>
        <c:varyColors val="1"/>
        <c:ser>
          <c:idx val="0"/>
          <c:order val="0"/>
          <c:tx>
            <c:strRef>
              <c:f>'Pivot tables'!$K$12</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B7C6-4374-9F1B-007566AB0756}"/>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B7C6-4374-9F1B-007566AB07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tables'!$J$13:$J$15</c:f>
              <c:strCache>
                <c:ptCount val="2"/>
                <c:pt idx="0">
                  <c:v>Contract</c:v>
                </c:pt>
                <c:pt idx="1">
                  <c:v>Full-Time</c:v>
                </c:pt>
              </c:strCache>
            </c:strRef>
          </c:cat>
          <c:val>
            <c:numRef>
              <c:f>'Pivot tables'!$K$13:$K$15</c:f>
              <c:numCache>
                <c:formatCode>General</c:formatCode>
                <c:ptCount val="2"/>
                <c:pt idx="0">
                  <c:v>774182</c:v>
                </c:pt>
                <c:pt idx="1">
                  <c:v>726318</c:v>
                </c:pt>
              </c:numCache>
            </c:numRef>
          </c:val>
          <c:extLst>
            <c:ext xmlns:c16="http://schemas.microsoft.com/office/drawing/2014/chart" uri="{C3380CC4-5D6E-409C-BE32-E72D297353CC}">
              <c16:uniqueId val="{00000004-B7C6-4374-9F1B-007566AB075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[Employee_Performance_Analytics_Dashboard.xlsx]Pivot tables!PivotTable11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rPr>
              <a:t>Salary Band Distribution</a:t>
            </a:r>
            <a:endParaRPr lang="en-US" sz="1800">
              <a:solidFill>
                <a:schemeClr val="tx2"/>
              </a:solidFill>
            </a:endParaRPr>
          </a:p>
        </c:rich>
      </c:tx>
      <c:layout>
        <c:manualLayout>
          <c:xMode val="edge"/>
          <c:yMode val="edge"/>
          <c:x val="0.25757543583012732"/>
          <c:y val="3.83015523438212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22952552856475"/>
          <c:y val="0.20785792536776654"/>
          <c:w val="0.84734232290624201"/>
          <c:h val="0.67628817243539818"/>
        </c:manualLayout>
      </c:layout>
      <c:barChart>
        <c:barDir val="col"/>
        <c:grouping val="clustered"/>
        <c:varyColors val="0"/>
        <c:ser>
          <c:idx val="0"/>
          <c:order val="0"/>
          <c:tx>
            <c:strRef>
              <c:f>'Pivot tables'!$B$21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tables'!$A$22:$A$25</c:f>
              <c:strCache>
                <c:ptCount val="3"/>
                <c:pt idx="0">
                  <c:v>High</c:v>
                </c:pt>
                <c:pt idx="1">
                  <c:v>Low</c:v>
                </c:pt>
                <c:pt idx="2">
                  <c:v>Medium</c:v>
                </c:pt>
              </c:strCache>
            </c:strRef>
          </c:cat>
          <c:val>
            <c:numRef>
              <c:f>'Pivot tables'!$B$22:$B$25</c:f>
              <c:numCache>
                <c:formatCode>General</c:formatCode>
                <c:ptCount val="3"/>
                <c:pt idx="0">
                  <c:v>540523</c:v>
                </c:pt>
                <c:pt idx="1">
                  <c:v>545975</c:v>
                </c:pt>
                <c:pt idx="2">
                  <c:v>414002</c:v>
                </c:pt>
              </c:numCache>
            </c:numRef>
          </c:val>
          <c:extLst>
            <c:ext xmlns:c16="http://schemas.microsoft.com/office/drawing/2014/chart" uri="{C3380CC4-5D6E-409C-BE32-E72D297353CC}">
              <c16:uniqueId val="{00000000-8E06-4160-9195-6EE31C2C50A7}"/>
            </c:ext>
          </c:extLst>
        </c:ser>
        <c:dLbls>
          <c:dLblPos val="outEnd"/>
          <c:showLegendKey val="0"/>
          <c:showVal val="1"/>
          <c:showCatName val="0"/>
          <c:showSerName val="0"/>
          <c:showPercent val="0"/>
          <c:showBubbleSize val="0"/>
        </c:dLbls>
        <c:gapWidth val="219"/>
        <c:overlap val="-27"/>
        <c:axId val="805907567"/>
        <c:axId val="306385071"/>
      </c:barChart>
      <c:catAx>
        <c:axId val="80590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85071"/>
        <c:crosses val="autoZero"/>
        <c:auto val="1"/>
        <c:lblAlgn val="ctr"/>
        <c:lblOffset val="100"/>
        <c:noMultiLvlLbl val="0"/>
      </c:catAx>
      <c:valAx>
        <c:axId val="30638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90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[Employee_Performance_Analytics_Dashboard.xlsx]Pivot tables!PivotTable12</c:name>
    <c:fmtId val="10"/>
  </c:pivotSource>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IN" sz="1800" b="0">
                <a:solidFill>
                  <a:schemeClr val="tx2"/>
                </a:solidFill>
              </a:rPr>
              <a:t>Average Attendance by Department</a:t>
            </a:r>
            <a:endParaRPr lang="en-US" sz="1800" b="0">
              <a:solidFill>
                <a:schemeClr val="tx2"/>
              </a:solidFill>
            </a:endParaRPr>
          </a:p>
        </c:rich>
      </c:tx>
      <c:layout>
        <c:manualLayout>
          <c:xMode val="edge"/>
          <c:yMode val="edge"/>
          <c:x val="0.15910785939262445"/>
          <c:y val="2.4059427923637269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tables'!$E$21</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tables'!$D$22:$D$27</c:f>
              <c:strCache>
                <c:ptCount val="5"/>
                <c:pt idx="0">
                  <c:v>Finance</c:v>
                </c:pt>
                <c:pt idx="1">
                  <c:v>HR</c:v>
                </c:pt>
                <c:pt idx="2">
                  <c:v>IT</c:v>
                </c:pt>
                <c:pt idx="3">
                  <c:v>Marketing</c:v>
                </c:pt>
                <c:pt idx="4">
                  <c:v>Sales</c:v>
                </c:pt>
              </c:strCache>
            </c:strRef>
          </c:cat>
          <c:val>
            <c:numRef>
              <c:f>'Pivot tables'!$E$22:$E$27</c:f>
              <c:numCache>
                <c:formatCode>General</c:formatCode>
                <c:ptCount val="5"/>
                <c:pt idx="0">
                  <c:v>90.999999999999972</c:v>
                </c:pt>
                <c:pt idx="1">
                  <c:v>90.598039215686271</c:v>
                </c:pt>
                <c:pt idx="2">
                  <c:v>91.72249999999994</c:v>
                </c:pt>
                <c:pt idx="3">
                  <c:v>90.77</c:v>
                </c:pt>
                <c:pt idx="4">
                  <c:v>90.916410256410245</c:v>
                </c:pt>
              </c:numCache>
            </c:numRef>
          </c:val>
          <c:smooth val="0"/>
          <c:extLst>
            <c:ext xmlns:c16="http://schemas.microsoft.com/office/drawing/2014/chart" uri="{C3380CC4-5D6E-409C-BE32-E72D297353CC}">
              <c16:uniqueId val="{00000000-B400-47BA-A4FE-E1F5B5191F76}"/>
            </c:ext>
          </c:extLst>
        </c:ser>
        <c:dLbls>
          <c:dLblPos val="t"/>
          <c:showLegendKey val="0"/>
          <c:showVal val="1"/>
          <c:showCatName val="0"/>
          <c:showSerName val="0"/>
          <c:showPercent val="0"/>
          <c:showBubbleSize val="0"/>
        </c:dLbls>
        <c:marker val="1"/>
        <c:smooth val="0"/>
        <c:axId val="710469055"/>
        <c:axId val="1461187503"/>
      </c:lineChart>
      <c:catAx>
        <c:axId val="710469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87503"/>
        <c:crosses val="autoZero"/>
        <c:auto val="1"/>
        <c:lblAlgn val="ctr"/>
        <c:lblOffset val="100"/>
        <c:noMultiLvlLbl val="0"/>
      </c:catAx>
      <c:valAx>
        <c:axId val="146118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6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[Employee_Performance_Analytics_Dashboard.xlsx]Pivot tables!PivotTable2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rPr>
              <a:t>Average Salary by Department</a:t>
            </a:r>
            <a:endParaRPr lang="en-US" sz="1800">
              <a:solidFill>
                <a:schemeClr val="tx2"/>
              </a:solidFill>
            </a:endParaRPr>
          </a:p>
        </c:rich>
      </c:tx>
      <c:layout>
        <c:manualLayout>
          <c:xMode val="edge"/>
          <c:yMode val="edge"/>
          <c:x val="0.21922554033213246"/>
          <c:y val="4.51851970448169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Finance</c:v>
                </c:pt>
                <c:pt idx="1">
                  <c:v>HR</c:v>
                </c:pt>
                <c:pt idx="2">
                  <c:v>IT</c:v>
                </c:pt>
                <c:pt idx="3">
                  <c:v>Marketing</c:v>
                </c:pt>
                <c:pt idx="4">
                  <c:v>Sales</c:v>
                </c:pt>
              </c:strCache>
            </c:strRef>
          </c:cat>
          <c:val>
            <c:numRef>
              <c:f>'Pivot tables'!$B$4:$B$9</c:f>
              <c:numCache>
                <c:formatCode>0</c:formatCode>
                <c:ptCount val="5"/>
                <c:pt idx="0">
                  <c:v>60690.961722488035</c:v>
                </c:pt>
                <c:pt idx="1">
                  <c:v>58649.103960396038</c:v>
                </c:pt>
                <c:pt idx="2">
                  <c:v>61216.648241206029</c:v>
                </c:pt>
                <c:pt idx="3">
                  <c:v>61339.221052631576</c:v>
                </c:pt>
                <c:pt idx="4">
                  <c:v>59573.768041237112</c:v>
                </c:pt>
              </c:numCache>
            </c:numRef>
          </c:val>
          <c:extLst>
            <c:ext xmlns:c16="http://schemas.microsoft.com/office/drawing/2014/chart" uri="{C3380CC4-5D6E-409C-BE32-E72D297353CC}">
              <c16:uniqueId val="{00000000-0CBF-452B-8FD3-28D7632C01B4}"/>
            </c:ext>
          </c:extLst>
        </c:ser>
        <c:dLbls>
          <c:dLblPos val="outEnd"/>
          <c:showLegendKey val="0"/>
          <c:showVal val="1"/>
          <c:showCatName val="0"/>
          <c:showSerName val="0"/>
          <c:showPercent val="0"/>
          <c:showBubbleSize val="0"/>
        </c:dLbls>
        <c:gapWidth val="219"/>
        <c:overlap val="-27"/>
        <c:axId val="1470765951"/>
        <c:axId val="306372591"/>
      </c:barChart>
      <c:catAx>
        <c:axId val="147076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72591"/>
        <c:crosses val="autoZero"/>
        <c:auto val="1"/>
        <c:lblAlgn val="ctr"/>
        <c:lblOffset val="100"/>
        <c:noMultiLvlLbl val="0"/>
      </c:catAx>
      <c:valAx>
        <c:axId val="306372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76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[Employee_Performance_Analytics_Dashboard.xlsx]Pivot tables!PivotTable3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latin typeface="+mn-lt"/>
              </a:rPr>
              <a:t>Average Performance by Department</a:t>
            </a:r>
          </a:p>
          <a:p>
            <a:pPr>
              <a:defRPr/>
            </a:pPr>
            <a:endParaRPr lang="en-US"/>
          </a:p>
        </c:rich>
      </c:tx>
      <c:layout>
        <c:manualLayout>
          <c:xMode val="edge"/>
          <c:yMode val="edge"/>
          <c:x val="0.16680612984136825"/>
          <c:y val="4.45184485466910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pPr>
            <a:solidFill>
              <a:schemeClr val="accent3"/>
            </a:solidFill>
            <a:ln w="9525">
              <a:solidFill>
                <a:schemeClr val="accent3"/>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tables'!$D$4:$D$9</c:f>
              <c:strCache>
                <c:ptCount val="5"/>
                <c:pt idx="0">
                  <c:v>Finance</c:v>
                </c:pt>
                <c:pt idx="1">
                  <c:v>HR</c:v>
                </c:pt>
                <c:pt idx="2">
                  <c:v>IT</c:v>
                </c:pt>
                <c:pt idx="3">
                  <c:v>Marketing</c:v>
                </c:pt>
                <c:pt idx="4">
                  <c:v>Sales</c:v>
                </c:pt>
              </c:strCache>
            </c:strRef>
          </c:cat>
          <c:val>
            <c:numRef>
              <c:f>'Pivot tables'!$E$4:$E$9</c:f>
              <c:numCache>
                <c:formatCode>General</c:formatCode>
                <c:ptCount val="5"/>
                <c:pt idx="0">
                  <c:v>3.6976303317535559</c:v>
                </c:pt>
                <c:pt idx="1">
                  <c:v>3.7882352941176474</c:v>
                </c:pt>
                <c:pt idx="2">
                  <c:v>3.6590000000000003</c:v>
                </c:pt>
                <c:pt idx="3">
                  <c:v>3.69</c:v>
                </c:pt>
                <c:pt idx="4">
                  <c:v>3.7225641025641036</c:v>
                </c:pt>
              </c:numCache>
            </c:numRef>
          </c:val>
          <c:extLst>
            <c:ext xmlns:c16="http://schemas.microsoft.com/office/drawing/2014/chart" uri="{C3380CC4-5D6E-409C-BE32-E72D297353CC}">
              <c16:uniqueId val="{00000000-9A30-4D7F-83A6-53940445B7CE}"/>
            </c:ext>
          </c:extLst>
        </c:ser>
        <c:dLbls>
          <c:dLblPos val="outEnd"/>
          <c:showLegendKey val="0"/>
          <c:showVal val="1"/>
          <c:showCatName val="0"/>
          <c:showSerName val="0"/>
          <c:showPercent val="0"/>
          <c:showBubbleSize val="0"/>
        </c:dLbls>
        <c:gapWidth val="182"/>
        <c:axId val="1470816991"/>
        <c:axId val="306365391"/>
      </c:barChart>
      <c:catAx>
        <c:axId val="147081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5391"/>
        <c:crosses val="autoZero"/>
        <c:auto val="1"/>
        <c:lblAlgn val="ctr"/>
        <c:lblOffset val="100"/>
        <c:noMultiLvlLbl val="0"/>
      </c:catAx>
      <c:valAx>
        <c:axId val="306365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81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[Employee_Performance_Analytics_Dashboard.xlsx]Pivot tables!PivotTable4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b="0">
                <a:solidFill>
                  <a:schemeClr val="tx2"/>
                </a:solidFill>
              </a:rPr>
              <a:t>Employee Count by Department</a:t>
            </a:r>
            <a:endParaRPr lang="en-US" sz="1800" b="0">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tables'!$H$3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tables'!$G$4:$G$9</c:f>
              <c:strCache>
                <c:ptCount val="5"/>
                <c:pt idx="0">
                  <c:v>Finance</c:v>
                </c:pt>
                <c:pt idx="1">
                  <c:v>HR</c:v>
                </c:pt>
                <c:pt idx="2">
                  <c:v>IT</c:v>
                </c:pt>
                <c:pt idx="3">
                  <c:v>Marketing</c:v>
                </c:pt>
                <c:pt idx="4">
                  <c:v>Sales</c:v>
                </c:pt>
              </c:strCache>
            </c:strRef>
          </c:cat>
          <c:val>
            <c:numRef>
              <c:f>'Pivot tables'!$H$4:$H$9</c:f>
              <c:numCache>
                <c:formatCode>General</c:formatCode>
                <c:ptCount val="5"/>
                <c:pt idx="0">
                  <c:v>211</c:v>
                </c:pt>
                <c:pt idx="1">
                  <c:v>204</c:v>
                </c:pt>
                <c:pt idx="2">
                  <c:v>200</c:v>
                </c:pt>
                <c:pt idx="3">
                  <c:v>190</c:v>
                </c:pt>
                <c:pt idx="4">
                  <c:v>195</c:v>
                </c:pt>
              </c:numCache>
            </c:numRef>
          </c:val>
          <c:extLst>
            <c:ext xmlns:c16="http://schemas.microsoft.com/office/drawing/2014/chart" uri="{C3380CC4-5D6E-409C-BE32-E72D297353CC}">
              <c16:uniqueId val="{00000000-43B7-49A0-B098-801F2051A70C}"/>
            </c:ext>
          </c:extLst>
        </c:ser>
        <c:dLbls>
          <c:showLegendKey val="0"/>
          <c:showVal val="1"/>
          <c:showCatName val="0"/>
          <c:showSerName val="0"/>
          <c:showPercent val="0"/>
          <c:showBubbleSize val="0"/>
        </c:dLbls>
        <c:gapWidth val="150"/>
        <c:shape val="box"/>
        <c:axId val="452820255"/>
        <c:axId val="1461182703"/>
        <c:axId val="0"/>
      </c:bar3DChart>
      <c:catAx>
        <c:axId val="452820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82703"/>
        <c:crosses val="autoZero"/>
        <c:auto val="1"/>
        <c:lblAlgn val="ctr"/>
        <c:lblOffset val="100"/>
        <c:noMultiLvlLbl val="0"/>
      </c:catAx>
      <c:valAx>
        <c:axId val="1461182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82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[Employee_Performance_Analytics_Dashboard.xlsx]Pivot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rPr>
              <a:t>Gender Distribution</a:t>
            </a:r>
            <a:endParaRPr lang="en-US" sz="1800">
              <a:solidFill>
                <a:schemeClr val="tx2"/>
              </a:solidFill>
            </a:endParaRPr>
          </a:p>
        </c:rich>
      </c:tx>
      <c:layout>
        <c:manualLayout>
          <c:xMode val="edge"/>
          <c:yMode val="edge"/>
          <c:x val="0.29471661831128476"/>
          <c:y val="5.31949611644148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0666776027996503E-2"/>
              <c:y val="-0.1450816564596092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9535870516185506E-2"/>
              <c:y val="-0.2471850393700787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0666776027996503E-2"/>
              <c:y val="-0.1450816564596092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7.9535870516185506E-2"/>
              <c:y val="-0.2471850393700787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tint val="77000"/>
            </a:schemeClr>
          </a:solidFill>
          <a:ln w="19050">
            <a:solidFill>
              <a:schemeClr val="lt1"/>
            </a:solidFill>
          </a:ln>
          <a:effectLst/>
        </c:spPr>
        <c:dLbl>
          <c:idx val="0"/>
          <c:layout>
            <c:manualLayout>
              <c:x val="-1.2952359672226479E-4"/>
              <c:y val="-0.14725369691188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5106085224825864E-2"/>
                  <c:h val="7.2108563158356009E-2"/>
                </c:manualLayout>
              </c15:layout>
            </c:ext>
          </c:extLst>
        </c:dLbl>
      </c:pivotFmt>
      <c:pivotFmt>
        <c:idx val="8"/>
        <c:spPr>
          <a:solidFill>
            <a:schemeClr val="accent6">
              <a:shade val="76000"/>
            </a:schemeClr>
          </a:solidFill>
          <a:ln w="19050">
            <a:solidFill>
              <a:schemeClr val="lt1"/>
            </a:solidFill>
          </a:ln>
          <a:effectLst/>
        </c:spPr>
        <c:dLbl>
          <c:idx val="0"/>
          <c:layout>
            <c:manualLayout>
              <c:x val="5.4052135944805582E-2"/>
              <c:y val="-0.2684396646801189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7664054856463086E-2"/>
                  <c:h val="5.0947333892311375E-2"/>
                </c:manualLayout>
              </c15:layout>
            </c:ext>
          </c:extLst>
        </c:dLbl>
      </c:pivotFmt>
    </c:pivotFmts>
    <c:plotArea>
      <c:layout>
        <c:manualLayout>
          <c:layoutTarget val="inner"/>
          <c:xMode val="edge"/>
          <c:yMode val="edge"/>
          <c:x val="0.12777777777777777"/>
          <c:y val="0.27921077573636627"/>
          <c:w val="0.67986111111111114"/>
          <c:h val="0.57264107611548554"/>
        </c:manualLayout>
      </c:layout>
      <c:pieChart>
        <c:varyColors val="1"/>
        <c:ser>
          <c:idx val="0"/>
          <c:order val="0"/>
          <c:tx>
            <c:strRef>
              <c:f>'Pivot tables'!$K$3</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C5E9-42F1-995A-6408F39EB69E}"/>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C5E9-42F1-995A-6408F39EB69E}"/>
              </c:ext>
            </c:extLst>
          </c:dPt>
          <c:dLbls>
            <c:dLbl>
              <c:idx val="0"/>
              <c:layout>
                <c:manualLayout>
                  <c:x val="-1.2952359672226479E-4"/>
                  <c:y val="-0.14725369691188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5106085224825864E-2"/>
                      <c:h val="7.2108563158356009E-2"/>
                    </c:manualLayout>
                  </c15:layout>
                </c:ext>
                <c:ext xmlns:c16="http://schemas.microsoft.com/office/drawing/2014/chart" uri="{C3380CC4-5D6E-409C-BE32-E72D297353CC}">
                  <c16:uniqueId val="{00000001-C5E9-42F1-995A-6408F39EB69E}"/>
                </c:ext>
              </c:extLst>
            </c:dLbl>
            <c:dLbl>
              <c:idx val="1"/>
              <c:layout>
                <c:manualLayout>
                  <c:x val="5.4052135944805582E-2"/>
                  <c:y val="-0.2684396646801189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7664054856463086E-2"/>
                      <c:h val="5.0947333892311375E-2"/>
                    </c:manualLayout>
                  </c15:layout>
                </c:ext>
                <c:ext xmlns:c16="http://schemas.microsoft.com/office/drawing/2014/chart" uri="{C3380CC4-5D6E-409C-BE32-E72D297353CC}">
                  <c16:uniqueId val="{00000003-C5E9-42F1-995A-6408F39EB6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tables'!$J$4:$J$6</c:f>
              <c:strCache>
                <c:ptCount val="2"/>
                <c:pt idx="0">
                  <c:v>Female</c:v>
                </c:pt>
                <c:pt idx="1">
                  <c:v>Male</c:v>
                </c:pt>
              </c:strCache>
            </c:strRef>
          </c:cat>
          <c:val>
            <c:numRef>
              <c:f>'Pivot tables'!$K$4:$K$6</c:f>
              <c:numCache>
                <c:formatCode>General</c:formatCode>
                <c:ptCount val="2"/>
                <c:pt idx="0">
                  <c:v>479</c:v>
                </c:pt>
                <c:pt idx="1">
                  <c:v>521</c:v>
                </c:pt>
              </c:numCache>
            </c:numRef>
          </c:val>
          <c:extLst>
            <c:ext xmlns:c16="http://schemas.microsoft.com/office/drawing/2014/chart" uri="{C3380CC4-5D6E-409C-BE32-E72D297353CC}">
              <c16:uniqueId val="{00000004-C5E9-42F1-995A-6408F39EB69E}"/>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[Employee_Performance_Analytics_Dashboard.xlsx]Pivot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rPr>
              <a:t>Average Salary by Experience</a:t>
            </a:r>
          </a:p>
          <a:p>
            <a:pPr>
              <a:defRPr/>
            </a:pPr>
            <a:endParaRPr lang="en-US"/>
          </a:p>
        </c:rich>
      </c:tx>
      <c:layout>
        <c:manualLayout>
          <c:xMode val="edge"/>
          <c:yMode val="edge"/>
          <c:x val="0.18025480967294516"/>
          <c:y val="3.1527671643374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tables'!$D$13:$D$16</c:f>
              <c:strCache>
                <c:ptCount val="3"/>
                <c:pt idx="0">
                  <c:v>Junior</c:v>
                </c:pt>
                <c:pt idx="1">
                  <c:v>Mid Level</c:v>
                </c:pt>
                <c:pt idx="2">
                  <c:v>Senior</c:v>
                </c:pt>
              </c:strCache>
            </c:strRef>
          </c:cat>
          <c:val>
            <c:numRef>
              <c:f>'Pivot tables'!$E$13:$E$16</c:f>
              <c:numCache>
                <c:formatCode>General</c:formatCode>
                <c:ptCount val="3"/>
                <c:pt idx="0">
                  <c:v>60167.746376811592</c:v>
                </c:pt>
                <c:pt idx="1">
                  <c:v>61203.939622641512</c:v>
                </c:pt>
                <c:pt idx="2">
                  <c:v>59823.540838852095</c:v>
                </c:pt>
              </c:numCache>
            </c:numRef>
          </c:val>
          <c:extLst>
            <c:ext xmlns:c16="http://schemas.microsoft.com/office/drawing/2014/chart" uri="{C3380CC4-5D6E-409C-BE32-E72D297353CC}">
              <c16:uniqueId val="{00000000-9FEF-43B0-804B-AF9A4B4A166E}"/>
            </c:ext>
          </c:extLst>
        </c:ser>
        <c:dLbls>
          <c:showLegendKey val="0"/>
          <c:showVal val="1"/>
          <c:showCatName val="0"/>
          <c:showSerName val="0"/>
          <c:showPercent val="0"/>
          <c:showBubbleSize val="0"/>
        </c:dLbls>
        <c:gapWidth val="219"/>
        <c:overlap val="-27"/>
        <c:axId val="576258911"/>
        <c:axId val="1461165903"/>
      </c:barChart>
      <c:catAx>
        <c:axId val="57625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65903"/>
        <c:crosses val="autoZero"/>
        <c:auto val="1"/>
        <c:lblAlgn val="ctr"/>
        <c:lblOffset val="100"/>
        <c:noMultiLvlLbl val="0"/>
      </c:catAx>
      <c:valAx>
        <c:axId val="146116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5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[Employee_Performance_Analytics_Dashboard.xlsx]Pivot tables!PivotTable9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rPr>
              <a:t>Performance Category</a:t>
            </a:r>
            <a:endParaRPr lang="en-US" sz="1800">
              <a:solidFill>
                <a:schemeClr val="tx2"/>
              </a:solidFill>
            </a:endParaRPr>
          </a:p>
        </c:rich>
      </c:tx>
      <c:layout>
        <c:manualLayout>
          <c:xMode val="edge"/>
          <c:yMode val="edge"/>
          <c:x val="0.23504500697610223"/>
          <c:y val="3.18604533645749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4999999999999997E-2"/>
              <c:y val="-6.018518518518518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7777777777777779E-2"/>
              <c:y val="-6.94444444444444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8888888888888906E-2"/>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0925337632079971E-17"/>
              <c:y val="8.33333333333333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7.4999999999999997E-2"/>
              <c:y val="-6.018518518518518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0925337632079971E-17"/>
              <c:y val="8.33333333333333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8.8888888888888906E-2"/>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7777777777777779E-2"/>
              <c:y val="-6.94444444444444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3663585517677191E-3"/>
              <c:y val="-0.2463805603950001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dLbl>
          <c:idx val="0"/>
          <c:layout>
            <c:manualLayout>
              <c:x val="0"/>
              <c:y val="0.111112801746764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3"/>
          </a:solidFill>
          <a:ln w="19050">
            <a:solidFill>
              <a:schemeClr val="lt1"/>
            </a:solidFill>
          </a:ln>
          <a:effectLst/>
        </c:spPr>
        <c:dLbl>
          <c:idx val="0"/>
          <c:layout>
            <c:manualLayout>
              <c:x val="-0.10464399175947052"/>
              <c:y val="4.347892242264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dLbl>
          <c:idx val="0"/>
          <c:layout>
            <c:manualLayout>
              <c:x val="-6.1713123345328767E-2"/>
              <c:y val="-0.115943793127058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33-4A0D-9C23-406AD0F445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33-4A0D-9C23-406AD0F445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33-4A0D-9C23-406AD0F445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33-4A0D-9C23-406AD0F445D7}"/>
              </c:ext>
            </c:extLst>
          </c:dPt>
          <c:dLbls>
            <c:dLbl>
              <c:idx val="0"/>
              <c:layout>
                <c:manualLayout>
                  <c:x val="-5.3663585517677191E-3"/>
                  <c:y val="-0.2463805603950001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733-4A0D-9C23-406AD0F445D7}"/>
                </c:ext>
              </c:extLst>
            </c:dLbl>
            <c:dLbl>
              <c:idx val="1"/>
              <c:layout>
                <c:manualLayout>
                  <c:x val="0"/>
                  <c:y val="0.1111128017467645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733-4A0D-9C23-406AD0F445D7}"/>
                </c:ext>
              </c:extLst>
            </c:dLbl>
            <c:dLbl>
              <c:idx val="2"/>
              <c:layout>
                <c:manualLayout>
                  <c:x val="-0.10464399175947052"/>
                  <c:y val="4.34789224226470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733-4A0D-9C23-406AD0F445D7}"/>
                </c:ext>
              </c:extLst>
            </c:dLbl>
            <c:dLbl>
              <c:idx val="3"/>
              <c:layout>
                <c:manualLayout>
                  <c:x val="-6.1713123345328767E-2"/>
                  <c:y val="-0.1159437931270588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733-4A0D-9C23-406AD0F445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tables'!$G$13:$G$17</c:f>
              <c:strCache>
                <c:ptCount val="4"/>
                <c:pt idx="0">
                  <c:v>Average</c:v>
                </c:pt>
                <c:pt idx="1">
                  <c:v>Excellent</c:v>
                </c:pt>
                <c:pt idx="2">
                  <c:v>Good</c:v>
                </c:pt>
                <c:pt idx="3">
                  <c:v>Needs Improvement</c:v>
                </c:pt>
              </c:strCache>
            </c:strRef>
          </c:cat>
          <c:val>
            <c:numRef>
              <c:f>'Pivot tables'!$H$13:$H$17</c:f>
              <c:numCache>
                <c:formatCode>General</c:formatCode>
                <c:ptCount val="4"/>
                <c:pt idx="0">
                  <c:v>588154</c:v>
                </c:pt>
                <c:pt idx="1">
                  <c:v>291412</c:v>
                </c:pt>
                <c:pt idx="2">
                  <c:v>318698</c:v>
                </c:pt>
                <c:pt idx="3">
                  <c:v>302236</c:v>
                </c:pt>
              </c:numCache>
            </c:numRef>
          </c:val>
          <c:extLst>
            <c:ext xmlns:c16="http://schemas.microsoft.com/office/drawing/2014/chart" uri="{C3380CC4-5D6E-409C-BE32-E72D297353CC}">
              <c16:uniqueId val="{00000008-4733-4A0D-9C23-406AD0F445D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[Employee_Performance_Analytics_Dashboard.xlsx]Pivot tables!PivotTable10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rPr>
              <a:t>Employment Type</a:t>
            </a:r>
          </a:p>
          <a:p>
            <a:pPr>
              <a:defRPr/>
            </a:pPr>
            <a:endParaRPr lang="en-US"/>
          </a:p>
        </c:rich>
      </c:tx>
      <c:layout>
        <c:manualLayout>
          <c:xMode val="edge"/>
          <c:yMode val="edge"/>
          <c:x val="0.15015333426080985"/>
          <c:y val="5.29629691412037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hade val="76000"/>
            </a:schemeClr>
          </a:solidFill>
          <a:ln w="19050">
            <a:solidFill>
              <a:schemeClr val="lt1"/>
            </a:solidFill>
          </a:ln>
          <a:effectLst/>
        </c:spPr>
      </c:pivotFmt>
      <c:pivotFmt>
        <c:idx val="6"/>
        <c:spPr>
          <a:solidFill>
            <a:schemeClr val="accent5">
              <a:tint val="77000"/>
            </a:schemeClr>
          </a:solidFill>
          <a:ln w="19050">
            <a:solidFill>
              <a:schemeClr val="lt1"/>
            </a:solidFill>
          </a:ln>
          <a:effectLst/>
        </c:spPr>
      </c:pivotFmt>
    </c:pivotFmts>
    <c:plotArea>
      <c:layout/>
      <c:pieChart>
        <c:varyColors val="1"/>
        <c:ser>
          <c:idx val="0"/>
          <c:order val="0"/>
          <c:tx>
            <c:strRef>
              <c:f>'Pivot tables'!$K$12</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EFAB-4C1F-B949-D157B94E60DE}"/>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EFAB-4C1F-B949-D157B94E60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tables'!$J$13:$J$15</c:f>
              <c:strCache>
                <c:ptCount val="2"/>
                <c:pt idx="0">
                  <c:v>Contract</c:v>
                </c:pt>
                <c:pt idx="1">
                  <c:v>Full-Time</c:v>
                </c:pt>
              </c:strCache>
            </c:strRef>
          </c:cat>
          <c:val>
            <c:numRef>
              <c:f>'Pivot tables'!$K$13:$K$15</c:f>
              <c:numCache>
                <c:formatCode>General</c:formatCode>
                <c:ptCount val="2"/>
                <c:pt idx="0">
                  <c:v>774182</c:v>
                </c:pt>
                <c:pt idx="1">
                  <c:v>726318</c:v>
                </c:pt>
              </c:numCache>
            </c:numRef>
          </c:val>
          <c:extLst>
            <c:ext xmlns:c16="http://schemas.microsoft.com/office/drawing/2014/chart" uri="{C3380CC4-5D6E-409C-BE32-E72D297353CC}">
              <c16:uniqueId val="{00000004-EFAB-4C1F-B949-D157B94E60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[Employee_Performance_Analytics_Dashboard.xlsx]Pivot tables!PivotTable12</c:name>
    <c:fmtId val="4"/>
  </c:pivotSource>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IN" sz="1800" b="0">
                <a:solidFill>
                  <a:schemeClr val="tx2"/>
                </a:solidFill>
              </a:rPr>
              <a:t>Average Attendance by Department</a:t>
            </a:r>
            <a:endParaRPr lang="en-US" sz="1800" b="0">
              <a:solidFill>
                <a:schemeClr val="tx2"/>
              </a:solidFill>
            </a:endParaRPr>
          </a:p>
        </c:rich>
      </c:tx>
      <c:layout>
        <c:manualLayout>
          <c:xMode val="edge"/>
          <c:yMode val="edge"/>
          <c:x val="0.15910785939262445"/>
          <c:y val="2.4059427923637269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tables'!$E$21</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tables'!$D$22:$D$27</c:f>
              <c:strCache>
                <c:ptCount val="5"/>
                <c:pt idx="0">
                  <c:v>Finance</c:v>
                </c:pt>
                <c:pt idx="1">
                  <c:v>HR</c:v>
                </c:pt>
                <c:pt idx="2">
                  <c:v>IT</c:v>
                </c:pt>
                <c:pt idx="3">
                  <c:v>Marketing</c:v>
                </c:pt>
                <c:pt idx="4">
                  <c:v>Sales</c:v>
                </c:pt>
              </c:strCache>
            </c:strRef>
          </c:cat>
          <c:val>
            <c:numRef>
              <c:f>'Pivot tables'!$E$22:$E$27</c:f>
              <c:numCache>
                <c:formatCode>General</c:formatCode>
                <c:ptCount val="5"/>
                <c:pt idx="0">
                  <c:v>90.999999999999972</c:v>
                </c:pt>
                <c:pt idx="1">
                  <c:v>90.598039215686271</c:v>
                </c:pt>
                <c:pt idx="2">
                  <c:v>91.72249999999994</c:v>
                </c:pt>
                <c:pt idx="3">
                  <c:v>90.77</c:v>
                </c:pt>
                <c:pt idx="4">
                  <c:v>90.916410256410245</c:v>
                </c:pt>
              </c:numCache>
            </c:numRef>
          </c:val>
          <c:smooth val="0"/>
          <c:extLst>
            <c:ext xmlns:c16="http://schemas.microsoft.com/office/drawing/2014/chart" uri="{C3380CC4-5D6E-409C-BE32-E72D297353CC}">
              <c16:uniqueId val="{00000000-BEBA-4896-B4AE-26AA4FCDA9F7}"/>
            </c:ext>
          </c:extLst>
        </c:ser>
        <c:dLbls>
          <c:dLblPos val="t"/>
          <c:showLegendKey val="0"/>
          <c:showVal val="1"/>
          <c:showCatName val="0"/>
          <c:showSerName val="0"/>
          <c:showPercent val="0"/>
          <c:showBubbleSize val="0"/>
        </c:dLbls>
        <c:marker val="1"/>
        <c:smooth val="0"/>
        <c:axId val="710469055"/>
        <c:axId val="1461187503"/>
      </c:lineChart>
      <c:catAx>
        <c:axId val="710469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87503"/>
        <c:crosses val="autoZero"/>
        <c:auto val="1"/>
        <c:lblAlgn val="ctr"/>
        <c:lblOffset val="100"/>
        <c:noMultiLvlLbl val="0"/>
      </c:catAx>
      <c:valAx>
        <c:axId val="146118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6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[Employee_Performance_Analytics_Dashboard.xlsx]Pivot tables!PivotTable11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solidFill>
              </a:rPr>
              <a:t>Salary Band Distribution</a:t>
            </a:r>
            <a:endParaRPr lang="en-US" sz="1800">
              <a:solidFill>
                <a:schemeClr val="tx2"/>
              </a:solidFill>
            </a:endParaRPr>
          </a:p>
        </c:rich>
      </c:tx>
      <c:layout>
        <c:manualLayout>
          <c:xMode val="edge"/>
          <c:yMode val="edge"/>
          <c:x val="0.25757543583012732"/>
          <c:y val="3.83015523438212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22952552856475"/>
          <c:y val="0.20785792536776654"/>
          <c:w val="0.84734232290624201"/>
          <c:h val="0.67628817243539818"/>
        </c:manualLayout>
      </c:layout>
      <c:barChart>
        <c:barDir val="col"/>
        <c:grouping val="clustered"/>
        <c:varyColors val="0"/>
        <c:ser>
          <c:idx val="0"/>
          <c:order val="0"/>
          <c:tx>
            <c:strRef>
              <c:f>'Pivot tables'!$B$21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tables'!$A$22:$A$25</c:f>
              <c:strCache>
                <c:ptCount val="3"/>
                <c:pt idx="0">
                  <c:v>High</c:v>
                </c:pt>
                <c:pt idx="1">
                  <c:v>Low</c:v>
                </c:pt>
                <c:pt idx="2">
                  <c:v>Medium</c:v>
                </c:pt>
              </c:strCache>
            </c:strRef>
          </c:cat>
          <c:val>
            <c:numRef>
              <c:f>'Pivot tables'!$B$22:$B$25</c:f>
              <c:numCache>
                <c:formatCode>General</c:formatCode>
                <c:ptCount val="3"/>
                <c:pt idx="0">
                  <c:v>540523</c:v>
                </c:pt>
                <c:pt idx="1">
                  <c:v>545975</c:v>
                </c:pt>
                <c:pt idx="2">
                  <c:v>414002</c:v>
                </c:pt>
              </c:numCache>
            </c:numRef>
          </c:val>
          <c:extLst>
            <c:ext xmlns:c16="http://schemas.microsoft.com/office/drawing/2014/chart" uri="{C3380CC4-5D6E-409C-BE32-E72D297353CC}">
              <c16:uniqueId val="{00000000-142D-4EB3-953C-4CFDCC7333D4}"/>
            </c:ext>
          </c:extLst>
        </c:ser>
        <c:dLbls>
          <c:dLblPos val="outEnd"/>
          <c:showLegendKey val="0"/>
          <c:showVal val="1"/>
          <c:showCatName val="0"/>
          <c:showSerName val="0"/>
          <c:showPercent val="0"/>
          <c:showBubbleSize val="0"/>
        </c:dLbls>
        <c:gapWidth val="219"/>
        <c:overlap val="-27"/>
        <c:axId val="805907567"/>
        <c:axId val="306385071"/>
      </c:barChart>
      <c:catAx>
        <c:axId val="80590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85071"/>
        <c:crosses val="autoZero"/>
        <c:auto val="1"/>
        <c:lblAlgn val="ctr"/>
        <c:lblOffset val="100"/>
        <c:noMultiLvlLbl val="0"/>
      </c:catAx>
      <c:valAx>
        <c:axId val="30638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90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[Employee_Performance_Analytics_Dashboard.xlsx]Pivot 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solidFill>
                  <a:schemeClr val="tx2"/>
                </a:solidFill>
              </a:rPr>
              <a:t>Total Compensation by City</a:t>
            </a:r>
            <a:endParaRPr lang="en-US" sz="1800">
              <a:solidFill>
                <a:schemeClr val="tx2"/>
              </a:solidFill>
            </a:endParaRPr>
          </a:p>
        </c:rich>
      </c:tx>
      <c:layout>
        <c:manualLayout>
          <c:xMode val="edge"/>
          <c:yMode val="edge"/>
          <c:x val="0.22925461055848995"/>
          <c:y val="3.55134077165624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7919359647695211"/>
              <c:y val="-4.3654132774560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5248982207716667"/>
              <c:y val="-4.001582611044248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3391379348772740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71182464157016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39254548367684489"/>
              <c:y val="-4.36541327745620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2682229250678"/>
          <c:y val="0.16737299201835179"/>
          <c:w val="0.73543955630411773"/>
          <c:h val="0.72794209352062711"/>
        </c:manualLayout>
      </c:layout>
      <c:barChart>
        <c:barDir val="bar"/>
        <c:grouping val="stacked"/>
        <c:varyColors val="0"/>
        <c:ser>
          <c:idx val="0"/>
          <c:order val="0"/>
          <c:tx>
            <c:strRef>
              <c:f>'Pivot tables'!$B$12</c:f>
              <c:strCache>
                <c:ptCount val="1"/>
                <c:pt idx="0">
                  <c:v>Total</c:v>
                </c:pt>
              </c:strCache>
            </c:strRef>
          </c:tx>
          <c:spPr>
            <a:solidFill>
              <a:schemeClr val="accent1"/>
            </a:solidFill>
            <a:ln>
              <a:noFill/>
            </a:ln>
            <a:effectLst/>
          </c:spPr>
          <c:invertIfNegative val="0"/>
          <c:dLbls>
            <c:dLbl>
              <c:idx val="0"/>
              <c:layout>
                <c:manualLayout>
                  <c:x val="0.39254548367684489"/>
                  <c:y val="-4.365413277456203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14-4CB0-A926-001466CBBC7E}"/>
                </c:ext>
              </c:extLst>
            </c:dLbl>
            <c:dLbl>
              <c:idx val="1"/>
              <c:layout>
                <c:manualLayout>
                  <c:x val="0.371182464157016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14-4CB0-A926-001466CBBC7E}"/>
                </c:ext>
              </c:extLst>
            </c:dLbl>
            <c:dLbl>
              <c:idx val="2"/>
              <c:layout>
                <c:manualLayout>
                  <c:x val="0.3391379348772740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14-4CB0-A926-001466CBBC7E}"/>
                </c:ext>
              </c:extLst>
            </c:dLbl>
            <c:dLbl>
              <c:idx val="3"/>
              <c:layout>
                <c:manualLayout>
                  <c:x val="0.35248982207716667"/>
                  <c:y val="-4.001582611044248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14-4CB0-A926-001466CBBC7E}"/>
                </c:ext>
              </c:extLst>
            </c:dLbl>
            <c:dLbl>
              <c:idx val="4"/>
              <c:layout>
                <c:manualLayout>
                  <c:x val="0.37919359647695211"/>
                  <c:y val="-4.365413277456043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14-4CB0-A926-001466CBBC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tables'!$A$13:$A$18</c:f>
              <c:strCache>
                <c:ptCount val="5"/>
                <c:pt idx="0">
                  <c:v>Bengaluru</c:v>
                </c:pt>
                <c:pt idx="1">
                  <c:v>Chennai</c:v>
                </c:pt>
                <c:pt idx="2">
                  <c:v>Hyderabad</c:v>
                </c:pt>
                <c:pt idx="3">
                  <c:v>Mumbai</c:v>
                </c:pt>
                <c:pt idx="4">
                  <c:v>Pune</c:v>
                </c:pt>
              </c:strCache>
            </c:strRef>
          </c:cat>
          <c:val>
            <c:numRef>
              <c:f>'Pivot tables'!$B$13:$B$18</c:f>
              <c:numCache>
                <c:formatCode>General</c:formatCode>
                <c:ptCount val="5"/>
                <c:pt idx="0">
                  <c:v>327629</c:v>
                </c:pt>
                <c:pt idx="1">
                  <c:v>299850</c:v>
                </c:pt>
                <c:pt idx="2">
                  <c:v>272550</c:v>
                </c:pt>
                <c:pt idx="3">
                  <c:v>285818</c:v>
                </c:pt>
                <c:pt idx="4">
                  <c:v>314653</c:v>
                </c:pt>
              </c:numCache>
            </c:numRef>
          </c:val>
          <c:extLst>
            <c:ext xmlns:c16="http://schemas.microsoft.com/office/drawing/2014/chart" uri="{C3380CC4-5D6E-409C-BE32-E72D297353CC}">
              <c16:uniqueId val="{00000000-D314-4CB0-A926-001466CBBC7E}"/>
            </c:ext>
          </c:extLst>
        </c:ser>
        <c:dLbls>
          <c:dLblPos val="ctr"/>
          <c:showLegendKey val="0"/>
          <c:showVal val="1"/>
          <c:showCatName val="0"/>
          <c:showSerName val="0"/>
          <c:showPercent val="0"/>
          <c:showBubbleSize val="0"/>
        </c:dLbls>
        <c:gapWidth val="150"/>
        <c:overlap val="100"/>
        <c:axId val="747125376"/>
        <c:axId val="753411952"/>
      </c:barChart>
      <c:catAx>
        <c:axId val="7471253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11952"/>
        <c:crosses val="autoZero"/>
        <c:auto val="1"/>
        <c:lblAlgn val="ctr"/>
        <c:lblOffset val="100"/>
        <c:noMultiLvlLbl val="0"/>
      </c:catAx>
      <c:valAx>
        <c:axId val="75341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12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4">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Reversed" id="24">
  <a:schemeClr val="accent4"/>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439077</xdr:colOff>
      <xdr:row>16</xdr:row>
      <xdr:rowOff>37070</xdr:rowOff>
    </xdr:to>
    <xdr:graphicFrame macro="">
      <xdr:nvGraphicFramePr>
        <xdr:cNvPr id="2" name="Chart 1">
          <a:extLst>
            <a:ext uri="{FF2B5EF4-FFF2-40B4-BE49-F238E27FC236}">
              <a16:creationId xmlns:a16="http://schemas.microsoft.com/office/drawing/2014/main" id="{0D9887D7-E272-45C8-B60A-3253482B2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0</xdr:rowOff>
    </xdr:from>
    <xdr:to>
      <xdr:col>15</xdr:col>
      <xdr:colOff>510746</xdr:colOff>
      <xdr:row>16</xdr:row>
      <xdr:rowOff>37070</xdr:rowOff>
    </xdr:to>
    <xdr:graphicFrame macro="">
      <xdr:nvGraphicFramePr>
        <xdr:cNvPr id="3" name="Chart 2">
          <a:extLst>
            <a:ext uri="{FF2B5EF4-FFF2-40B4-BE49-F238E27FC236}">
              <a16:creationId xmlns:a16="http://schemas.microsoft.com/office/drawing/2014/main" id="{FAF86D32-D6CC-4C4C-B86E-15B5B32DA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xdr:row>
      <xdr:rowOff>0</xdr:rowOff>
    </xdr:from>
    <xdr:to>
      <xdr:col>23</xdr:col>
      <xdr:colOff>130310</xdr:colOff>
      <xdr:row>16</xdr:row>
      <xdr:rowOff>29170</xdr:rowOff>
    </xdr:to>
    <xdr:graphicFrame macro="">
      <xdr:nvGraphicFramePr>
        <xdr:cNvPr id="4" name="Chart 3">
          <a:extLst>
            <a:ext uri="{FF2B5EF4-FFF2-40B4-BE49-F238E27FC236}">
              <a16:creationId xmlns:a16="http://schemas.microsoft.com/office/drawing/2014/main" id="{FEE3E7E7-3CE9-404B-A1F7-FAC1203CB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0</xdr:rowOff>
    </xdr:from>
    <xdr:to>
      <xdr:col>7</xdr:col>
      <xdr:colOff>474132</xdr:colOff>
      <xdr:row>32</xdr:row>
      <xdr:rowOff>125029</xdr:rowOff>
    </xdr:to>
    <xdr:graphicFrame macro="">
      <xdr:nvGraphicFramePr>
        <xdr:cNvPr id="5" name="Chart 4">
          <a:extLst>
            <a:ext uri="{FF2B5EF4-FFF2-40B4-BE49-F238E27FC236}">
              <a16:creationId xmlns:a16="http://schemas.microsoft.com/office/drawing/2014/main" id="{FB730CBF-93F8-4919-B805-7DCC6D3EC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17</xdr:row>
      <xdr:rowOff>0</xdr:rowOff>
    </xdr:from>
    <xdr:to>
      <xdr:col>15</xdr:col>
      <xdr:colOff>515896</xdr:colOff>
      <xdr:row>32</xdr:row>
      <xdr:rowOff>140329</xdr:rowOff>
    </xdr:to>
    <xdr:graphicFrame macro="">
      <xdr:nvGraphicFramePr>
        <xdr:cNvPr id="6" name="Chart 5">
          <a:extLst>
            <a:ext uri="{FF2B5EF4-FFF2-40B4-BE49-F238E27FC236}">
              <a16:creationId xmlns:a16="http://schemas.microsoft.com/office/drawing/2014/main" id="{FD540B10-2619-4AEC-B21F-616F6F270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17</xdr:row>
      <xdr:rowOff>0</xdr:rowOff>
    </xdr:from>
    <xdr:to>
      <xdr:col>23</xdr:col>
      <xdr:colOff>176930</xdr:colOff>
      <xdr:row>32</xdr:row>
      <xdr:rowOff>135467</xdr:rowOff>
    </xdr:to>
    <xdr:graphicFrame macro="">
      <xdr:nvGraphicFramePr>
        <xdr:cNvPr id="7" name="Chart 6">
          <a:extLst>
            <a:ext uri="{FF2B5EF4-FFF2-40B4-BE49-F238E27FC236}">
              <a16:creationId xmlns:a16="http://schemas.microsoft.com/office/drawing/2014/main" id="{A1CBEBE9-43AE-41FF-B4D6-E4944354F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34</xdr:row>
      <xdr:rowOff>0</xdr:rowOff>
    </xdr:from>
    <xdr:to>
      <xdr:col>7</xdr:col>
      <xdr:colOff>167640</xdr:colOff>
      <xdr:row>48</xdr:row>
      <xdr:rowOff>125527</xdr:rowOff>
    </xdr:to>
    <xdr:graphicFrame macro="">
      <xdr:nvGraphicFramePr>
        <xdr:cNvPr id="8" name="Chart 7">
          <a:extLst>
            <a:ext uri="{FF2B5EF4-FFF2-40B4-BE49-F238E27FC236}">
              <a16:creationId xmlns:a16="http://schemas.microsoft.com/office/drawing/2014/main" id="{319110B2-1D07-4C06-8ABC-0005E781E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34</xdr:row>
      <xdr:rowOff>0</xdr:rowOff>
    </xdr:from>
    <xdr:to>
      <xdr:col>13</xdr:col>
      <xdr:colOff>173405</xdr:colOff>
      <xdr:row>48</xdr:row>
      <xdr:rowOff>171809</xdr:rowOff>
    </xdr:to>
    <xdr:graphicFrame macro="">
      <xdr:nvGraphicFramePr>
        <xdr:cNvPr id="9" name="Chart 8">
          <a:extLst>
            <a:ext uri="{FF2B5EF4-FFF2-40B4-BE49-F238E27FC236}">
              <a16:creationId xmlns:a16="http://schemas.microsoft.com/office/drawing/2014/main" id="{1646F0D5-15EA-4675-A71A-B8F81E2C0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0</xdr:colOff>
      <xdr:row>34</xdr:row>
      <xdr:rowOff>0</xdr:rowOff>
    </xdr:from>
    <xdr:to>
      <xdr:col>21</xdr:col>
      <xdr:colOff>165109</xdr:colOff>
      <xdr:row>48</xdr:row>
      <xdr:rowOff>153372</xdr:rowOff>
    </xdr:to>
    <xdr:graphicFrame macro="">
      <xdr:nvGraphicFramePr>
        <xdr:cNvPr id="10" name="Chart 9">
          <a:extLst>
            <a:ext uri="{FF2B5EF4-FFF2-40B4-BE49-F238E27FC236}">
              <a16:creationId xmlns:a16="http://schemas.microsoft.com/office/drawing/2014/main" id="{CBB53A15-AD40-46C7-9F1B-BCC384AC1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51</xdr:row>
      <xdr:rowOff>0</xdr:rowOff>
    </xdr:from>
    <xdr:to>
      <xdr:col>8</xdr:col>
      <xdr:colOff>280376</xdr:colOff>
      <xdr:row>65</xdr:row>
      <xdr:rowOff>140036</xdr:rowOff>
    </xdr:to>
    <xdr:graphicFrame macro="">
      <xdr:nvGraphicFramePr>
        <xdr:cNvPr id="11" name="Chart 10">
          <a:extLst>
            <a:ext uri="{FF2B5EF4-FFF2-40B4-BE49-F238E27FC236}">
              <a16:creationId xmlns:a16="http://schemas.microsoft.com/office/drawing/2014/main" id="{DBDB9FF3-24D9-4713-B709-989D00574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731520</xdr:colOff>
      <xdr:row>22</xdr:row>
      <xdr:rowOff>0</xdr:rowOff>
    </xdr:to>
    <xdr:graphicFrame macro="">
      <xdr:nvGraphicFramePr>
        <xdr:cNvPr id="2" name="Chart 1">
          <a:extLst>
            <a:ext uri="{FF2B5EF4-FFF2-40B4-BE49-F238E27FC236}">
              <a16:creationId xmlns:a16="http://schemas.microsoft.com/office/drawing/2014/main" id="{D1BBBA4F-5437-457D-9420-E569231B8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xdr:row>
      <xdr:rowOff>175260</xdr:rowOff>
    </xdr:from>
    <xdr:to>
      <xdr:col>16</xdr:col>
      <xdr:colOff>0</xdr:colOff>
      <xdr:row>21</xdr:row>
      <xdr:rowOff>175260</xdr:rowOff>
    </xdr:to>
    <xdr:graphicFrame macro="">
      <xdr:nvGraphicFramePr>
        <xdr:cNvPr id="3" name="Chart 2">
          <a:extLst>
            <a:ext uri="{FF2B5EF4-FFF2-40B4-BE49-F238E27FC236}">
              <a16:creationId xmlns:a16="http://schemas.microsoft.com/office/drawing/2014/main" id="{2CC81437-4E96-4FDE-8AC8-32CD3BB42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7</xdr:row>
      <xdr:rowOff>-1</xdr:rowOff>
    </xdr:from>
    <xdr:to>
      <xdr:col>23</xdr:col>
      <xdr:colOff>41753</xdr:colOff>
      <xdr:row>21</xdr:row>
      <xdr:rowOff>177451</xdr:rowOff>
    </xdr:to>
    <xdr:graphicFrame macro="">
      <xdr:nvGraphicFramePr>
        <xdr:cNvPr id="4" name="Chart 3">
          <a:extLst>
            <a:ext uri="{FF2B5EF4-FFF2-40B4-BE49-F238E27FC236}">
              <a16:creationId xmlns:a16="http://schemas.microsoft.com/office/drawing/2014/main" id="{1CBF6854-B2E9-46AD-85E4-D2FD9CAC0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22</xdr:row>
      <xdr:rowOff>10438</xdr:rowOff>
    </xdr:from>
    <xdr:to>
      <xdr:col>8</xdr:col>
      <xdr:colOff>-1</xdr:colOff>
      <xdr:row>38</xdr:row>
      <xdr:rowOff>0</xdr:rowOff>
    </xdr:to>
    <xdr:graphicFrame macro="">
      <xdr:nvGraphicFramePr>
        <xdr:cNvPr id="5" name="Chart 4">
          <a:extLst>
            <a:ext uri="{FF2B5EF4-FFF2-40B4-BE49-F238E27FC236}">
              <a16:creationId xmlns:a16="http://schemas.microsoft.com/office/drawing/2014/main" id="{10C3FE54-8657-49DB-9121-AD2C55518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22</xdr:row>
      <xdr:rowOff>14654</xdr:rowOff>
    </xdr:from>
    <xdr:to>
      <xdr:col>23</xdr:col>
      <xdr:colOff>62630</xdr:colOff>
      <xdr:row>38</xdr:row>
      <xdr:rowOff>14654</xdr:rowOff>
    </xdr:to>
    <xdr:graphicFrame macro="">
      <xdr:nvGraphicFramePr>
        <xdr:cNvPr id="7" name="Chart 6">
          <a:extLst>
            <a:ext uri="{FF2B5EF4-FFF2-40B4-BE49-F238E27FC236}">
              <a16:creationId xmlns:a16="http://schemas.microsoft.com/office/drawing/2014/main" id="{756E62DF-AF71-42A4-AA4A-67EC63841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38</xdr:row>
      <xdr:rowOff>0</xdr:rowOff>
    </xdr:from>
    <xdr:to>
      <xdr:col>6</xdr:col>
      <xdr:colOff>190500</xdr:colOff>
      <xdr:row>52</xdr:row>
      <xdr:rowOff>167014</xdr:rowOff>
    </xdr:to>
    <xdr:graphicFrame macro="">
      <xdr:nvGraphicFramePr>
        <xdr:cNvPr id="8" name="Chart 7">
          <a:extLst>
            <a:ext uri="{FF2B5EF4-FFF2-40B4-BE49-F238E27FC236}">
              <a16:creationId xmlns:a16="http://schemas.microsoft.com/office/drawing/2014/main" id="{60AD8242-08EC-4AA5-BB5B-B202B478F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205154</xdr:colOff>
      <xdr:row>37</xdr:row>
      <xdr:rowOff>146538</xdr:rowOff>
    </xdr:from>
    <xdr:to>
      <xdr:col>11</xdr:col>
      <xdr:colOff>219809</xdr:colOff>
      <xdr:row>53</xdr:row>
      <xdr:rowOff>0</xdr:rowOff>
    </xdr:to>
    <xdr:graphicFrame macro="">
      <xdr:nvGraphicFramePr>
        <xdr:cNvPr id="9" name="Chart 8">
          <a:extLst>
            <a:ext uri="{FF2B5EF4-FFF2-40B4-BE49-F238E27FC236}">
              <a16:creationId xmlns:a16="http://schemas.microsoft.com/office/drawing/2014/main" id="{A683B6F9-9C76-4566-B2A2-9C0281563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483577</xdr:colOff>
      <xdr:row>38</xdr:row>
      <xdr:rowOff>14655</xdr:rowOff>
    </xdr:from>
    <xdr:to>
      <xdr:col>26</xdr:col>
      <xdr:colOff>14653</xdr:colOff>
      <xdr:row>53</xdr:row>
      <xdr:rowOff>16261</xdr:rowOff>
    </xdr:to>
    <xdr:graphicFrame macro="">
      <xdr:nvGraphicFramePr>
        <xdr:cNvPr id="11" name="Chart 10">
          <a:extLst>
            <a:ext uri="{FF2B5EF4-FFF2-40B4-BE49-F238E27FC236}">
              <a16:creationId xmlns:a16="http://schemas.microsoft.com/office/drawing/2014/main" id="{5F941A31-3B57-4749-96AF-F735200AC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205155</xdr:colOff>
      <xdr:row>38</xdr:row>
      <xdr:rowOff>14653</xdr:rowOff>
    </xdr:from>
    <xdr:to>
      <xdr:col>18</xdr:col>
      <xdr:colOff>499381</xdr:colOff>
      <xdr:row>53</xdr:row>
      <xdr:rowOff>29595</xdr:rowOff>
    </xdr:to>
    <xdr:graphicFrame macro="">
      <xdr:nvGraphicFramePr>
        <xdr:cNvPr id="12" name="Chart 11">
          <a:extLst>
            <a:ext uri="{FF2B5EF4-FFF2-40B4-BE49-F238E27FC236}">
              <a16:creationId xmlns:a16="http://schemas.microsoft.com/office/drawing/2014/main" id="{F459752E-5BD5-4CFF-8ED2-A9097B2DC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23</xdr:col>
      <xdr:colOff>0</xdr:colOff>
      <xdr:row>3</xdr:row>
      <xdr:rowOff>0</xdr:rowOff>
    </xdr:from>
    <xdr:to>
      <xdr:col>26</xdr:col>
      <xdr:colOff>7749</xdr:colOff>
      <xdr:row>16</xdr:row>
      <xdr:rowOff>116398</xdr:rowOff>
    </xdr:to>
    <mc:AlternateContent xmlns:mc="http://schemas.openxmlformats.org/markup-compatibility/2006" xmlns:a14="http://schemas.microsoft.com/office/drawing/2010/main">
      <mc:Choice Requires="a14">
        <xdr:graphicFrame macro="">
          <xdr:nvGraphicFramePr>
            <xdr:cNvPr id="13" name="Department 1">
              <a:extLst>
                <a:ext uri="{FF2B5EF4-FFF2-40B4-BE49-F238E27FC236}">
                  <a16:creationId xmlns:a16="http://schemas.microsoft.com/office/drawing/2014/main" id="{6A008929-46BF-4D09-9077-2FF8B4DCAF4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860780" y="723900"/>
              <a:ext cx="1836549" cy="2493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12915</xdr:colOff>
      <xdr:row>12</xdr:row>
      <xdr:rowOff>0</xdr:rowOff>
    </xdr:from>
    <xdr:to>
      <xdr:col>26</xdr:col>
      <xdr:colOff>20664</xdr:colOff>
      <xdr:row>25</xdr:row>
      <xdr:rowOff>116398</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7E9F4DA5-D75E-4AED-8FB3-98750206CD7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873695" y="2369820"/>
              <a:ext cx="1836549" cy="2493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741404</xdr:colOff>
      <xdr:row>21</xdr:row>
      <xdr:rowOff>185351</xdr:rowOff>
    </xdr:from>
    <xdr:to>
      <xdr:col>16</xdr:col>
      <xdr:colOff>0</xdr:colOff>
      <xdr:row>38</xdr:row>
      <xdr:rowOff>10297</xdr:rowOff>
    </xdr:to>
    <xdr:graphicFrame macro="">
      <xdr:nvGraphicFramePr>
        <xdr:cNvPr id="10" name="Chart 9">
          <a:extLst>
            <a:ext uri="{FF2B5EF4-FFF2-40B4-BE49-F238E27FC236}">
              <a16:creationId xmlns:a16="http://schemas.microsoft.com/office/drawing/2014/main" id="{C7130532-F540-4407-87CD-EFE23AFAA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23</xdr:col>
      <xdr:colOff>0</xdr:colOff>
      <xdr:row>16</xdr:row>
      <xdr:rowOff>120952</xdr:rowOff>
    </xdr:from>
    <xdr:to>
      <xdr:col>26</xdr:col>
      <xdr:colOff>14514</xdr:colOff>
      <xdr:row>30</xdr:row>
      <xdr:rowOff>47927</xdr:rowOff>
    </xdr:to>
    <mc:AlternateContent xmlns:mc="http://schemas.openxmlformats.org/markup-compatibility/2006">
      <mc:Choice xmlns:a14="http://schemas.microsoft.com/office/drawing/2010/main" Requires="a14">
        <xdr:graphicFrame macro="">
          <xdr:nvGraphicFramePr>
            <xdr:cNvPr id="19" name="City 2">
              <a:extLst>
                <a:ext uri="{FF2B5EF4-FFF2-40B4-BE49-F238E27FC236}">
                  <a16:creationId xmlns:a16="http://schemas.microsoft.com/office/drawing/2014/main" id="{F03EDAE8-534D-4F81-A760-30F3DDD12AAA}"/>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3832237" y="3194783"/>
              <a:ext cx="1835565" cy="2458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25</xdr:row>
      <xdr:rowOff>96762</xdr:rowOff>
    </xdr:from>
    <xdr:to>
      <xdr:col>26</xdr:col>
      <xdr:colOff>7749</xdr:colOff>
      <xdr:row>38</xdr:row>
      <xdr:rowOff>42762</xdr:rowOff>
    </xdr:to>
    <mc:AlternateContent xmlns:mc="http://schemas.openxmlformats.org/markup-compatibility/2006">
      <mc:Choice xmlns:a14="http://schemas.microsoft.com/office/drawing/2010/main" Requires="a14">
        <xdr:graphicFrame macro="">
          <xdr:nvGraphicFramePr>
            <xdr:cNvPr id="20" name="Employment_Type 2">
              <a:extLst>
                <a:ext uri="{FF2B5EF4-FFF2-40B4-BE49-F238E27FC236}">
                  <a16:creationId xmlns:a16="http://schemas.microsoft.com/office/drawing/2014/main" id="{018BF669-4C56-43E3-B3BF-64ED39EFF7AE}"/>
                </a:ext>
              </a:extLst>
            </xdr:cNvPr>
            <xdr:cNvGraphicFramePr/>
          </xdr:nvGraphicFramePr>
          <xdr:xfrm>
            <a:off x="0" y="0"/>
            <a:ext cx="0" cy="0"/>
          </xdr:xfrm>
          <a:graphic>
            <a:graphicData uri="http://schemas.microsoft.com/office/drawing/2010/slicer">
              <sle:slicer xmlns:sle="http://schemas.microsoft.com/office/drawing/2010/slicer" name="Employment_Type 2"/>
            </a:graphicData>
          </a:graphic>
        </xdr:graphicFrame>
      </mc:Choice>
      <mc:Fallback>
        <xdr:sp macro="" textlink="">
          <xdr:nvSpPr>
            <xdr:cNvPr id="0" name=""/>
            <xdr:cNvSpPr>
              <a:spLocks noTextEdit="1"/>
            </xdr:cNvSpPr>
          </xdr:nvSpPr>
          <xdr:spPr>
            <a:xfrm>
              <a:off x="13832237" y="4797915"/>
              <a:ext cx="1828800" cy="2296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9535</xdr:colOff>
      <xdr:row>30</xdr:row>
      <xdr:rowOff>92342</xdr:rowOff>
    </xdr:from>
    <xdr:to>
      <xdr:col>26</xdr:col>
      <xdr:colOff>17284</xdr:colOff>
      <xdr:row>38</xdr:row>
      <xdr:rowOff>17573</xdr:rowOff>
    </xdr:to>
    <mc:AlternateContent xmlns:mc="http://schemas.openxmlformats.org/markup-compatibility/2006">
      <mc:Choice xmlns:a14="http://schemas.microsoft.com/office/drawing/2010/main" Requires="a14">
        <xdr:graphicFrame macro="">
          <xdr:nvGraphicFramePr>
            <xdr:cNvPr id="21" name="Experience_Level 2">
              <a:extLst>
                <a:ext uri="{FF2B5EF4-FFF2-40B4-BE49-F238E27FC236}">
                  <a16:creationId xmlns:a16="http://schemas.microsoft.com/office/drawing/2014/main" id="{359AB361-05E6-4A48-B9A8-2557C852A3D0}"/>
                </a:ext>
              </a:extLst>
            </xdr:cNvPr>
            <xdr:cNvGraphicFramePr/>
          </xdr:nvGraphicFramePr>
          <xdr:xfrm>
            <a:off x="0" y="0"/>
            <a:ext cx="0" cy="0"/>
          </xdr:xfrm>
          <a:graphic>
            <a:graphicData uri="http://schemas.microsoft.com/office/drawing/2010/slicer">
              <sle:slicer xmlns:sle="http://schemas.microsoft.com/office/drawing/2010/slicer" name="Experience_Level 2"/>
            </a:graphicData>
          </a:graphic>
        </xdr:graphicFrame>
      </mc:Choice>
      <mc:Fallback>
        <xdr:sp macro="" textlink="">
          <xdr:nvSpPr>
            <xdr:cNvPr id="0" name=""/>
            <xdr:cNvSpPr>
              <a:spLocks noTextEdit="1"/>
            </xdr:cNvSpPr>
          </xdr:nvSpPr>
          <xdr:spPr>
            <a:xfrm>
              <a:off x="13841772" y="5697562"/>
              <a:ext cx="1828800" cy="137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boina\AppData\Roaming\Microsoft\Excel\Employee_Performance_Analytics_Dataset_1000%20(1)%20(version%202).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ina" refreshedDate="46218.627331481483" createdVersion="8" refreshedVersion="8" minRefreshableVersion="3" recordCount="1000" xr:uid="{FF5F7A4F-9334-4CE0-9819-96EFE98BF10D}">
  <cacheSource type="worksheet">
    <worksheetSource ref="A1:T1001" sheet="Employee_Data" r:id="rId2"/>
  </cacheSource>
  <cacheFields count="20">
    <cacheField name="Employee_ID" numFmtId="0">
      <sharedItems containsSemiMixedTypes="0" containsString="0" containsNumber="1" containsInteger="1" minValue="1001" maxValue="2000"/>
    </cacheField>
    <cacheField name="Employee_Name" numFmtId="0">
      <sharedItems/>
    </cacheField>
    <cacheField name="Gender" numFmtId="0">
      <sharedItems count="2">
        <s v="Male"/>
        <s v="Female"/>
      </sharedItems>
    </cacheField>
    <cacheField name="Age" numFmtId="0">
      <sharedItems containsSemiMixedTypes="0" containsString="0" containsNumber="1" containsInteger="1" minValue="22" maxValue="45"/>
    </cacheField>
    <cacheField name="Department" numFmtId="0">
      <sharedItems count="5">
        <s v="Sales"/>
        <s v="Finance"/>
        <s v="IT"/>
        <s v="HR"/>
        <s v="Marketing"/>
      </sharedItems>
    </cacheField>
    <cacheField name="Designation" numFmtId="0">
      <sharedItems/>
    </cacheField>
    <cacheField name="City" numFmtId="0">
      <sharedItems containsBlank="1" count="6">
        <s v="Bengaluru"/>
        <s v="Hyderabad"/>
        <s v="Chennai"/>
        <s v="Mumbai"/>
        <s v="Pune"/>
        <m/>
      </sharedItems>
    </cacheField>
    <cacheField name="Joining_Date" numFmtId="0">
      <sharedItems/>
    </cacheField>
    <cacheField name="Experience_Years" numFmtId="0">
      <sharedItems containsSemiMixedTypes="0" containsString="0" containsNumber="1" containsInteger="1" minValue="0" maxValue="10"/>
    </cacheField>
    <cacheField name="Salary" numFmtId="0">
      <sharedItems containsString="0" containsBlank="1" containsNumber="1" containsInteger="1" minValue="25063" maxValue="94973"/>
    </cacheField>
    <cacheField name="Performance_Rating" numFmtId="0">
      <sharedItems containsSemiMixedTypes="0" containsString="0" containsNumber="1" minValue="2.5" maxValue="5"/>
    </cacheField>
    <cacheField name="Attendance_Percent" numFmtId="0">
      <sharedItems containsSemiMixedTypes="0" containsString="0" containsNumber="1" minValue="82" maxValue="100"/>
    </cacheField>
    <cacheField name="Overtime_Hours" numFmtId="0">
      <sharedItems containsSemiMixedTypes="0" containsString="0" containsNumber="1" containsInteger="1" minValue="0" maxValue="25"/>
    </cacheField>
    <cacheField name="Training_Hours" numFmtId="0">
      <sharedItems containsSemiMixedTypes="0" containsString="0" containsNumber="1" containsInteger="1" minValue="5" maxValue="60"/>
    </cacheField>
    <cacheField name="Bonus" numFmtId="0">
      <sharedItems containsSemiMixedTypes="0" containsString="0" containsNumber="1" containsInteger="1" minValue="1025" maxValue="14983"/>
    </cacheField>
    <cacheField name="Manager" numFmtId="0">
      <sharedItems/>
    </cacheField>
    <cacheField name="Employment_Type" numFmtId="0">
      <sharedItems count="2">
        <s v="Contract"/>
        <s v="Full-Time"/>
      </sharedItems>
    </cacheField>
    <cacheField name="Performance_Category" numFmtId="0">
      <sharedItems count="4">
        <s v="Average"/>
        <s v="Needs Improvement"/>
        <s v="Good"/>
        <s v="Excellent"/>
      </sharedItems>
    </cacheField>
    <cacheField name="Salary_Band" numFmtId="0">
      <sharedItems count="3">
        <s v="High"/>
        <s v="Low"/>
        <s v="Medium"/>
      </sharedItems>
    </cacheField>
    <cacheField name="Experience_Level" numFmtId="0">
      <sharedItems count="3">
        <s v="Junior"/>
        <s v="Mid Level"/>
        <s v="Senior"/>
      </sharedItems>
    </cacheField>
  </cacheFields>
  <extLst>
    <ext xmlns:x14="http://schemas.microsoft.com/office/spreadsheetml/2009/9/main" uri="{725AE2AE-9491-48be-B2B4-4EB974FC3084}">
      <x14:pivotCacheDefinition pivotCacheId="6237743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ina" refreshedDate="46219.561436226853" createdVersion="8" refreshedVersion="8" minRefreshableVersion="3" recordCount="1000" xr:uid="{B5D0F06B-93C6-4095-BF10-801E4ACB5A68}">
  <cacheSource type="worksheet">
    <worksheetSource name="Employee"/>
  </cacheSource>
  <cacheFields count="25">
    <cacheField name="Employee_ID" numFmtId="0">
      <sharedItems containsSemiMixedTypes="0" containsString="0" containsNumber="1" containsInteger="1" minValue="1001" maxValue="2000"/>
    </cacheField>
    <cacheField name="Employee_Name" numFmtId="0">
      <sharedItems/>
    </cacheField>
    <cacheField name="Gender" numFmtId="0">
      <sharedItems/>
    </cacheField>
    <cacheField name="Age" numFmtId="0">
      <sharedItems containsSemiMixedTypes="0" containsString="0" containsNumber="1" containsInteger="1" minValue="22" maxValue="45"/>
    </cacheField>
    <cacheField name="Department" numFmtId="0">
      <sharedItems/>
    </cacheField>
    <cacheField name="Designation" numFmtId="0">
      <sharedItems/>
    </cacheField>
    <cacheField name="City" numFmtId="0">
      <sharedItems count="5">
        <s v="Bengaluru"/>
        <s v="Hyderabad"/>
        <s v="Chennai"/>
        <s v="Mumbai"/>
        <s v="Pune"/>
      </sharedItems>
    </cacheField>
    <cacheField name="Joining_Date" numFmtId="0">
      <sharedItems/>
    </cacheField>
    <cacheField name="Experience_Years" numFmtId="0">
      <sharedItems containsSemiMixedTypes="0" containsString="0" containsNumber="1" containsInteger="1" minValue="0" maxValue="10"/>
    </cacheField>
    <cacheField name="Salary" numFmtId="0">
      <sharedItems containsString="0" containsBlank="1" containsNumber="1" containsInteger="1" minValue="25063" maxValue="94973"/>
    </cacheField>
    <cacheField name="Performance_Rating" numFmtId="0">
      <sharedItems containsSemiMixedTypes="0" containsString="0" containsNumber="1" minValue="2.5" maxValue="5"/>
    </cacheField>
    <cacheField name="Attendance_Percent" numFmtId="0">
      <sharedItems containsSemiMixedTypes="0" containsString="0" containsNumber="1" minValue="82" maxValue="100"/>
    </cacheField>
    <cacheField name="Overtime_Hours" numFmtId="0">
      <sharedItems containsSemiMixedTypes="0" containsString="0" containsNumber="1" containsInteger="1" minValue="0" maxValue="25"/>
    </cacheField>
    <cacheField name="Training_Hours" numFmtId="0">
      <sharedItems containsSemiMixedTypes="0" containsString="0" containsNumber="1" containsInteger="1" minValue="5" maxValue="60"/>
    </cacheField>
    <cacheField name="Bonus" numFmtId="0">
      <sharedItems containsSemiMixedTypes="0" containsString="0" containsNumber="1" containsInteger="1" minValue="1025" maxValue="14983"/>
    </cacheField>
    <cacheField name="Manager" numFmtId="0">
      <sharedItems/>
    </cacheField>
    <cacheField name="Employment_Type" numFmtId="0">
      <sharedItems/>
    </cacheField>
    <cacheField name="Performance_Category" numFmtId="0">
      <sharedItems/>
    </cacheField>
    <cacheField name="Salary_Band" numFmtId="0">
      <sharedItems/>
    </cacheField>
    <cacheField name="Experience_Level" numFmtId="0">
      <sharedItems/>
    </cacheField>
    <cacheField name="Total Compensation" numFmtId="0">
      <sharedItems containsSemiMixedTypes="0" containsString="0" containsNumber="1" containsInteger="1" minValue="2594" maxValue="109282"/>
    </cacheField>
    <cacheField name="Attendance Status" numFmtId="0">
      <sharedItems/>
    </cacheField>
    <cacheField name="Overtime Category" numFmtId="0">
      <sharedItems/>
    </cacheField>
    <cacheField name="Experience Group" numFmtId="0">
      <sharedItems/>
    </cacheField>
    <cacheField name="Age Group" numFmtId="0">
      <sharedItems/>
    </cacheField>
  </cacheFields>
  <extLst>
    <ext xmlns:x14="http://schemas.microsoft.com/office/spreadsheetml/2009/9/main" uri="{725AE2AE-9491-48be-B2B4-4EB974FC3084}">
      <x14:pivotCacheDefinition pivotCacheId="2067258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s v="Varun"/>
    <x v="0"/>
    <n v="45"/>
    <x v="0"/>
    <s v="Sales Executive"/>
    <x v="0"/>
    <s v="2018-06-22"/>
    <n v="2"/>
    <n v="84236"/>
    <n v="3.4"/>
    <n v="97.5"/>
    <n v="4"/>
    <n v="25"/>
    <n v="9454"/>
    <s v="Ramesh"/>
    <x v="0"/>
    <x v="0"/>
    <x v="0"/>
    <x v="0"/>
  </r>
  <r>
    <n v="1002"/>
    <s v="Priya"/>
    <x v="0"/>
    <n v="28"/>
    <x v="0"/>
    <s v="Sales Executive"/>
    <x v="0"/>
    <s v="2024-01-15"/>
    <n v="3"/>
    <n v="28435"/>
    <n v="3.8"/>
    <n v="99.2"/>
    <n v="6"/>
    <n v="27"/>
    <n v="9598"/>
    <s v="Suresh"/>
    <x v="0"/>
    <x v="0"/>
    <x v="1"/>
    <x v="1"/>
  </r>
  <r>
    <n v="1003"/>
    <s v="Anu"/>
    <x v="1"/>
    <n v="25"/>
    <x v="1"/>
    <s v="Accountant"/>
    <x v="0"/>
    <s v="2019-10-04"/>
    <n v="4"/>
    <n v="84571"/>
    <n v="2.6"/>
    <n v="96"/>
    <n v="22"/>
    <n v="23"/>
    <n v="12286"/>
    <s v="Anitha"/>
    <x v="0"/>
    <x v="1"/>
    <x v="0"/>
    <x v="1"/>
  </r>
  <r>
    <n v="1004"/>
    <s v="Rahul"/>
    <x v="1"/>
    <n v="39"/>
    <x v="1"/>
    <s v="Financial Analyst"/>
    <x v="1"/>
    <s v="2022-02-25"/>
    <n v="10"/>
    <n v="60489"/>
    <n v="3.9"/>
    <n v="99.1"/>
    <n v="1"/>
    <n v="14"/>
    <n v="3379"/>
    <s v="Amit"/>
    <x v="1"/>
    <x v="0"/>
    <x v="2"/>
    <x v="2"/>
  </r>
  <r>
    <n v="1005"/>
    <s v="Varun"/>
    <x v="1"/>
    <n v="24"/>
    <x v="0"/>
    <s v="Sales Executive"/>
    <x v="2"/>
    <s v="2023-08-25"/>
    <n v="8"/>
    <n v="76776"/>
    <n v="2.6"/>
    <n v="86"/>
    <n v="21"/>
    <n v="40"/>
    <n v="12654"/>
    <s v="Kavya"/>
    <x v="0"/>
    <x v="1"/>
    <x v="0"/>
    <x v="2"/>
  </r>
  <r>
    <n v="1006"/>
    <s v="Nikhil"/>
    <x v="0"/>
    <n v="22"/>
    <x v="2"/>
    <s v="Data Analyst"/>
    <x v="1"/>
    <s v="2019-02-01"/>
    <n v="8"/>
    <n v="50581"/>
    <n v="4.2"/>
    <n v="96.8"/>
    <n v="15"/>
    <n v="53"/>
    <n v="3349"/>
    <s v="Kavya"/>
    <x v="1"/>
    <x v="2"/>
    <x v="2"/>
    <x v="2"/>
  </r>
  <r>
    <n v="1007"/>
    <s v="Rahul"/>
    <x v="1"/>
    <n v="30"/>
    <x v="0"/>
    <s v="Sales Executive"/>
    <x v="3"/>
    <s v="2025-05-13"/>
    <n v="0"/>
    <n v="69021"/>
    <n v="3.1"/>
    <n v="99.5"/>
    <n v="8"/>
    <n v="45"/>
    <n v="4120"/>
    <s v="Amit"/>
    <x v="1"/>
    <x v="0"/>
    <x v="2"/>
    <x v="0"/>
  </r>
  <r>
    <n v="1008"/>
    <s v="Harsha"/>
    <x v="0"/>
    <n v="43"/>
    <x v="3"/>
    <s v="HR Manager"/>
    <x v="4"/>
    <s v="2021-10-24"/>
    <n v="7"/>
    <n v="78301"/>
    <n v="3.5"/>
    <n v="95.2"/>
    <n v="24"/>
    <n v="27"/>
    <n v="9032"/>
    <s v="Kavya"/>
    <x v="0"/>
    <x v="0"/>
    <x v="0"/>
    <x v="2"/>
  </r>
  <r>
    <n v="1009"/>
    <s v="Varun"/>
    <x v="1"/>
    <n v="25"/>
    <x v="0"/>
    <s v="Sales Manager"/>
    <x v="2"/>
    <s v="2018-06-11"/>
    <n v="10"/>
    <n v="62943"/>
    <n v="2.9"/>
    <n v="86.8"/>
    <n v="16"/>
    <n v="30"/>
    <n v="5200"/>
    <s v="Anitha"/>
    <x v="0"/>
    <x v="1"/>
    <x v="2"/>
    <x v="2"/>
  </r>
  <r>
    <n v="1010"/>
    <s v="Vijay"/>
    <x v="1"/>
    <n v="30"/>
    <x v="0"/>
    <s v="Sales Manager"/>
    <x v="0"/>
    <s v="2024-01-10"/>
    <n v="4"/>
    <n v="75134"/>
    <n v="4.8"/>
    <n v="92.1"/>
    <n v="11"/>
    <n v="56"/>
    <n v="6128"/>
    <s v="Ramesh"/>
    <x v="0"/>
    <x v="3"/>
    <x v="0"/>
    <x v="1"/>
  </r>
  <r>
    <n v="1011"/>
    <s v="Deepa"/>
    <x v="0"/>
    <n v="35"/>
    <x v="0"/>
    <s v="Sales Executive"/>
    <x v="3"/>
    <s v="2019-07-23"/>
    <n v="4"/>
    <n v="79661"/>
    <n v="3.8"/>
    <n v="83.9"/>
    <n v="9"/>
    <n v="42"/>
    <n v="5014"/>
    <s v="Suresh"/>
    <x v="0"/>
    <x v="0"/>
    <x v="0"/>
    <x v="1"/>
  </r>
  <r>
    <n v="1012"/>
    <s v="Ajay"/>
    <x v="1"/>
    <n v="37"/>
    <x v="0"/>
    <s v="Sales Manager"/>
    <x v="3"/>
    <s v="2024-10-25"/>
    <n v="5"/>
    <n v="27220"/>
    <n v="4.9000000000000004"/>
    <n v="93.5"/>
    <n v="10"/>
    <n v="33"/>
    <n v="3998"/>
    <s v="Suresh"/>
    <x v="0"/>
    <x v="3"/>
    <x v="1"/>
    <x v="1"/>
  </r>
  <r>
    <n v="1013"/>
    <s v="Kiran"/>
    <x v="1"/>
    <n v="33"/>
    <x v="3"/>
    <s v="HR Manager"/>
    <x v="1"/>
    <s v="2019-11-29"/>
    <n v="4"/>
    <n v="28442"/>
    <n v="4"/>
    <n v="89.7"/>
    <n v="3"/>
    <n v="43"/>
    <n v="12212"/>
    <s v="Ramesh"/>
    <x v="0"/>
    <x v="2"/>
    <x v="1"/>
    <x v="1"/>
  </r>
  <r>
    <n v="1014"/>
    <s v="Rahul"/>
    <x v="1"/>
    <n v="36"/>
    <x v="0"/>
    <s v="Sales Executive"/>
    <x v="4"/>
    <s v="2022-06-10"/>
    <n v="0"/>
    <n v="40509"/>
    <n v="4.2"/>
    <n v="97.4"/>
    <n v="2"/>
    <n v="38"/>
    <n v="8332"/>
    <s v="Amit"/>
    <x v="0"/>
    <x v="2"/>
    <x v="1"/>
    <x v="0"/>
  </r>
  <r>
    <n v="1015"/>
    <s v="Ravi"/>
    <x v="0"/>
    <n v="28"/>
    <x v="2"/>
    <s v="Software Engineer"/>
    <x v="1"/>
    <s v="2019-12-01"/>
    <n v="8"/>
    <n v="80636"/>
    <n v="3.6"/>
    <n v="95.9"/>
    <n v="11"/>
    <n v="21"/>
    <n v="3941"/>
    <s v="Kavya"/>
    <x v="1"/>
    <x v="0"/>
    <x v="0"/>
    <x v="2"/>
  </r>
  <r>
    <n v="1016"/>
    <s v="Nikhil"/>
    <x v="0"/>
    <n v="24"/>
    <x v="2"/>
    <s v="Data Analyst"/>
    <x v="3"/>
    <s v="2018-02-24"/>
    <n v="0"/>
    <n v="68686"/>
    <n v="2.8"/>
    <n v="97"/>
    <n v="3"/>
    <n v="26"/>
    <n v="5736"/>
    <s v="Amit"/>
    <x v="1"/>
    <x v="1"/>
    <x v="2"/>
    <x v="0"/>
  </r>
  <r>
    <n v="1017"/>
    <s v="Varun"/>
    <x v="0"/>
    <n v="33"/>
    <x v="1"/>
    <s v="Financial Analyst"/>
    <x v="4"/>
    <s v="2020-08-04"/>
    <n v="2"/>
    <n v="31463"/>
    <n v="2.7"/>
    <n v="93.2"/>
    <n v="24"/>
    <n v="59"/>
    <n v="14015"/>
    <s v="Kavya"/>
    <x v="0"/>
    <x v="1"/>
    <x v="1"/>
    <x v="0"/>
  </r>
  <r>
    <n v="1018"/>
    <s v="Sai"/>
    <x v="1"/>
    <n v="32"/>
    <x v="1"/>
    <s v="Financial Analyst"/>
    <x v="0"/>
    <s v="2019-02-25"/>
    <n v="9"/>
    <n v="62011"/>
    <n v="3.1"/>
    <n v="95.3"/>
    <n v="10"/>
    <n v="40"/>
    <n v="11755"/>
    <s v="Anitha"/>
    <x v="1"/>
    <x v="0"/>
    <x v="2"/>
    <x v="2"/>
  </r>
  <r>
    <n v="1019"/>
    <s v="Arjun"/>
    <x v="1"/>
    <n v="29"/>
    <x v="2"/>
    <s v="Software Engineer"/>
    <x v="2"/>
    <s v="2018-07-23"/>
    <n v="7"/>
    <n v="90348"/>
    <n v="4.0999999999999996"/>
    <n v="92.6"/>
    <n v="3"/>
    <n v="30"/>
    <n v="14188"/>
    <s v="Anitha"/>
    <x v="0"/>
    <x v="2"/>
    <x v="0"/>
    <x v="2"/>
  </r>
  <r>
    <n v="1020"/>
    <s v="Arjun"/>
    <x v="1"/>
    <n v="22"/>
    <x v="2"/>
    <s v="Data Analyst"/>
    <x v="1"/>
    <s v="2019-08-07"/>
    <n v="7"/>
    <n v="63623"/>
    <n v="2.5"/>
    <n v="85.6"/>
    <n v="14"/>
    <n v="5"/>
    <n v="9181"/>
    <s v="Amit"/>
    <x v="0"/>
    <x v="1"/>
    <x v="2"/>
    <x v="2"/>
  </r>
  <r>
    <n v="1021"/>
    <s v="Manoj"/>
    <x v="1"/>
    <n v="30"/>
    <x v="0"/>
    <s v="Sales Executive"/>
    <x v="3"/>
    <s v="2022-11-28"/>
    <n v="6"/>
    <n v="87767"/>
    <n v="2.8"/>
    <n v="83.5"/>
    <n v="25"/>
    <n v="31"/>
    <n v="5086"/>
    <s v="Anitha"/>
    <x v="1"/>
    <x v="1"/>
    <x v="0"/>
    <x v="2"/>
  </r>
  <r>
    <n v="1022"/>
    <s v="Kiran"/>
    <x v="1"/>
    <n v="38"/>
    <x v="0"/>
    <s v="Sales Manager"/>
    <x v="2"/>
    <s v="2019-01-25"/>
    <n v="9"/>
    <n v="84292"/>
    <n v="3.1"/>
    <n v="83.5"/>
    <n v="14"/>
    <n v="35"/>
    <n v="14328"/>
    <s v="Ramesh"/>
    <x v="0"/>
    <x v="0"/>
    <x v="0"/>
    <x v="2"/>
  </r>
  <r>
    <n v="1023"/>
    <s v="Vijay"/>
    <x v="1"/>
    <n v="28"/>
    <x v="4"/>
    <s v="Marketing Executive"/>
    <x v="3"/>
    <s v="2021-09-18"/>
    <n v="1"/>
    <n v="65542"/>
    <n v="3.8"/>
    <n v="95.7"/>
    <n v="1"/>
    <n v="58"/>
    <n v="7122"/>
    <s v="Anitha"/>
    <x v="1"/>
    <x v="0"/>
    <x v="2"/>
    <x v="0"/>
  </r>
  <r>
    <n v="1024"/>
    <s v="Varun"/>
    <x v="1"/>
    <n v="34"/>
    <x v="1"/>
    <s v="Accountant"/>
    <x v="2"/>
    <s v="2023-01-16"/>
    <n v="3"/>
    <n v="92525"/>
    <n v="4.8"/>
    <n v="94.3"/>
    <n v="3"/>
    <n v="33"/>
    <n v="7623"/>
    <s v="Ramesh"/>
    <x v="0"/>
    <x v="3"/>
    <x v="0"/>
    <x v="1"/>
  </r>
  <r>
    <n v="1025"/>
    <s v="Kiran"/>
    <x v="1"/>
    <n v="22"/>
    <x v="1"/>
    <s v="Accountant"/>
    <x v="0"/>
    <s v="2018-01-23"/>
    <n v="1"/>
    <n v="93937"/>
    <n v="2.8"/>
    <n v="99.9"/>
    <n v="20"/>
    <n v="17"/>
    <n v="1141"/>
    <s v="Ramesh"/>
    <x v="0"/>
    <x v="1"/>
    <x v="0"/>
    <x v="0"/>
  </r>
  <r>
    <n v="1026"/>
    <s v="Manoj"/>
    <x v="0"/>
    <n v="28"/>
    <x v="0"/>
    <s v="Sales Executive"/>
    <x v="2"/>
    <s v="2020-03-29"/>
    <n v="4"/>
    <n v="53513"/>
    <n v="3.3"/>
    <n v="85.4"/>
    <n v="0"/>
    <n v="59"/>
    <n v="9039"/>
    <s v="Kavya"/>
    <x v="0"/>
    <x v="0"/>
    <x v="2"/>
    <x v="1"/>
  </r>
  <r>
    <n v="1027"/>
    <s v="Kiran"/>
    <x v="1"/>
    <n v="29"/>
    <x v="3"/>
    <s v="HR Executive"/>
    <x v="3"/>
    <s v="2020-04-02"/>
    <n v="6"/>
    <n v="56335"/>
    <n v="3"/>
    <n v="98.1"/>
    <n v="2"/>
    <n v="26"/>
    <n v="6383"/>
    <s v="Kavya"/>
    <x v="0"/>
    <x v="0"/>
    <x v="2"/>
    <x v="2"/>
  </r>
  <r>
    <n v="1028"/>
    <s v="Meena"/>
    <x v="1"/>
    <n v="45"/>
    <x v="1"/>
    <s v="Accountant"/>
    <x v="0"/>
    <s v="2020-05-04"/>
    <n v="2"/>
    <n v="92273"/>
    <n v="3.4"/>
    <n v="83.8"/>
    <n v="15"/>
    <n v="17"/>
    <n v="14826"/>
    <s v="Kavya"/>
    <x v="0"/>
    <x v="0"/>
    <x v="0"/>
    <x v="0"/>
  </r>
  <r>
    <n v="1029"/>
    <s v="Arjun"/>
    <x v="0"/>
    <n v="37"/>
    <x v="4"/>
    <s v="SEO Analyst"/>
    <x v="0"/>
    <s v="2021-07-17"/>
    <n v="4"/>
    <n v="29526"/>
    <n v="3.8"/>
    <n v="85.7"/>
    <n v="17"/>
    <n v="37"/>
    <n v="2704"/>
    <s v="Kavya"/>
    <x v="0"/>
    <x v="0"/>
    <x v="1"/>
    <x v="1"/>
  </r>
  <r>
    <n v="1030"/>
    <s v="Sai"/>
    <x v="1"/>
    <n v="38"/>
    <x v="1"/>
    <s v="Accountant"/>
    <x v="3"/>
    <s v="2020-11-27"/>
    <n v="10"/>
    <n v="25678"/>
    <n v="3.7"/>
    <n v="87.6"/>
    <n v="9"/>
    <n v="32"/>
    <n v="14309"/>
    <s v="Kavya"/>
    <x v="0"/>
    <x v="0"/>
    <x v="1"/>
    <x v="2"/>
  </r>
  <r>
    <n v="1031"/>
    <s v="Anu"/>
    <x v="0"/>
    <n v="41"/>
    <x v="4"/>
    <s v="Marketing Executive"/>
    <x v="3"/>
    <s v="2023-06-07"/>
    <n v="2"/>
    <n v="86427"/>
    <n v="3.5"/>
    <n v="98.2"/>
    <n v="20"/>
    <n v="15"/>
    <n v="14535"/>
    <s v="Suresh"/>
    <x v="0"/>
    <x v="0"/>
    <x v="0"/>
    <x v="0"/>
  </r>
  <r>
    <n v="1032"/>
    <s v="Harsha"/>
    <x v="0"/>
    <n v="24"/>
    <x v="4"/>
    <s v="SEO Analyst"/>
    <x v="2"/>
    <s v="2023-03-09"/>
    <n v="10"/>
    <n v="68895"/>
    <n v="3.7"/>
    <n v="88.5"/>
    <n v="3"/>
    <n v="15"/>
    <n v="3333"/>
    <s v="Kavya"/>
    <x v="1"/>
    <x v="0"/>
    <x v="2"/>
    <x v="2"/>
  </r>
  <r>
    <n v="1033"/>
    <s v="Meena"/>
    <x v="0"/>
    <n v="33"/>
    <x v="3"/>
    <s v="HR Executive"/>
    <x v="4"/>
    <s v="2024-11-14"/>
    <n v="5"/>
    <n v="92412"/>
    <n v="4.5"/>
    <n v="85.7"/>
    <n v="8"/>
    <n v="19"/>
    <n v="4662"/>
    <s v="Suresh"/>
    <x v="1"/>
    <x v="3"/>
    <x v="0"/>
    <x v="1"/>
  </r>
  <r>
    <n v="1034"/>
    <s v="Manoj"/>
    <x v="1"/>
    <n v="30"/>
    <x v="2"/>
    <s v="Software Engineer"/>
    <x v="0"/>
    <s v="2024-08-28"/>
    <n v="6"/>
    <n v="75129"/>
    <n v="2.5"/>
    <n v="100"/>
    <n v="24"/>
    <n v="16"/>
    <n v="7024"/>
    <s v="Anitha"/>
    <x v="0"/>
    <x v="1"/>
    <x v="0"/>
    <x v="2"/>
  </r>
  <r>
    <n v="1035"/>
    <s v="Anu"/>
    <x v="1"/>
    <n v="24"/>
    <x v="1"/>
    <s v="Financial Analyst"/>
    <x v="4"/>
    <s v="2024-07-14"/>
    <n v="5"/>
    <n v="81966"/>
    <n v="2.8"/>
    <n v="85.2"/>
    <n v="0"/>
    <n v="36"/>
    <n v="1573"/>
    <s v="Ramesh"/>
    <x v="1"/>
    <x v="1"/>
    <x v="0"/>
    <x v="1"/>
  </r>
  <r>
    <n v="1036"/>
    <s v="Rahul"/>
    <x v="1"/>
    <n v="28"/>
    <x v="0"/>
    <s v="Sales Manager"/>
    <x v="1"/>
    <s v="2023-10-22"/>
    <n v="6"/>
    <n v="84778"/>
    <n v="4.3"/>
    <n v="89.7"/>
    <n v="7"/>
    <n v="11"/>
    <n v="7650"/>
    <s v="Ramesh"/>
    <x v="1"/>
    <x v="2"/>
    <x v="0"/>
    <x v="2"/>
  </r>
  <r>
    <n v="1037"/>
    <s v="Priya"/>
    <x v="1"/>
    <n v="39"/>
    <x v="0"/>
    <s v="Sales Manager"/>
    <x v="3"/>
    <s v="2018-10-01"/>
    <n v="1"/>
    <n v="81536"/>
    <n v="4.5"/>
    <n v="85.7"/>
    <n v="24"/>
    <n v="34"/>
    <n v="9550"/>
    <s v="Amit"/>
    <x v="1"/>
    <x v="3"/>
    <x v="0"/>
    <x v="0"/>
  </r>
  <r>
    <n v="1038"/>
    <s v="Pooja"/>
    <x v="0"/>
    <n v="34"/>
    <x v="3"/>
    <s v="HR Manager"/>
    <x v="1"/>
    <s v="2023-02-10"/>
    <n v="8"/>
    <n v="26829"/>
    <n v="3.7"/>
    <n v="99.1"/>
    <n v="5"/>
    <n v="18"/>
    <n v="12434"/>
    <s v="Anitha"/>
    <x v="1"/>
    <x v="0"/>
    <x v="1"/>
    <x v="2"/>
  </r>
  <r>
    <n v="1039"/>
    <s v="Sai"/>
    <x v="1"/>
    <n v="33"/>
    <x v="3"/>
    <s v="HR Executive"/>
    <x v="1"/>
    <s v="2019-04-18"/>
    <n v="6"/>
    <n v="34552"/>
    <n v="3.7"/>
    <n v="84.9"/>
    <n v="12"/>
    <n v="56"/>
    <n v="10651"/>
    <s v="Ramesh"/>
    <x v="0"/>
    <x v="0"/>
    <x v="1"/>
    <x v="2"/>
  </r>
  <r>
    <n v="1040"/>
    <s v="Rahul"/>
    <x v="1"/>
    <n v="24"/>
    <x v="0"/>
    <s v="Sales Executive"/>
    <x v="1"/>
    <s v="2022-02-18"/>
    <n v="7"/>
    <n v="33005"/>
    <n v="3.3"/>
    <n v="98.8"/>
    <n v="25"/>
    <n v="50"/>
    <n v="2801"/>
    <s v="Suresh"/>
    <x v="1"/>
    <x v="0"/>
    <x v="1"/>
    <x v="2"/>
  </r>
  <r>
    <n v="1041"/>
    <s v="Rahul"/>
    <x v="1"/>
    <n v="30"/>
    <x v="4"/>
    <s v="SEO Analyst"/>
    <x v="1"/>
    <s v="2019-02-23"/>
    <n v="4"/>
    <n v="69089"/>
    <n v="2.7"/>
    <n v="93.2"/>
    <n v="13"/>
    <n v="54"/>
    <n v="1448"/>
    <s v="Suresh"/>
    <x v="0"/>
    <x v="1"/>
    <x v="2"/>
    <x v="1"/>
  </r>
  <r>
    <n v="1042"/>
    <s v="Anu"/>
    <x v="1"/>
    <n v="42"/>
    <x v="3"/>
    <s v="HR Executive"/>
    <x v="4"/>
    <s v="2022-03-21"/>
    <n v="9"/>
    <n v="68581"/>
    <n v="4"/>
    <n v="83.2"/>
    <n v="11"/>
    <n v="54"/>
    <n v="14187"/>
    <s v="Anitha"/>
    <x v="0"/>
    <x v="2"/>
    <x v="2"/>
    <x v="2"/>
  </r>
  <r>
    <n v="1043"/>
    <s v="Manoj"/>
    <x v="1"/>
    <n v="26"/>
    <x v="3"/>
    <s v="HR Manager"/>
    <x v="4"/>
    <s v="2023-10-16"/>
    <n v="10"/>
    <n v="70855"/>
    <n v="2.7"/>
    <n v="89.5"/>
    <n v="3"/>
    <n v="15"/>
    <n v="7207"/>
    <s v="Amit"/>
    <x v="0"/>
    <x v="1"/>
    <x v="0"/>
    <x v="2"/>
  </r>
  <r>
    <n v="1044"/>
    <s v="Ajay"/>
    <x v="0"/>
    <n v="40"/>
    <x v="2"/>
    <s v="Software Engineer"/>
    <x v="1"/>
    <s v="2020-12-27"/>
    <n v="4"/>
    <n v="46290"/>
    <n v="3.6"/>
    <n v="87.2"/>
    <n v="9"/>
    <n v="60"/>
    <n v="13804"/>
    <s v="Suresh"/>
    <x v="1"/>
    <x v="0"/>
    <x v="1"/>
    <x v="1"/>
  </r>
  <r>
    <n v="1045"/>
    <s v="Ajay"/>
    <x v="0"/>
    <n v="32"/>
    <x v="0"/>
    <s v="Sales Executive"/>
    <x v="2"/>
    <s v="2021-04-06"/>
    <n v="10"/>
    <n v="52937"/>
    <n v="4.2"/>
    <n v="98.3"/>
    <n v="20"/>
    <n v="39"/>
    <n v="5443"/>
    <s v="Kavya"/>
    <x v="0"/>
    <x v="2"/>
    <x v="2"/>
    <x v="2"/>
  </r>
  <r>
    <n v="1046"/>
    <s v="Nikhil"/>
    <x v="1"/>
    <n v="45"/>
    <x v="2"/>
    <s v="Software Engineer"/>
    <x v="4"/>
    <s v="2021-07-18"/>
    <n v="1"/>
    <n v="80839"/>
    <n v="4.3"/>
    <n v="97.5"/>
    <n v="6"/>
    <n v="45"/>
    <n v="11782"/>
    <s v="Amit"/>
    <x v="0"/>
    <x v="2"/>
    <x v="0"/>
    <x v="0"/>
  </r>
  <r>
    <n v="1047"/>
    <s v="Keerthi"/>
    <x v="1"/>
    <n v="39"/>
    <x v="0"/>
    <s v="Sales Executive"/>
    <x v="2"/>
    <s v="2024-11-02"/>
    <n v="4"/>
    <n v="36970"/>
    <n v="3.8"/>
    <n v="89.2"/>
    <n v="0"/>
    <n v="5"/>
    <n v="3791"/>
    <s v="Suresh"/>
    <x v="1"/>
    <x v="0"/>
    <x v="1"/>
    <x v="1"/>
  </r>
  <r>
    <n v="1048"/>
    <s v="Ajay"/>
    <x v="0"/>
    <n v="28"/>
    <x v="2"/>
    <s v="Data Analyst"/>
    <x v="3"/>
    <s v="2020-12-17"/>
    <n v="2"/>
    <n v="39037"/>
    <n v="4.5999999999999996"/>
    <n v="96.2"/>
    <n v="11"/>
    <n v="46"/>
    <n v="5967"/>
    <s v="Ramesh"/>
    <x v="0"/>
    <x v="3"/>
    <x v="1"/>
    <x v="0"/>
  </r>
  <r>
    <n v="1049"/>
    <s v="Sonia"/>
    <x v="1"/>
    <n v="32"/>
    <x v="4"/>
    <s v="SEO Analyst"/>
    <x v="3"/>
    <s v="2020-11-28"/>
    <n v="3"/>
    <n v="84140"/>
    <n v="3.9"/>
    <n v="89.5"/>
    <n v="2"/>
    <n v="23"/>
    <n v="2229"/>
    <s v="Kavya"/>
    <x v="1"/>
    <x v="0"/>
    <x v="0"/>
    <x v="1"/>
  </r>
  <r>
    <n v="1050"/>
    <s v="Vijay"/>
    <x v="1"/>
    <n v="27"/>
    <x v="3"/>
    <s v="HR Manager"/>
    <x v="3"/>
    <s v="2022-11-08"/>
    <n v="0"/>
    <n v="48146"/>
    <n v="3.7"/>
    <n v="91.5"/>
    <n v="7"/>
    <n v="5"/>
    <n v="8027"/>
    <s v="Anitha"/>
    <x v="0"/>
    <x v="0"/>
    <x v="1"/>
    <x v="0"/>
  </r>
  <r>
    <n v="1051"/>
    <s v="Sai"/>
    <x v="1"/>
    <n v="45"/>
    <x v="3"/>
    <s v="HR Manager"/>
    <x v="4"/>
    <s v="2024-06-28"/>
    <n v="7"/>
    <n v="54864"/>
    <n v="3.6"/>
    <n v="83.8"/>
    <n v="17"/>
    <n v="56"/>
    <n v="8703"/>
    <s v="Anitha"/>
    <x v="0"/>
    <x v="0"/>
    <x v="2"/>
    <x v="2"/>
  </r>
  <r>
    <n v="1052"/>
    <s v="Harsha"/>
    <x v="1"/>
    <n v="33"/>
    <x v="4"/>
    <s v="SEO Analyst"/>
    <x v="3"/>
    <s v="2024-09-17"/>
    <n v="6"/>
    <n v="74155"/>
    <n v="4.9000000000000004"/>
    <n v="88.3"/>
    <n v="14"/>
    <n v="23"/>
    <n v="8801"/>
    <s v="Ramesh"/>
    <x v="1"/>
    <x v="3"/>
    <x v="0"/>
    <x v="2"/>
  </r>
  <r>
    <n v="1053"/>
    <s v="Varun"/>
    <x v="0"/>
    <n v="24"/>
    <x v="4"/>
    <s v="Marketing Executive"/>
    <x v="2"/>
    <s v="2021-04-16"/>
    <n v="7"/>
    <n v="38563"/>
    <n v="2.7"/>
    <n v="97.1"/>
    <n v="22"/>
    <n v="6"/>
    <n v="5156"/>
    <s v="Suresh"/>
    <x v="0"/>
    <x v="1"/>
    <x v="1"/>
    <x v="2"/>
  </r>
  <r>
    <n v="1054"/>
    <s v="Sai"/>
    <x v="1"/>
    <n v="33"/>
    <x v="0"/>
    <s v="Sales Manager"/>
    <x v="0"/>
    <s v="2021-03-20"/>
    <n v="1"/>
    <n v="69628"/>
    <n v="4.8"/>
    <n v="84.2"/>
    <n v="10"/>
    <n v="31"/>
    <n v="1601"/>
    <s v="Ramesh"/>
    <x v="1"/>
    <x v="3"/>
    <x v="2"/>
    <x v="0"/>
  </r>
  <r>
    <n v="1055"/>
    <s v="Arjun"/>
    <x v="1"/>
    <n v="35"/>
    <x v="1"/>
    <s v="Accountant"/>
    <x v="2"/>
    <s v="2018-12-12"/>
    <n v="5"/>
    <n v="78186"/>
    <n v="4.4000000000000004"/>
    <n v="93.1"/>
    <n v="4"/>
    <n v="35"/>
    <n v="10277"/>
    <s v="Kavya"/>
    <x v="0"/>
    <x v="2"/>
    <x v="0"/>
    <x v="1"/>
  </r>
  <r>
    <n v="1056"/>
    <s v="Nikhil"/>
    <x v="0"/>
    <n v="43"/>
    <x v="3"/>
    <s v="HR Manager"/>
    <x v="4"/>
    <s v="2022-12-20"/>
    <n v="6"/>
    <n v="30915"/>
    <n v="4.5999999999999996"/>
    <n v="97.9"/>
    <n v="1"/>
    <n v="35"/>
    <n v="6430"/>
    <s v="Ramesh"/>
    <x v="1"/>
    <x v="3"/>
    <x v="1"/>
    <x v="2"/>
  </r>
  <r>
    <n v="1057"/>
    <s v="Kiran"/>
    <x v="1"/>
    <n v="33"/>
    <x v="0"/>
    <s v="Sales Executive"/>
    <x v="2"/>
    <s v="2020-09-12"/>
    <n v="6"/>
    <n v="76850"/>
    <n v="4.8"/>
    <n v="90.4"/>
    <n v="2"/>
    <n v="49"/>
    <n v="3193"/>
    <s v="Amit"/>
    <x v="0"/>
    <x v="3"/>
    <x v="0"/>
    <x v="2"/>
  </r>
  <r>
    <n v="1058"/>
    <s v="Sai"/>
    <x v="0"/>
    <n v="22"/>
    <x v="3"/>
    <s v="HR Manager"/>
    <x v="2"/>
    <s v="2021-10-10"/>
    <n v="6"/>
    <n v="32056"/>
    <n v="4.5"/>
    <n v="97.1"/>
    <n v="3"/>
    <n v="48"/>
    <n v="3534"/>
    <s v="Ramesh"/>
    <x v="1"/>
    <x v="3"/>
    <x v="1"/>
    <x v="2"/>
  </r>
  <r>
    <n v="1059"/>
    <s v="Kiran"/>
    <x v="1"/>
    <n v="40"/>
    <x v="3"/>
    <s v="HR Executive"/>
    <x v="2"/>
    <s v="2019-01-09"/>
    <n v="10"/>
    <n v="78926"/>
    <n v="3.9"/>
    <n v="95.7"/>
    <n v="9"/>
    <n v="15"/>
    <n v="13052"/>
    <s v="Amit"/>
    <x v="0"/>
    <x v="0"/>
    <x v="0"/>
    <x v="2"/>
  </r>
  <r>
    <n v="1060"/>
    <s v="Pooja"/>
    <x v="1"/>
    <n v="32"/>
    <x v="2"/>
    <s v="Data Analyst"/>
    <x v="3"/>
    <s v="2024-09-11"/>
    <n v="3"/>
    <n v="92654"/>
    <n v="3"/>
    <n v="98.2"/>
    <n v="7"/>
    <n v="40"/>
    <n v="3921"/>
    <s v="Anitha"/>
    <x v="1"/>
    <x v="0"/>
    <x v="0"/>
    <x v="1"/>
  </r>
  <r>
    <n v="1061"/>
    <s v="Deepa"/>
    <x v="1"/>
    <n v="43"/>
    <x v="1"/>
    <s v="Accountant"/>
    <x v="4"/>
    <s v="2024-04-18"/>
    <n v="2"/>
    <n v="93839"/>
    <n v="4.0999999999999996"/>
    <n v="99.2"/>
    <n v="3"/>
    <n v="30"/>
    <n v="6381"/>
    <s v="Suresh"/>
    <x v="0"/>
    <x v="2"/>
    <x v="0"/>
    <x v="0"/>
  </r>
  <r>
    <n v="1062"/>
    <s v="Ravi"/>
    <x v="1"/>
    <n v="31"/>
    <x v="4"/>
    <s v="SEO Analyst"/>
    <x v="4"/>
    <s v="2024-03-03"/>
    <n v="5"/>
    <n v="30646"/>
    <n v="3.2"/>
    <n v="91.1"/>
    <n v="13"/>
    <n v="49"/>
    <n v="12199"/>
    <s v="Kavya"/>
    <x v="1"/>
    <x v="0"/>
    <x v="1"/>
    <x v="1"/>
  </r>
  <r>
    <n v="1063"/>
    <s v="Kiran"/>
    <x v="1"/>
    <n v="22"/>
    <x v="2"/>
    <s v="Data Analyst"/>
    <x v="0"/>
    <s v="2022-11-18"/>
    <n v="7"/>
    <n v="69525"/>
    <n v="3.6"/>
    <n v="91.9"/>
    <n v="18"/>
    <n v="35"/>
    <n v="7494"/>
    <s v="Suresh"/>
    <x v="0"/>
    <x v="0"/>
    <x v="2"/>
    <x v="2"/>
  </r>
  <r>
    <n v="1064"/>
    <s v="Keerthi"/>
    <x v="1"/>
    <n v="31"/>
    <x v="3"/>
    <s v="HR Executive"/>
    <x v="0"/>
    <s v="2019-08-11"/>
    <n v="10"/>
    <n v="44935"/>
    <n v="4"/>
    <n v="93.7"/>
    <n v="15"/>
    <n v="38"/>
    <n v="5773"/>
    <s v="Amit"/>
    <x v="0"/>
    <x v="2"/>
    <x v="1"/>
    <x v="2"/>
  </r>
  <r>
    <n v="1065"/>
    <s v="Harsha"/>
    <x v="0"/>
    <n v="37"/>
    <x v="1"/>
    <s v="Financial Analyst"/>
    <x v="2"/>
    <s v="2022-08-29"/>
    <n v="0"/>
    <n v="57991"/>
    <n v="4.8"/>
    <n v="88.9"/>
    <n v="25"/>
    <n v="53"/>
    <n v="8177"/>
    <s v="Anitha"/>
    <x v="1"/>
    <x v="3"/>
    <x v="2"/>
    <x v="0"/>
  </r>
  <r>
    <n v="1066"/>
    <s v="Keerthi"/>
    <x v="0"/>
    <n v="45"/>
    <x v="4"/>
    <s v="SEO Analyst"/>
    <x v="3"/>
    <s v="2022-12-25"/>
    <n v="3"/>
    <n v="38519"/>
    <n v="4.9000000000000004"/>
    <n v="89.8"/>
    <n v="19"/>
    <n v="37"/>
    <n v="6976"/>
    <s v="Ramesh"/>
    <x v="0"/>
    <x v="3"/>
    <x v="1"/>
    <x v="1"/>
  </r>
  <r>
    <n v="1067"/>
    <s v="Ajay"/>
    <x v="1"/>
    <n v="27"/>
    <x v="2"/>
    <s v="Senior Developer"/>
    <x v="2"/>
    <s v="2020-04-02"/>
    <n v="9"/>
    <n v="33576"/>
    <n v="3.5"/>
    <n v="95.2"/>
    <n v="5"/>
    <n v="31"/>
    <n v="3938"/>
    <s v="Suresh"/>
    <x v="1"/>
    <x v="0"/>
    <x v="1"/>
    <x v="2"/>
  </r>
  <r>
    <n v="1068"/>
    <s v="Deepa"/>
    <x v="1"/>
    <n v="42"/>
    <x v="4"/>
    <s v="Marketing Executive"/>
    <x v="0"/>
    <s v="2024-02-06"/>
    <n v="5"/>
    <n v="94321"/>
    <n v="4.2"/>
    <n v="82.3"/>
    <n v="17"/>
    <n v="60"/>
    <n v="12886"/>
    <s v="Kavya"/>
    <x v="1"/>
    <x v="2"/>
    <x v="0"/>
    <x v="1"/>
  </r>
  <r>
    <n v="1069"/>
    <s v="Meena"/>
    <x v="1"/>
    <n v="45"/>
    <x v="0"/>
    <s v="Sales Executive"/>
    <x v="2"/>
    <s v="2024-12-20"/>
    <n v="5"/>
    <n v="60848"/>
    <n v="4.7"/>
    <n v="87.9"/>
    <n v="1"/>
    <n v="5"/>
    <n v="7148"/>
    <s v="Ramesh"/>
    <x v="0"/>
    <x v="3"/>
    <x v="2"/>
    <x v="1"/>
  </r>
  <r>
    <n v="1070"/>
    <s v="Ravi"/>
    <x v="0"/>
    <n v="30"/>
    <x v="3"/>
    <s v="HR Manager"/>
    <x v="4"/>
    <s v="2024-02-06"/>
    <n v="10"/>
    <n v="57905"/>
    <n v="4.4000000000000004"/>
    <n v="99"/>
    <n v="9"/>
    <n v="17"/>
    <n v="7770"/>
    <s v="Amit"/>
    <x v="0"/>
    <x v="2"/>
    <x v="2"/>
    <x v="2"/>
  </r>
  <r>
    <n v="1071"/>
    <s v="Sonia"/>
    <x v="1"/>
    <n v="32"/>
    <x v="0"/>
    <s v="Sales Manager"/>
    <x v="1"/>
    <s v="2022-02-09"/>
    <n v="1"/>
    <n v="56802"/>
    <n v="4.3"/>
    <n v="94.9"/>
    <n v="1"/>
    <n v="53"/>
    <n v="13115"/>
    <s v="Anitha"/>
    <x v="1"/>
    <x v="2"/>
    <x v="2"/>
    <x v="0"/>
  </r>
  <r>
    <n v="1072"/>
    <s v="Meena"/>
    <x v="0"/>
    <n v="43"/>
    <x v="2"/>
    <s v="Senior Developer"/>
    <x v="4"/>
    <s v="2023-09-04"/>
    <n v="10"/>
    <n v="68253"/>
    <n v="3.4"/>
    <n v="86.6"/>
    <n v="10"/>
    <n v="18"/>
    <n v="8694"/>
    <s v="Anitha"/>
    <x v="0"/>
    <x v="0"/>
    <x v="2"/>
    <x v="2"/>
  </r>
  <r>
    <n v="1073"/>
    <s v="Sneha"/>
    <x v="0"/>
    <n v="43"/>
    <x v="1"/>
    <s v="Financial Analyst"/>
    <x v="0"/>
    <s v="2019-03-08"/>
    <n v="2"/>
    <n v="70269"/>
    <n v="3.4"/>
    <n v="97.3"/>
    <n v="18"/>
    <n v="48"/>
    <n v="12051"/>
    <s v="Suresh"/>
    <x v="1"/>
    <x v="0"/>
    <x v="0"/>
    <x v="0"/>
  </r>
  <r>
    <n v="1074"/>
    <s v="Rahul"/>
    <x v="0"/>
    <n v="36"/>
    <x v="4"/>
    <s v="SEO Analyst"/>
    <x v="3"/>
    <s v="2024-07-01"/>
    <n v="10"/>
    <n v="33374"/>
    <n v="4.5999999999999996"/>
    <n v="87.1"/>
    <n v="18"/>
    <n v="47"/>
    <n v="5816"/>
    <s v="Ramesh"/>
    <x v="1"/>
    <x v="3"/>
    <x v="1"/>
    <x v="2"/>
  </r>
  <r>
    <n v="1075"/>
    <s v="Nikhil"/>
    <x v="1"/>
    <n v="25"/>
    <x v="1"/>
    <s v="Accountant"/>
    <x v="0"/>
    <s v="2020-06-19"/>
    <n v="5"/>
    <n v="35747"/>
    <n v="3.2"/>
    <n v="93.3"/>
    <n v="16"/>
    <n v="13"/>
    <n v="4019"/>
    <s v="Amit"/>
    <x v="0"/>
    <x v="0"/>
    <x v="1"/>
    <x v="1"/>
  </r>
  <r>
    <n v="1076"/>
    <s v="Arjun"/>
    <x v="1"/>
    <n v="33"/>
    <x v="3"/>
    <s v="HR Executive"/>
    <x v="3"/>
    <s v="2019-12-19"/>
    <n v="10"/>
    <n v="64096"/>
    <n v="4.8"/>
    <n v="88.9"/>
    <n v="14"/>
    <n v="6"/>
    <n v="10071"/>
    <s v="Amit"/>
    <x v="0"/>
    <x v="3"/>
    <x v="2"/>
    <x v="2"/>
  </r>
  <r>
    <n v="1077"/>
    <s v="Nikhil"/>
    <x v="0"/>
    <n v="45"/>
    <x v="0"/>
    <s v="Sales Manager"/>
    <x v="1"/>
    <s v="2019-11-21"/>
    <n v="8"/>
    <n v="48031"/>
    <n v="3.5"/>
    <n v="85.3"/>
    <n v="5"/>
    <n v="36"/>
    <n v="11623"/>
    <s v="Suresh"/>
    <x v="0"/>
    <x v="0"/>
    <x v="1"/>
    <x v="2"/>
  </r>
  <r>
    <n v="1078"/>
    <s v="Anu"/>
    <x v="0"/>
    <n v="38"/>
    <x v="0"/>
    <s v="Sales Executive"/>
    <x v="0"/>
    <s v="2022-06-11"/>
    <n v="3"/>
    <n v="42342"/>
    <n v="4.5999999999999996"/>
    <n v="88.9"/>
    <n v="9"/>
    <n v="38"/>
    <n v="7136"/>
    <s v="Ramesh"/>
    <x v="1"/>
    <x v="3"/>
    <x v="1"/>
    <x v="1"/>
  </r>
  <r>
    <n v="1079"/>
    <s v="Rahul"/>
    <x v="0"/>
    <n v="31"/>
    <x v="1"/>
    <s v="Financial Analyst"/>
    <x v="3"/>
    <s v="2019-10-05"/>
    <n v="1"/>
    <n v="90151"/>
    <n v="2.9"/>
    <n v="82.1"/>
    <n v="19"/>
    <n v="7"/>
    <n v="3766"/>
    <s v="Kavya"/>
    <x v="1"/>
    <x v="1"/>
    <x v="0"/>
    <x v="0"/>
  </r>
  <r>
    <n v="1080"/>
    <s v="Kiran"/>
    <x v="1"/>
    <n v="43"/>
    <x v="3"/>
    <s v="HR Manager"/>
    <x v="1"/>
    <s v="2020-12-11"/>
    <n v="7"/>
    <n v="41419"/>
    <n v="4.7"/>
    <n v="94.5"/>
    <n v="3"/>
    <n v="42"/>
    <n v="4911"/>
    <s v="Anitha"/>
    <x v="0"/>
    <x v="3"/>
    <x v="1"/>
    <x v="2"/>
  </r>
  <r>
    <n v="1081"/>
    <s v="Ravi"/>
    <x v="1"/>
    <n v="44"/>
    <x v="3"/>
    <s v="HR Manager"/>
    <x v="0"/>
    <s v="2020-05-26"/>
    <n v="5"/>
    <n v="33045"/>
    <n v="4.0999999999999996"/>
    <n v="94.5"/>
    <n v="12"/>
    <n v="59"/>
    <n v="9275"/>
    <s v="Kavya"/>
    <x v="1"/>
    <x v="2"/>
    <x v="1"/>
    <x v="1"/>
  </r>
  <r>
    <n v="1082"/>
    <s v="Sneha"/>
    <x v="1"/>
    <n v="38"/>
    <x v="1"/>
    <s v="Financial Analyst"/>
    <x v="0"/>
    <s v="2021-05-08"/>
    <n v="8"/>
    <n v="76462"/>
    <n v="3.1"/>
    <n v="95.9"/>
    <n v="18"/>
    <n v="13"/>
    <n v="2386"/>
    <s v="Ramesh"/>
    <x v="0"/>
    <x v="0"/>
    <x v="0"/>
    <x v="2"/>
  </r>
  <r>
    <n v="1083"/>
    <s v="Keerthi"/>
    <x v="0"/>
    <n v="35"/>
    <x v="2"/>
    <s v="Senior Developer"/>
    <x v="2"/>
    <s v="2020-09-30"/>
    <n v="2"/>
    <n v="85692"/>
    <n v="3.3"/>
    <n v="88.9"/>
    <n v="22"/>
    <n v="40"/>
    <n v="5776"/>
    <s v="Ramesh"/>
    <x v="1"/>
    <x v="0"/>
    <x v="0"/>
    <x v="0"/>
  </r>
  <r>
    <n v="1084"/>
    <s v="Arjun"/>
    <x v="0"/>
    <n v="43"/>
    <x v="1"/>
    <s v="Financial Analyst"/>
    <x v="1"/>
    <s v="2021-08-22"/>
    <n v="5"/>
    <n v="93460"/>
    <n v="3"/>
    <n v="86.7"/>
    <n v="13"/>
    <n v="49"/>
    <n v="7163"/>
    <s v="Amit"/>
    <x v="1"/>
    <x v="0"/>
    <x v="0"/>
    <x v="1"/>
  </r>
  <r>
    <n v="1085"/>
    <s v="Sai"/>
    <x v="0"/>
    <n v="34"/>
    <x v="3"/>
    <s v="HR Manager"/>
    <x v="1"/>
    <s v="2023-01-25"/>
    <n v="0"/>
    <n v="68556"/>
    <n v="3.8"/>
    <n v="84.2"/>
    <n v="7"/>
    <n v="34"/>
    <n v="7045"/>
    <s v="Amit"/>
    <x v="1"/>
    <x v="0"/>
    <x v="2"/>
    <x v="0"/>
  </r>
  <r>
    <n v="1086"/>
    <s v="Arjun"/>
    <x v="1"/>
    <n v="29"/>
    <x v="2"/>
    <s v="Software Engineer"/>
    <x v="1"/>
    <s v="2019-02-14"/>
    <n v="5"/>
    <n v="45080"/>
    <n v="3.4"/>
    <n v="89.2"/>
    <n v="16"/>
    <n v="49"/>
    <n v="1191"/>
    <s v="Suresh"/>
    <x v="0"/>
    <x v="0"/>
    <x v="1"/>
    <x v="1"/>
  </r>
  <r>
    <n v="1087"/>
    <s v="Deepa"/>
    <x v="1"/>
    <n v="45"/>
    <x v="3"/>
    <s v="HR Manager"/>
    <x v="3"/>
    <s v="2021-08-17"/>
    <n v="6"/>
    <n v="50418"/>
    <n v="3.3"/>
    <n v="87.5"/>
    <n v="0"/>
    <n v="18"/>
    <n v="13428"/>
    <s v="Amit"/>
    <x v="1"/>
    <x v="0"/>
    <x v="2"/>
    <x v="2"/>
  </r>
  <r>
    <n v="1088"/>
    <s v="Sai"/>
    <x v="0"/>
    <n v="24"/>
    <x v="3"/>
    <s v="HR Manager"/>
    <x v="4"/>
    <s v="2018-12-25"/>
    <n v="2"/>
    <n v="77240"/>
    <n v="2.8"/>
    <n v="92.1"/>
    <n v="15"/>
    <n v="51"/>
    <n v="4769"/>
    <s v="Ramesh"/>
    <x v="1"/>
    <x v="1"/>
    <x v="0"/>
    <x v="0"/>
  </r>
  <r>
    <n v="1089"/>
    <s v="Deepa"/>
    <x v="1"/>
    <n v="22"/>
    <x v="0"/>
    <s v="Sales Manager"/>
    <x v="3"/>
    <s v="2020-11-08"/>
    <n v="1"/>
    <n v="38900"/>
    <n v="3.3"/>
    <n v="88.5"/>
    <n v="8"/>
    <n v="31"/>
    <n v="6537"/>
    <s v="Kavya"/>
    <x v="1"/>
    <x v="0"/>
    <x v="1"/>
    <x v="0"/>
  </r>
  <r>
    <n v="1090"/>
    <s v="Sneha"/>
    <x v="1"/>
    <n v="41"/>
    <x v="0"/>
    <s v="Sales Manager"/>
    <x v="1"/>
    <s v="2024-02-23"/>
    <n v="5"/>
    <n v="74004"/>
    <n v="3.7"/>
    <n v="82.4"/>
    <n v="22"/>
    <n v="34"/>
    <n v="8469"/>
    <s v="Ramesh"/>
    <x v="0"/>
    <x v="0"/>
    <x v="0"/>
    <x v="1"/>
  </r>
  <r>
    <n v="1091"/>
    <s v="Kiran"/>
    <x v="1"/>
    <n v="29"/>
    <x v="2"/>
    <s v="Senior Developer"/>
    <x v="4"/>
    <s v="2020-05-19"/>
    <n v="3"/>
    <n v="74619"/>
    <n v="3.1"/>
    <n v="91.2"/>
    <n v="18"/>
    <n v="36"/>
    <n v="11870"/>
    <s v="Kavya"/>
    <x v="0"/>
    <x v="0"/>
    <x v="0"/>
    <x v="1"/>
  </r>
  <r>
    <n v="1092"/>
    <s v="Pooja"/>
    <x v="0"/>
    <n v="35"/>
    <x v="0"/>
    <s v="Sales Manager"/>
    <x v="3"/>
    <s v="2025-02-24"/>
    <n v="10"/>
    <n v="47939"/>
    <n v="4.9000000000000004"/>
    <n v="97.9"/>
    <n v="9"/>
    <n v="51"/>
    <n v="14442"/>
    <s v="Kavya"/>
    <x v="1"/>
    <x v="3"/>
    <x v="1"/>
    <x v="2"/>
  </r>
  <r>
    <n v="1093"/>
    <s v="Sonia"/>
    <x v="0"/>
    <n v="33"/>
    <x v="3"/>
    <s v="HR Executive"/>
    <x v="1"/>
    <s v="2023-12-22"/>
    <n v="10"/>
    <n v="45898"/>
    <n v="2.6"/>
    <n v="99.3"/>
    <n v="3"/>
    <n v="26"/>
    <n v="11683"/>
    <s v="Ramesh"/>
    <x v="0"/>
    <x v="1"/>
    <x v="1"/>
    <x v="2"/>
  </r>
  <r>
    <n v="1094"/>
    <s v="Deepa"/>
    <x v="1"/>
    <n v="31"/>
    <x v="0"/>
    <s v="Sales Executive"/>
    <x v="4"/>
    <s v="2023-08-13"/>
    <n v="2"/>
    <n v="42410"/>
    <n v="2.7"/>
    <n v="88.2"/>
    <n v="7"/>
    <n v="11"/>
    <n v="3038"/>
    <s v="Ramesh"/>
    <x v="1"/>
    <x v="1"/>
    <x v="1"/>
    <x v="0"/>
  </r>
  <r>
    <n v="1095"/>
    <s v="Harsha"/>
    <x v="0"/>
    <n v="30"/>
    <x v="0"/>
    <s v="Sales Manager"/>
    <x v="4"/>
    <s v="2025-01-25"/>
    <n v="3"/>
    <n v="52642"/>
    <n v="4.9000000000000004"/>
    <n v="89.6"/>
    <n v="9"/>
    <n v="41"/>
    <n v="7720"/>
    <s v="Amit"/>
    <x v="1"/>
    <x v="3"/>
    <x v="2"/>
    <x v="1"/>
  </r>
  <r>
    <n v="1096"/>
    <s v="Varun"/>
    <x v="0"/>
    <n v="29"/>
    <x v="3"/>
    <s v="HR Executive"/>
    <x v="2"/>
    <s v="2020-04-10"/>
    <n v="4"/>
    <n v="33682"/>
    <n v="4.5"/>
    <n v="92"/>
    <n v="21"/>
    <n v="18"/>
    <n v="2851"/>
    <s v="Kavya"/>
    <x v="0"/>
    <x v="3"/>
    <x v="1"/>
    <x v="1"/>
  </r>
  <r>
    <n v="1097"/>
    <s v="Deepa"/>
    <x v="0"/>
    <n v="22"/>
    <x v="0"/>
    <s v="Sales Manager"/>
    <x v="2"/>
    <s v="2020-05-17"/>
    <n v="7"/>
    <n v="37271"/>
    <n v="3.4"/>
    <n v="96.4"/>
    <n v="23"/>
    <n v="24"/>
    <n v="7859"/>
    <s v="Suresh"/>
    <x v="0"/>
    <x v="0"/>
    <x v="1"/>
    <x v="2"/>
  </r>
  <r>
    <n v="1098"/>
    <s v="Manoj"/>
    <x v="0"/>
    <n v="30"/>
    <x v="0"/>
    <s v="Sales Executive"/>
    <x v="3"/>
    <s v="2024-07-14"/>
    <n v="10"/>
    <n v="81961"/>
    <n v="4.2"/>
    <n v="82.4"/>
    <n v="13"/>
    <n v="18"/>
    <n v="2199"/>
    <s v="Suresh"/>
    <x v="0"/>
    <x v="2"/>
    <x v="0"/>
    <x v="2"/>
  </r>
  <r>
    <n v="1099"/>
    <s v="Ravi"/>
    <x v="0"/>
    <n v="40"/>
    <x v="3"/>
    <s v="HR Executive"/>
    <x v="4"/>
    <s v="2023-05-30"/>
    <n v="0"/>
    <n v="28875"/>
    <n v="4"/>
    <n v="87"/>
    <n v="2"/>
    <n v="43"/>
    <n v="3795"/>
    <s v="Ramesh"/>
    <x v="0"/>
    <x v="2"/>
    <x v="1"/>
    <x v="0"/>
  </r>
  <r>
    <n v="1100"/>
    <s v="Sneha"/>
    <x v="1"/>
    <n v="37"/>
    <x v="1"/>
    <s v="Accountant"/>
    <x v="4"/>
    <s v="2025-03-26"/>
    <n v="4"/>
    <n v="62908"/>
    <n v="4.3"/>
    <n v="97.4"/>
    <n v="17"/>
    <n v="54"/>
    <n v="3314"/>
    <s v="Suresh"/>
    <x v="0"/>
    <x v="2"/>
    <x v="2"/>
    <x v="1"/>
  </r>
  <r>
    <n v="1101"/>
    <s v="Priya"/>
    <x v="0"/>
    <n v="45"/>
    <x v="2"/>
    <s v="Senior Developer"/>
    <x v="2"/>
    <s v="2020-09-06"/>
    <n v="1"/>
    <n v="55593"/>
    <n v="3.5"/>
    <n v="82.1"/>
    <n v="1"/>
    <n v="11"/>
    <n v="13609"/>
    <s v="Kavya"/>
    <x v="0"/>
    <x v="0"/>
    <x v="2"/>
    <x v="0"/>
  </r>
  <r>
    <n v="1102"/>
    <s v="Manoj"/>
    <x v="0"/>
    <n v="30"/>
    <x v="3"/>
    <s v="HR Executive"/>
    <x v="1"/>
    <s v="2022-05-03"/>
    <n v="7"/>
    <n v="36120"/>
    <n v="4.7"/>
    <n v="87"/>
    <n v="23"/>
    <n v="21"/>
    <n v="1845"/>
    <s v="Ramesh"/>
    <x v="1"/>
    <x v="3"/>
    <x v="1"/>
    <x v="2"/>
  </r>
  <r>
    <n v="1103"/>
    <s v="Divya"/>
    <x v="1"/>
    <n v="32"/>
    <x v="1"/>
    <s v="Financial Analyst"/>
    <x v="1"/>
    <s v="2019-11-08"/>
    <n v="9"/>
    <n v="29176"/>
    <n v="3.7"/>
    <n v="91.8"/>
    <n v="4"/>
    <n v="5"/>
    <n v="9698"/>
    <s v="Ramesh"/>
    <x v="0"/>
    <x v="0"/>
    <x v="1"/>
    <x v="2"/>
  </r>
  <r>
    <n v="1104"/>
    <s v="Vijay"/>
    <x v="0"/>
    <n v="31"/>
    <x v="0"/>
    <s v="Sales Manager"/>
    <x v="2"/>
    <s v="2021-06-30"/>
    <n v="1"/>
    <n v="33158"/>
    <n v="2.8"/>
    <n v="91.6"/>
    <n v="18"/>
    <n v="60"/>
    <n v="12647"/>
    <s v="Amit"/>
    <x v="0"/>
    <x v="1"/>
    <x v="1"/>
    <x v="0"/>
  </r>
  <r>
    <n v="1105"/>
    <s v="Meena"/>
    <x v="1"/>
    <n v="30"/>
    <x v="3"/>
    <s v="HR Manager"/>
    <x v="4"/>
    <s v="2020-07-05"/>
    <n v="0"/>
    <n v="40163"/>
    <n v="4.0999999999999996"/>
    <n v="83.5"/>
    <n v="20"/>
    <n v="57"/>
    <n v="9481"/>
    <s v="Kavya"/>
    <x v="1"/>
    <x v="2"/>
    <x v="1"/>
    <x v="0"/>
  </r>
  <r>
    <n v="1106"/>
    <s v="Vijay"/>
    <x v="1"/>
    <n v="42"/>
    <x v="4"/>
    <s v="SEO Analyst"/>
    <x v="1"/>
    <s v="2018-06-09"/>
    <n v="6"/>
    <n v="35876"/>
    <n v="3.3"/>
    <n v="87"/>
    <n v="18"/>
    <n v="46"/>
    <n v="2609"/>
    <s v="Anitha"/>
    <x v="0"/>
    <x v="0"/>
    <x v="1"/>
    <x v="2"/>
  </r>
  <r>
    <n v="1107"/>
    <s v="Sai"/>
    <x v="0"/>
    <n v="40"/>
    <x v="0"/>
    <s v="Sales Executive"/>
    <x v="3"/>
    <s v="2020-11-05"/>
    <n v="4"/>
    <n v="34875"/>
    <n v="2.9"/>
    <n v="96.1"/>
    <n v="10"/>
    <n v="52"/>
    <n v="13853"/>
    <s v="Suresh"/>
    <x v="1"/>
    <x v="1"/>
    <x v="1"/>
    <x v="1"/>
  </r>
  <r>
    <n v="1108"/>
    <s v="Sonia"/>
    <x v="0"/>
    <n v="38"/>
    <x v="2"/>
    <s v="Data Analyst"/>
    <x v="1"/>
    <s v="2022-05-24"/>
    <n v="6"/>
    <n v="49805"/>
    <n v="3.1"/>
    <n v="95.2"/>
    <n v="1"/>
    <n v="33"/>
    <n v="8839"/>
    <s v="Kavya"/>
    <x v="1"/>
    <x v="0"/>
    <x v="1"/>
    <x v="2"/>
  </r>
  <r>
    <n v="1109"/>
    <s v="Ajay"/>
    <x v="1"/>
    <n v="28"/>
    <x v="2"/>
    <s v="Data Analyst"/>
    <x v="3"/>
    <s v="2021-10-05"/>
    <n v="1"/>
    <n v="36311"/>
    <n v="4.5"/>
    <n v="83.7"/>
    <n v="14"/>
    <n v="41"/>
    <n v="11522"/>
    <s v="Ramesh"/>
    <x v="0"/>
    <x v="3"/>
    <x v="1"/>
    <x v="0"/>
  </r>
  <r>
    <n v="1110"/>
    <s v="Sneha"/>
    <x v="1"/>
    <n v="33"/>
    <x v="1"/>
    <s v="Financial Analyst"/>
    <x v="2"/>
    <s v="2018-04-25"/>
    <n v="7"/>
    <n v="92901"/>
    <n v="3.1"/>
    <n v="84.3"/>
    <n v="20"/>
    <n v="53"/>
    <n v="3246"/>
    <s v="Kavya"/>
    <x v="0"/>
    <x v="0"/>
    <x v="0"/>
    <x v="2"/>
  </r>
  <r>
    <n v="1111"/>
    <s v="Deepa"/>
    <x v="0"/>
    <n v="28"/>
    <x v="4"/>
    <s v="SEO Analyst"/>
    <x v="3"/>
    <s v="2019-03-15"/>
    <n v="3"/>
    <n v="34880"/>
    <n v="4.5999999999999996"/>
    <n v="97"/>
    <n v="7"/>
    <n v="30"/>
    <n v="4468"/>
    <s v="Anitha"/>
    <x v="0"/>
    <x v="3"/>
    <x v="1"/>
    <x v="1"/>
  </r>
  <r>
    <n v="1112"/>
    <s v="Sai"/>
    <x v="1"/>
    <n v="25"/>
    <x v="0"/>
    <s v="Sales Manager"/>
    <x v="2"/>
    <s v="2020-01-22"/>
    <n v="7"/>
    <n v="74173"/>
    <n v="2.8"/>
    <n v="86.4"/>
    <n v="13"/>
    <n v="23"/>
    <n v="2209"/>
    <s v="Kavya"/>
    <x v="1"/>
    <x v="1"/>
    <x v="0"/>
    <x v="2"/>
  </r>
  <r>
    <n v="1113"/>
    <s v="Nikhil"/>
    <x v="0"/>
    <n v="38"/>
    <x v="3"/>
    <s v="HR Manager"/>
    <x v="0"/>
    <s v="2020-02-13"/>
    <n v="10"/>
    <n v="64165"/>
    <n v="3.8"/>
    <n v="92.3"/>
    <n v="5"/>
    <n v="60"/>
    <n v="5651"/>
    <s v="Kavya"/>
    <x v="0"/>
    <x v="0"/>
    <x v="2"/>
    <x v="2"/>
  </r>
  <r>
    <n v="1114"/>
    <s v="Sneha"/>
    <x v="0"/>
    <n v="22"/>
    <x v="1"/>
    <s v="Accountant"/>
    <x v="4"/>
    <s v="2019-07-04"/>
    <n v="7"/>
    <n v="70177"/>
    <n v="3.9"/>
    <n v="91.8"/>
    <n v="0"/>
    <n v="43"/>
    <n v="7839"/>
    <s v="Ramesh"/>
    <x v="0"/>
    <x v="0"/>
    <x v="0"/>
    <x v="2"/>
  </r>
  <r>
    <n v="1115"/>
    <s v="Rahul"/>
    <x v="0"/>
    <n v="33"/>
    <x v="3"/>
    <s v="HR Executive"/>
    <x v="2"/>
    <s v="2021-09-15"/>
    <n v="2"/>
    <n v="26240"/>
    <n v="3.8"/>
    <n v="88.8"/>
    <n v="9"/>
    <n v="57"/>
    <n v="8189"/>
    <s v="Anitha"/>
    <x v="1"/>
    <x v="0"/>
    <x v="1"/>
    <x v="0"/>
  </r>
  <r>
    <n v="1116"/>
    <s v="Kiran"/>
    <x v="0"/>
    <n v="28"/>
    <x v="4"/>
    <s v="SEO Analyst"/>
    <x v="4"/>
    <s v="2019-03-09"/>
    <n v="5"/>
    <n v="47360"/>
    <n v="2.9"/>
    <n v="87.4"/>
    <n v="11"/>
    <n v="23"/>
    <n v="14765"/>
    <s v="Kavya"/>
    <x v="1"/>
    <x v="1"/>
    <x v="1"/>
    <x v="1"/>
  </r>
  <r>
    <n v="1117"/>
    <s v="Priya"/>
    <x v="1"/>
    <n v="41"/>
    <x v="2"/>
    <s v="Data Analyst"/>
    <x v="2"/>
    <s v="2022-09-22"/>
    <n v="10"/>
    <n v="33970"/>
    <n v="4.5"/>
    <n v="91.9"/>
    <n v="6"/>
    <n v="23"/>
    <n v="11012"/>
    <s v="Amit"/>
    <x v="0"/>
    <x v="3"/>
    <x v="1"/>
    <x v="2"/>
  </r>
  <r>
    <n v="1118"/>
    <s v="Anu"/>
    <x v="1"/>
    <n v="38"/>
    <x v="4"/>
    <s v="SEO Analyst"/>
    <x v="1"/>
    <s v="2018-11-29"/>
    <n v="0"/>
    <n v="68512"/>
    <n v="4.9000000000000004"/>
    <n v="85"/>
    <n v="16"/>
    <n v="52"/>
    <n v="2499"/>
    <s v="Kavya"/>
    <x v="0"/>
    <x v="3"/>
    <x v="2"/>
    <x v="0"/>
  </r>
  <r>
    <n v="1119"/>
    <s v="Divya"/>
    <x v="1"/>
    <n v="29"/>
    <x v="1"/>
    <s v="Financial Analyst"/>
    <x v="1"/>
    <s v="2022-12-25"/>
    <n v="2"/>
    <n v="31733"/>
    <n v="3.1"/>
    <n v="90.3"/>
    <n v="14"/>
    <n v="40"/>
    <n v="13482"/>
    <s v="Ramesh"/>
    <x v="1"/>
    <x v="0"/>
    <x v="1"/>
    <x v="0"/>
  </r>
  <r>
    <n v="1120"/>
    <s v="Arjun"/>
    <x v="1"/>
    <n v="27"/>
    <x v="2"/>
    <s v="Senior Developer"/>
    <x v="3"/>
    <s v="2018-11-18"/>
    <n v="9"/>
    <n v="78787"/>
    <n v="4.7"/>
    <n v="91.7"/>
    <n v="6"/>
    <n v="46"/>
    <n v="4053"/>
    <s v="Suresh"/>
    <x v="0"/>
    <x v="3"/>
    <x v="0"/>
    <x v="2"/>
  </r>
  <r>
    <n v="1121"/>
    <s v="Sonia"/>
    <x v="1"/>
    <n v="41"/>
    <x v="3"/>
    <s v="HR Executive"/>
    <x v="0"/>
    <s v="2024-03-02"/>
    <n v="0"/>
    <n v="82364"/>
    <n v="4.0999999999999996"/>
    <n v="90.4"/>
    <n v="11"/>
    <n v="10"/>
    <n v="14554"/>
    <s v="Amit"/>
    <x v="0"/>
    <x v="2"/>
    <x v="0"/>
    <x v="0"/>
  </r>
  <r>
    <n v="1122"/>
    <s v="Anu"/>
    <x v="0"/>
    <n v="31"/>
    <x v="1"/>
    <s v="Accountant"/>
    <x v="3"/>
    <s v="2024-08-25"/>
    <n v="9"/>
    <n v="31057"/>
    <n v="3.7"/>
    <n v="83.9"/>
    <n v="8"/>
    <n v="23"/>
    <n v="4329"/>
    <s v="Kavya"/>
    <x v="0"/>
    <x v="0"/>
    <x v="1"/>
    <x v="2"/>
  </r>
  <r>
    <n v="1123"/>
    <s v="Deepa"/>
    <x v="1"/>
    <n v="31"/>
    <x v="4"/>
    <s v="SEO Analyst"/>
    <x v="3"/>
    <s v="2018-09-15"/>
    <n v="3"/>
    <n v="38792"/>
    <n v="3.7"/>
    <n v="82.4"/>
    <n v="21"/>
    <n v="10"/>
    <n v="1576"/>
    <s v="Suresh"/>
    <x v="0"/>
    <x v="0"/>
    <x v="1"/>
    <x v="1"/>
  </r>
  <r>
    <n v="1124"/>
    <s v="Sneha"/>
    <x v="1"/>
    <n v="23"/>
    <x v="4"/>
    <s v="Marketing Executive"/>
    <x v="0"/>
    <s v="2020-07-12"/>
    <n v="5"/>
    <n v="41877"/>
    <n v="4.4000000000000004"/>
    <n v="83.4"/>
    <n v="23"/>
    <n v="54"/>
    <n v="13582"/>
    <s v="Kavya"/>
    <x v="0"/>
    <x v="2"/>
    <x v="1"/>
    <x v="1"/>
  </r>
  <r>
    <n v="1125"/>
    <s v="Manoj"/>
    <x v="1"/>
    <n v="34"/>
    <x v="1"/>
    <s v="Accountant"/>
    <x v="2"/>
    <s v="2022-12-12"/>
    <n v="4"/>
    <n v="68515"/>
    <n v="4.3"/>
    <n v="91.4"/>
    <n v="8"/>
    <n v="23"/>
    <n v="9294"/>
    <s v="Kavya"/>
    <x v="0"/>
    <x v="2"/>
    <x v="2"/>
    <x v="1"/>
  </r>
  <r>
    <n v="1126"/>
    <s v="Pooja"/>
    <x v="1"/>
    <n v="23"/>
    <x v="3"/>
    <s v="HR Executive"/>
    <x v="1"/>
    <s v="2022-01-01"/>
    <n v="0"/>
    <n v="59054"/>
    <n v="4"/>
    <n v="91.4"/>
    <n v="23"/>
    <n v="29"/>
    <n v="10051"/>
    <s v="Amit"/>
    <x v="1"/>
    <x v="2"/>
    <x v="2"/>
    <x v="0"/>
  </r>
  <r>
    <n v="1127"/>
    <s v="Ajay"/>
    <x v="1"/>
    <n v="25"/>
    <x v="1"/>
    <s v="Accountant"/>
    <x v="0"/>
    <s v="2021-08-14"/>
    <n v="3"/>
    <n v="29298"/>
    <n v="2.6"/>
    <n v="88.1"/>
    <n v="7"/>
    <n v="45"/>
    <n v="10356"/>
    <s v="Ramesh"/>
    <x v="1"/>
    <x v="1"/>
    <x v="1"/>
    <x v="1"/>
  </r>
  <r>
    <n v="1128"/>
    <s v="Harsha"/>
    <x v="1"/>
    <n v="45"/>
    <x v="3"/>
    <s v="HR Manager"/>
    <x v="3"/>
    <s v="2024-12-25"/>
    <n v="3"/>
    <n v="86024"/>
    <n v="2.7"/>
    <n v="96"/>
    <n v="12"/>
    <n v="5"/>
    <n v="12979"/>
    <s v="Ramesh"/>
    <x v="1"/>
    <x v="1"/>
    <x v="0"/>
    <x v="1"/>
  </r>
  <r>
    <n v="1129"/>
    <s v="Keerthi"/>
    <x v="1"/>
    <n v="31"/>
    <x v="2"/>
    <s v="Senior Developer"/>
    <x v="0"/>
    <s v="2020-04-01"/>
    <n v="2"/>
    <n v="93607"/>
    <n v="2.9"/>
    <n v="83.1"/>
    <n v="1"/>
    <n v="32"/>
    <n v="13869"/>
    <s v="Suresh"/>
    <x v="1"/>
    <x v="1"/>
    <x v="0"/>
    <x v="0"/>
  </r>
  <r>
    <n v="1130"/>
    <s v="Pooja"/>
    <x v="0"/>
    <n v="23"/>
    <x v="1"/>
    <s v="Financial Analyst"/>
    <x v="4"/>
    <s v="2019-12-28"/>
    <n v="4"/>
    <n v="40029"/>
    <n v="3"/>
    <n v="86.8"/>
    <n v="13"/>
    <n v="32"/>
    <n v="1658"/>
    <s v="Ramesh"/>
    <x v="0"/>
    <x v="0"/>
    <x v="1"/>
    <x v="1"/>
  </r>
  <r>
    <n v="1131"/>
    <s v="Manoj"/>
    <x v="1"/>
    <n v="36"/>
    <x v="3"/>
    <s v="HR Executive"/>
    <x v="1"/>
    <s v="2024-04-28"/>
    <n v="9"/>
    <n v="42752"/>
    <n v="3.9"/>
    <n v="84.2"/>
    <n v="15"/>
    <n v="48"/>
    <n v="7776"/>
    <s v="Kavya"/>
    <x v="1"/>
    <x v="0"/>
    <x v="1"/>
    <x v="2"/>
  </r>
  <r>
    <n v="1132"/>
    <s v="Manoj"/>
    <x v="0"/>
    <n v="42"/>
    <x v="0"/>
    <s v="Sales Manager"/>
    <x v="4"/>
    <s v="2022-12-27"/>
    <n v="4"/>
    <n v="54825"/>
    <n v="3.8"/>
    <n v="88.5"/>
    <n v="25"/>
    <n v="51"/>
    <n v="4819"/>
    <s v="Kavya"/>
    <x v="1"/>
    <x v="0"/>
    <x v="2"/>
    <x v="1"/>
  </r>
  <r>
    <n v="1133"/>
    <s v="Nikhil"/>
    <x v="0"/>
    <n v="44"/>
    <x v="2"/>
    <s v="Senior Developer"/>
    <x v="3"/>
    <s v="2021-02-25"/>
    <n v="5"/>
    <n v="83614"/>
    <n v="4.9000000000000004"/>
    <n v="90.9"/>
    <n v="10"/>
    <n v="33"/>
    <n v="4684"/>
    <s v="Amit"/>
    <x v="1"/>
    <x v="3"/>
    <x v="0"/>
    <x v="1"/>
  </r>
  <r>
    <n v="1134"/>
    <s v="Pooja"/>
    <x v="0"/>
    <n v="44"/>
    <x v="2"/>
    <s v="Senior Developer"/>
    <x v="0"/>
    <s v="2018-12-03"/>
    <n v="5"/>
    <n v="89831"/>
    <n v="3.2"/>
    <n v="82.5"/>
    <n v="15"/>
    <n v="20"/>
    <n v="5857"/>
    <s v="Anitha"/>
    <x v="1"/>
    <x v="0"/>
    <x v="0"/>
    <x v="1"/>
  </r>
  <r>
    <n v="1135"/>
    <s v="Varun"/>
    <x v="1"/>
    <n v="36"/>
    <x v="0"/>
    <s v="Sales Executive"/>
    <x v="4"/>
    <s v="2024-09-24"/>
    <n v="8"/>
    <n v="44485"/>
    <n v="3.4"/>
    <n v="96.2"/>
    <n v="25"/>
    <n v="49"/>
    <n v="7797"/>
    <s v="Amit"/>
    <x v="0"/>
    <x v="0"/>
    <x v="1"/>
    <x v="2"/>
  </r>
  <r>
    <n v="1136"/>
    <s v="Deepa"/>
    <x v="0"/>
    <n v="29"/>
    <x v="3"/>
    <s v="HR Manager"/>
    <x v="1"/>
    <s v="2024-06-03"/>
    <n v="1"/>
    <n v="34709"/>
    <n v="3.3"/>
    <n v="87.8"/>
    <n v="10"/>
    <n v="11"/>
    <n v="10571"/>
    <s v="Anitha"/>
    <x v="1"/>
    <x v="0"/>
    <x v="1"/>
    <x v="0"/>
  </r>
  <r>
    <n v="1137"/>
    <s v="Sai"/>
    <x v="1"/>
    <n v="40"/>
    <x v="4"/>
    <s v="SEO Analyst"/>
    <x v="1"/>
    <s v="2019-01-05"/>
    <n v="5"/>
    <n v="79342"/>
    <n v="2.6"/>
    <n v="91.9"/>
    <n v="4"/>
    <n v="49"/>
    <n v="9880"/>
    <s v="Suresh"/>
    <x v="1"/>
    <x v="1"/>
    <x v="0"/>
    <x v="1"/>
  </r>
  <r>
    <n v="1138"/>
    <s v="Arjun"/>
    <x v="0"/>
    <n v="36"/>
    <x v="1"/>
    <s v="Accountant"/>
    <x v="2"/>
    <s v="2021-10-17"/>
    <n v="2"/>
    <n v="38881"/>
    <n v="3"/>
    <n v="96"/>
    <n v="19"/>
    <n v="39"/>
    <n v="1814"/>
    <s v="Anitha"/>
    <x v="1"/>
    <x v="0"/>
    <x v="1"/>
    <x v="0"/>
  </r>
  <r>
    <n v="1139"/>
    <s v="Priya"/>
    <x v="1"/>
    <n v="23"/>
    <x v="4"/>
    <s v="Marketing Executive"/>
    <x v="2"/>
    <s v="2020-06-04"/>
    <n v="8"/>
    <n v="72368"/>
    <n v="3.3"/>
    <n v="96.5"/>
    <n v="19"/>
    <n v="32"/>
    <n v="1452"/>
    <s v="Kavya"/>
    <x v="1"/>
    <x v="0"/>
    <x v="0"/>
    <x v="2"/>
  </r>
  <r>
    <n v="1140"/>
    <s v="Arjun"/>
    <x v="0"/>
    <n v="27"/>
    <x v="1"/>
    <s v="Accountant"/>
    <x v="3"/>
    <s v="2020-11-01"/>
    <n v="2"/>
    <n v="44019"/>
    <n v="3.8"/>
    <n v="87.6"/>
    <n v="7"/>
    <n v="45"/>
    <n v="8835"/>
    <s v="Ramesh"/>
    <x v="0"/>
    <x v="0"/>
    <x v="1"/>
    <x v="0"/>
  </r>
  <r>
    <n v="1141"/>
    <s v="Meena"/>
    <x v="1"/>
    <n v="43"/>
    <x v="4"/>
    <s v="Marketing Executive"/>
    <x v="0"/>
    <s v="2022-04-05"/>
    <n v="5"/>
    <n v="71175"/>
    <n v="2.8"/>
    <n v="88.6"/>
    <n v="21"/>
    <n v="8"/>
    <n v="4529"/>
    <s v="Ramesh"/>
    <x v="0"/>
    <x v="1"/>
    <x v="0"/>
    <x v="1"/>
  </r>
  <r>
    <n v="1142"/>
    <s v="Kiran"/>
    <x v="0"/>
    <n v="33"/>
    <x v="2"/>
    <s v="Software Engineer"/>
    <x v="4"/>
    <s v="2025-04-21"/>
    <n v="6"/>
    <n v="38937"/>
    <n v="4"/>
    <n v="85.2"/>
    <n v="24"/>
    <n v="37"/>
    <n v="7408"/>
    <s v="Anitha"/>
    <x v="0"/>
    <x v="2"/>
    <x v="1"/>
    <x v="2"/>
  </r>
  <r>
    <n v="1143"/>
    <s v="Varun"/>
    <x v="0"/>
    <n v="38"/>
    <x v="3"/>
    <s v="HR Executive"/>
    <x v="1"/>
    <s v="2024-08-12"/>
    <n v="7"/>
    <n v="92359"/>
    <n v="3.1"/>
    <n v="97.9"/>
    <n v="10"/>
    <n v="38"/>
    <n v="1633"/>
    <s v="Kavya"/>
    <x v="0"/>
    <x v="0"/>
    <x v="0"/>
    <x v="2"/>
  </r>
  <r>
    <n v="1144"/>
    <s v="Ravi"/>
    <x v="0"/>
    <n v="38"/>
    <x v="1"/>
    <s v="Financial Analyst"/>
    <x v="3"/>
    <s v="2019-11-22"/>
    <n v="9"/>
    <n v="90158"/>
    <n v="4.9000000000000004"/>
    <n v="84.7"/>
    <n v="4"/>
    <n v="40"/>
    <n v="1832"/>
    <s v="Anitha"/>
    <x v="1"/>
    <x v="3"/>
    <x v="0"/>
    <x v="2"/>
  </r>
  <r>
    <n v="1145"/>
    <s v="Meena"/>
    <x v="1"/>
    <n v="24"/>
    <x v="3"/>
    <s v="HR Executive"/>
    <x v="3"/>
    <s v="2018-06-14"/>
    <n v="7"/>
    <n v="57223"/>
    <n v="3.5"/>
    <n v="86.3"/>
    <n v="20"/>
    <n v="6"/>
    <n v="5175"/>
    <s v="Suresh"/>
    <x v="1"/>
    <x v="0"/>
    <x v="2"/>
    <x v="2"/>
  </r>
  <r>
    <n v="1146"/>
    <s v="Ajay"/>
    <x v="0"/>
    <n v="22"/>
    <x v="0"/>
    <s v="Sales Manager"/>
    <x v="0"/>
    <s v="2022-09-03"/>
    <n v="2"/>
    <n v="82785"/>
    <n v="4.3"/>
    <n v="92.3"/>
    <n v="11"/>
    <n v="51"/>
    <n v="6315"/>
    <s v="Suresh"/>
    <x v="0"/>
    <x v="2"/>
    <x v="0"/>
    <x v="0"/>
  </r>
  <r>
    <n v="1147"/>
    <s v="Priya"/>
    <x v="0"/>
    <n v="24"/>
    <x v="2"/>
    <s v="Senior Developer"/>
    <x v="2"/>
    <s v="2018-10-28"/>
    <n v="7"/>
    <n v="72005"/>
    <n v="4.5"/>
    <n v="91"/>
    <n v="24"/>
    <n v="48"/>
    <n v="9218"/>
    <s v="Kavya"/>
    <x v="0"/>
    <x v="3"/>
    <x v="0"/>
    <x v="2"/>
  </r>
  <r>
    <n v="1148"/>
    <s v="Sonia"/>
    <x v="1"/>
    <n v="44"/>
    <x v="4"/>
    <s v="Marketing Executive"/>
    <x v="2"/>
    <s v="2020-03-19"/>
    <n v="0"/>
    <n v="78424"/>
    <n v="4.4000000000000004"/>
    <n v="93.5"/>
    <n v="7"/>
    <n v="48"/>
    <n v="3696"/>
    <s v="Anitha"/>
    <x v="1"/>
    <x v="2"/>
    <x v="0"/>
    <x v="0"/>
  </r>
  <r>
    <n v="1149"/>
    <s v="Divya"/>
    <x v="0"/>
    <n v="32"/>
    <x v="3"/>
    <s v="HR Executive"/>
    <x v="2"/>
    <s v="2023-08-25"/>
    <n v="3"/>
    <m/>
    <n v="4.5999999999999996"/>
    <n v="84"/>
    <n v="20"/>
    <n v="10"/>
    <n v="13911"/>
    <s v="Suresh"/>
    <x v="1"/>
    <x v="3"/>
    <x v="2"/>
    <x v="1"/>
  </r>
  <r>
    <n v="1150"/>
    <s v="Varun"/>
    <x v="0"/>
    <n v="33"/>
    <x v="0"/>
    <s v="Sales Executive"/>
    <x v="2"/>
    <s v="2018-06-10"/>
    <n v="0"/>
    <n v="51343"/>
    <n v="3.7"/>
    <n v="91.4"/>
    <n v="12"/>
    <n v="23"/>
    <n v="10627"/>
    <s v="Anitha"/>
    <x v="1"/>
    <x v="0"/>
    <x v="2"/>
    <x v="0"/>
  </r>
  <r>
    <n v="1151"/>
    <s v="Ravi"/>
    <x v="0"/>
    <n v="44"/>
    <x v="3"/>
    <s v="HR Executive"/>
    <x v="1"/>
    <s v="2019-06-25"/>
    <n v="4"/>
    <n v="33666"/>
    <n v="2.7"/>
    <n v="82.2"/>
    <n v="13"/>
    <n v="16"/>
    <n v="12254"/>
    <s v="Ramesh"/>
    <x v="0"/>
    <x v="1"/>
    <x v="1"/>
    <x v="1"/>
  </r>
  <r>
    <n v="1152"/>
    <s v="Sai"/>
    <x v="1"/>
    <n v="45"/>
    <x v="4"/>
    <s v="SEO Analyst"/>
    <x v="2"/>
    <s v="2018-11-03"/>
    <n v="2"/>
    <n v="60864"/>
    <n v="4.0999999999999996"/>
    <n v="88.6"/>
    <n v="8"/>
    <n v="10"/>
    <n v="9841"/>
    <s v="Kavya"/>
    <x v="0"/>
    <x v="2"/>
    <x v="2"/>
    <x v="0"/>
  </r>
  <r>
    <n v="1153"/>
    <s v="Meena"/>
    <x v="0"/>
    <n v="44"/>
    <x v="3"/>
    <s v="HR Executive"/>
    <x v="0"/>
    <s v="2020-03-23"/>
    <n v="6"/>
    <n v="47595"/>
    <n v="3.5"/>
    <n v="97.3"/>
    <n v="11"/>
    <n v="35"/>
    <n v="10669"/>
    <s v="Ramesh"/>
    <x v="1"/>
    <x v="0"/>
    <x v="1"/>
    <x v="2"/>
  </r>
  <r>
    <n v="1154"/>
    <s v="Divya"/>
    <x v="1"/>
    <n v="41"/>
    <x v="1"/>
    <s v="Financial Analyst"/>
    <x v="2"/>
    <s v="2023-07-31"/>
    <n v="9"/>
    <n v="34143"/>
    <n v="4.0999999999999996"/>
    <n v="97"/>
    <n v="19"/>
    <n v="32"/>
    <n v="13477"/>
    <s v="Ramesh"/>
    <x v="0"/>
    <x v="2"/>
    <x v="1"/>
    <x v="2"/>
  </r>
  <r>
    <n v="1155"/>
    <s v="Ravi"/>
    <x v="0"/>
    <n v="29"/>
    <x v="0"/>
    <s v="Sales Executive"/>
    <x v="0"/>
    <s v="2022-03-16"/>
    <n v="8"/>
    <n v="46062"/>
    <n v="3.9"/>
    <n v="83"/>
    <n v="21"/>
    <n v="33"/>
    <n v="5725"/>
    <s v="Kavya"/>
    <x v="0"/>
    <x v="0"/>
    <x v="1"/>
    <x v="2"/>
  </r>
  <r>
    <n v="1156"/>
    <s v="Sonia"/>
    <x v="1"/>
    <n v="45"/>
    <x v="3"/>
    <s v="HR Executive"/>
    <x v="1"/>
    <s v="2021-08-05"/>
    <n v="0"/>
    <n v="75680"/>
    <n v="4.8"/>
    <n v="86.7"/>
    <n v="23"/>
    <n v="30"/>
    <n v="12986"/>
    <s v="Anitha"/>
    <x v="0"/>
    <x v="3"/>
    <x v="0"/>
    <x v="0"/>
  </r>
  <r>
    <n v="1157"/>
    <s v="Arjun"/>
    <x v="0"/>
    <n v="36"/>
    <x v="0"/>
    <s v="Sales Executive"/>
    <x v="2"/>
    <s v="2020-10-09"/>
    <n v="9"/>
    <n v="60170"/>
    <n v="4.4000000000000004"/>
    <n v="98.5"/>
    <n v="13"/>
    <n v="34"/>
    <n v="5571"/>
    <s v="Ramesh"/>
    <x v="1"/>
    <x v="2"/>
    <x v="2"/>
    <x v="2"/>
  </r>
  <r>
    <n v="1158"/>
    <s v="Anu"/>
    <x v="1"/>
    <n v="24"/>
    <x v="2"/>
    <s v="Data Analyst"/>
    <x v="0"/>
    <s v="2022-03-10"/>
    <n v="1"/>
    <n v="32255"/>
    <n v="4.7"/>
    <n v="84"/>
    <n v="17"/>
    <n v="5"/>
    <n v="9293"/>
    <s v="Anitha"/>
    <x v="1"/>
    <x v="3"/>
    <x v="1"/>
    <x v="0"/>
  </r>
  <r>
    <n v="1159"/>
    <s v="Ravi"/>
    <x v="0"/>
    <n v="44"/>
    <x v="3"/>
    <s v="HR Manager"/>
    <x v="0"/>
    <s v="2018-03-17"/>
    <n v="9"/>
    <n v="64556"/>
    <n v="3.4"/>
    <n v="93.6"/>
    <n v="23"/>
    <n v="50"/>
    <n v="14983"/>
    <s v="Suresh"/>
    <x v="1"/>
    <x v="0"/>
    <x v="2"/>
    <x v="2"/>
  </r>
  <r>
    <n v="1160"/>
    <s v="Arjun"/>
    <x v="1"/>
    <n v="23"/>
    <x v="2"/>
    <s v="Software Engineer"/>
    <x v="4"/>
    <s v="2025-01-26"/>
    <n v="6"/>
    <n v="80669"/>
    <n v="4.3"/>
    <n v="90.5"/>
    <n v="18"/>
    <n v="46"/>
    <n v="12315"/>
    <s v="Amit"/>
    <x v="1"/>
    <x v="2"/>
    <x v="0"/>
    <x v="2"/>
  </r>
  <r>
    <n v="1161"/>
    <s v="Deepa"/>
    <x v="0"/>
    <n v="44"/>
    <x v="4"/>
    <s v="Marketing Executive"/>
    <x v="1"/>
    <s v="2024-05-17"/>
    <n v="0"/>
    <n v="84316"/>
    <n v="4.2"/>
    <n v="92.8"/>
    <n v="7"/>
    <n v="28"/>
    <n v="2810"/>
    <s v="Anitha"/>
    <x v="1"/>
    <x v="2"/>
    <x v="0"/>
    <x v="0"/>
  </r>
  <r>
    <n v="1162"/>
    <s v="Meena"/>
    <x v="1"/>
    <n v="37"/>
    <x v="0"/>
    <s v="Sales Executive"/>
    <x v="3"/>
    <s v="2018-10-06"/>
    <n v="1"/>
    <n v="30983"/>
    <n v="4.7"/>
    <n v="89.7"/>
    <n v="7"/>
    <n v="25"/>
    <n v="7857"/>
    <s v="Kavya"/>
    <x v="1"/>
    <x v="3"/>
    <x v="1"/>
    <x v="0"/>
  </r>
  <r>
    <n v="1163"/>
    <s v="Manoj"/>
    <x v="1"/>
    <n v="23"/>
    <x v="3"/>
    <s v="HR Manager"/>
    <x v="2"/>
    <s v="2021-06-06"/>
    <n v="4"/>
    <n v="43099"/>
    <n v="3.3"/>
    <n v="89.2"/>
    <n v="22"/>
    <n v="56"/>
    <n v="9346"/>
    <s v="Anitha"/>
    <x v="1"/>
    <x v="0"/>
    <x v="1"/>
    <x v="1"/>
  </r>
  <r>
    <n v="1164"/>
    <s v="Anu"/>
    <x v="0"/>
    <n v="42"/>
    <x v="0"/>
    <s v="Sales Executive"/>
    <x v="2"/>
    <s v="2022-12-24"/>
    <n v="8"/>
    <n v="38470"/>
    <n v="4.9000000000000004"/>
    <n v="91.6"/>
    <n v="17"/>
    <n v="11"/>
    <n v="3675"/>
    <s v="Kavya"/>
    <x v="1"/>
    <x v="3"/>
    <x v="1"/>
    <x v="2"/>
  </r>
  <r>
    <n v="1165"/>
    <s v="Manoj"/>
    <x v="1"/>
    <n v="22"/>
    <x v="1"/>
    <s v="Accountant"/>
    <x v="0"/>
    <s v="2019-09-30"/>
    <n v="5"/>
    <n v="76144"/>
    <n v="4.2"/>
    <n v="85.4"/>
    <n v="21"/>
    <n v="33"/>
    <n v="9190"/>
    <s v="Ramesh"/>
    <x v="0"/>
    <x v="2"/>
    <x v="0"/>
    <x v="1"/>
  </r>
  <r>
    <n v="1166"/>
    <s v="Rahul"/>
    <x v="1"/>
    <n v="44"/>
    <x v="1"/>
    <s v="Accountant"/>
    <x v="2"/>
    <s v="2018-06-19"/>
    <n v="3"/>
    <n v="73794"/>
    <n v="3.5"/>
    <n v="85.5"/>
    <n v="8"/>
    <n v="14"/>
    <n v="3412"/>
    <s v="Suresh"/>
    <x v="0"/>
    <x v="0"/>
    <x v="0"/>
    <x v="1"/>
  </r>
  <r>
    <n v="1167"/>
    <s v="Meena"/>
    <x v="0"/>
    <n v="26"/>
    <x v="2"/>
    <s v="Senior Developer"/>
    <x v="2"/>
    <s v="2021-06-03"/>
    <n v="4"/>
    <n v="85088"/>
    <n v="4.3"/>
    <n v="95.7"/>
    <n v="22"/>
    <n v="22"/>
    <n v="12226"/>
    <s v="Amit"/>
    <x v="0"/>
    <x v="2"/>
    <x v="0"/>
    <x v="1"/>
  </r>
  <r>
    <n v="1168"/>
    <s v="Ravi"/>
    <x v="0"/>
    <n v="31"/>
    <x v="3"/>
    <s v="HR Executive"/>
    <x v="4"/>
    <s v="2018-11-01"/>
    <n v="0"/>
    <n v="79267"/>
    <n v="3.6"/>
    <n v="96.7"/>
    <n v="11"/>
    <n v="19"/>
    <n v="7340"/>
    <s v="Anitha"/>
    <x v="1"/>
    <x v="0"/>
    <x v="0"/>
    <x v="0"/>
  </r>
  <r>
    <n v="1169"/>
    <s v="Arjun"/>
    <x v="1"/>
    <n v="30"/>
    <x v="1"/>
    <s v="Financial Analyst"/>
    <x v="0"/>
    <s v="2018-06-24"/>
    <n v="2"/>
    <n v="62607"/>
    <n v="3.1"/>
    <n v="95.3"/>
    <n v="19"/>
    <n v="54"/>
    <n v="12497"/>
    <s v="Suresh"/>
    <x v="0"/>
    <x v="0"/>
    <x v="2"/>
    <x v="0"/>
  </r>
  <r>
    <n v="1170"/>
    <s v="Priya"/>
    <x v="0"/>
    <n v="38"/>
    <x v="1"/>
    <s v="Financial Analyst"/>
    <x v="3"/>
    <s v="2024-10-30"/>
    <n v="4"/>
    <n v="93456"/>
    <n v="4.8"/>
    <n v="83.8"/>
    <n v="10"/>
    <n v="17"/>
    <n v="8355"/>
    <s v="Ramesh"/>
    <x v="0"/>
    <x v="3"/>
    <x v="0"/>
    <x v="1"/>
  </r>
  <r>
    <n v="1171"/>
    <s v="Divya"/>
    <x v="1"/>
    <n v="31"/>
    <x v="1"/>
    <s v="Financial Analyst"/>
    <x v="2"/>
    <s v="2021-05-29"/>
    <n v="5"/>
    <n v="27618"/>
    <n v="4.9000000000000004"/>
    <n v="82.5"/>
    <n v="22"/>
    <n v="9"/>
    <n v="4477"/>
    <s v="Kavya"/>
    <x v="1"/>
    <x v="3"/>
    <x v="1"/>
    <x v="1"/>
  </r>
  <r>
    <n v="1172"/>
    <s v="Ravi"/>
    <x v="1"/>
    <n v="35"/>
    <x v="2"/>
    <s v="Software Engineer"/>
    <x v="4"/>
    <s v="2022-05-12"/>
    <n v="4"/>
    <n v="78972"/>
    <n v="4.5999999999999996"/>
    <n v="82.4"/>
    <n v="13"/>
    <n v="35"/>
    <n v="5732"/>
    <s v="Suresh"/>
    <x v="1"/>
    <x v="3"/>
    <x v="0"/>
    <x v="1"/>
  </r>
  <r>
    <n v="1173"/>
    <s v="Arjun"/>
    <x v="0"/>
    <n v="37"/>
    <x v="1"/>
    <s v="Accountant"/>
    <x v="2"/>
    <s v="2022-05-13"/>
    <n v="10"/>
    <n v="73842"/>
    <n v="3"/>
    <n v="89.7"/>
    <n v="13"/>
    <n v="13"/>
    <n v="14332"/>
    <s v="Anitha"/>
    <x v="0"/>
    <x v="0"/>
    <x v="0"/>
    <x v="2"/>
  </r>
  <r>
    <n v="1174"/>
    <s v="Keerthi"/>
    <x v="0"/>
    <n v="33"/>
    <x v="1"/>
    <s v="Financial Analyst"/>
    <x v="0"/>
    <s v="2022-11-12"/>
    <n v="0"/>
    <n v="60041"/>
    <n v="2.6"/>
    <n v="86.8"/>
    <n v="17"/>
    <n v="39"/>
    <n v="4129"/>
    <s v="Suresh"/>
    <x v="0"/>
    <x v="1"/>
    <x v="2"/>
    <x v="0"/>
  </r>
  <r>
    <n v="1175"/>
    <s v="Harsha"/>
    <x v="1"/>
    <n v="37"/>
    <x v="3"/>
    <s v="HR Executive"/>
    <x v="4"/>
    <s v="2018-01-06"/>
    <n v="1"/>
    <n v="78504"/>
    <n v="3.4"/>
    <n v="91.5"/>
    <n v="20"/>
    <n v="44"/>
    <n v="8975"/>
    <s v="Amit"/>
    <x v="1"/>
    <x v="0"/>
    <x v="0"/>
    <x v="0"/>
  </r>
  <r>
    <n v="1176"/>
    <s v="Rahul"/>
    <x v="1"/>
    <n v="31"/>
    <x v="3"/>
    <s v="HR Manager"/>
    <x v="1"/>
    <s v="2020-01-17"/>
    <n v="9"/>
    <n v="50086"/>
    <n v="5"/>
    <n v="90.4"/>
    <n v="12"/>
    <n v="6"/>
    <n v="13494"/>
    <s v="Ramesh"/>
    <x v="0"/>
    <x v="3"/>
    <x v="2"/>
    <x v="2"/>
  </r>
  <r>
    <n v="1177"/>
    <s v="Divya"/>
    <x v="0"/>
    <n v="41"/>
    <x v="2"/>
    <s v="Data Analyst"/>
    <x v="4"/>
    <s v="2020-04-11"/>
    <n v="1"/>
    <n v="55080"/>
    <n v="3.6"/>
    <n v="90.6"/>
    <n v="16"/>
    <n v="20"/>
    <n v="4064"/>
    <s v="Anitha"/>
    <x v="1"/>
    <x v="0"/>
    <x v="2"/>
    <x v="0"/>
  </r>
  <r>
    <n v="1178"/>
    <s v="Arjun"/>
    <x v="0"/>
    <n v="23"/>
    <x v="2"/>
    <s v="Data Analyst"/>
    <x v="1"/>
    <s v="2023-03-31"/>
    <n v="6"/>
    <n v="61702"/>
    <n v="4.7"/>
    <n v="94.7"/>
    <n v="8"/>
    <n v="28"/>
    <n v="1180"/>
    <s v="Kavya"/>
    <x v="0"/>
    <x v="3"/>
    <x v="2"/>
    <x v="2"/>
  </r>
  <r>
    <n v="1179"/>
    <s v="Deepa"/>
    <x v="0"/>
    <n v="39"/>
    <x v="0"/>
    <s v="Sales Executive"/>
    <x v="3"/>
    <s v="2018-06-19"/>
    <n v="1"/>
    <n v="35829"/>
    <n v="3.6"/>
    <n v="88"/>
    <n v="13"/>
    <n v="39"/>
    <n v="13720"/>
    <s v="Amit"/>
    <x v="0"/>
    <x v="0"/>
    <x v="1"/>
    <x v="0"/>
  </r>
  <r>
    <n v="1180"/>
    <s v="Rahul"/>
    <x v="1"/>
    <n v="40"/>
    <x v="1"/>
    <s v="Financial Analyst"/>
    <x v="0"/>
    <s v="2018-07-06"/>
    <n v="5"/>
    <n v="50544"/>
    <n v="3.7"/>
    <n v="91.9"/>
    <n v="14"/>
    <n v="26"/>
    <n v="5274"/>
    <s v="Ramesh"/>
    <x v="0"/>
    <x v="0"/>
    <x v="2"/>
    <x v="1"/>
  </r>
  <r>
    <n v="1181"/>
    <s v="Rahul"/>
    <x v="0"/>
    <n v="28"/>
    <x v="2"/>
    <s v="Senior Developer"/>
    <x v="4"/>
    <s v="2021-10-18"/>
    <n v="6"/>
    <n v="45471"/>
    <n v="3.1"/>
    <n v="87.2"/>
    <n v="8"/>
    <n v="52"/>
    <n v="1547"/>
    <s v="Kavya"/>
    <x v="0"/>
    <x v="0"/>
    <x v="1"/>
    <x v="2"/>
  </r>
  <r>
    <n v="1182"/>
    <s v="Sonia"/>
    <x v="0"/>
    <n v="29"/>
    <x v="4"/>
    <s v="SEO Analyst"/>
    <x v="4"/>
    <s v="2022-12-28"/>
    <n v="9"/>
    <n v="36777"/>
    <n v="2.6"/>
    <n v="93.2"/>
    <n v="12"/>
    <n v="38"/>
    <n v="9921"/>
    <s v="Kavya"/>
    <x v="1"/>
    <x v="1"/>
    <x v="1"/>
    <x v="2"/>
  </r>
  <r>
    <n v="1183"/>
    <s v="Ajay"/>
    <x v="0"/>
    <n v="34"/>
    <x v="0"/>
    <s v="Sales Executive"/>
    <x v="3"/>
    <s v="2023-03-02"/>
    <n v="7"/>
    <n v="67631"/>
    <n v="4.4000000000000004"/>
    <n v="94.6"/>
    <n v="10"/>
    <n v="22"/>
    <n v="8138"/>
    <s v="Suresh"/>
    <x v="1"/>
    <x v="2"/>
    <x v="2"/>
    <x v="2"/>
  </r>
  <r>
    <n v="1184"/>
    <s v="Sai"/>
    <x v="1"/>
    <n v="25"/>
    <x v="1"/>
    <s v="Financial Analyst"/>
    <x v="4"/>
    <s v="2023-03-26"/>
    <n v="1"/>
    <n v="49798"/>
    <n v="4.4000000000000004"/>
    <n v="92.4"/>
    <n v="13"/>
    <n v="37"/>
    <n v="4493"/>
    <s v="Amit"/>
    <x v="0"/>
    <x v="2"/>
    <x v="1"/>
    <x v="0"/>
  </r>
  <r>
    <n v="1185"/>
    <s v="Sai"/>
    <x v="1"/>
    <n v="42"/>
    <x v="0"/>
    <s v="Sales Manager"/>
    <x v="4"/>
    <s v="2019-05-17"/>
    <n v="5"/>
    <n v="92757"/>
    <n v="3.3"/>
    <n v="84.1"/>
    <n v="25"/>
    <n v="32"/>
    <n v="2597"/>
    <s v="Anitha"/>
    <x v="0"/>
    <x v="0"/>
    <x v="0"/>
    <x v="1"/>
  </r>
  <r>
    <n v="1186"/>
    <s v="Arjun"/>
    <x v="0"/>
    <n v="44"/>
    <x v="1"/>
    <s v="Accountant"/>
    <x v="0"/>
    <s v="2022-10-15"/>
    <n v="0"/>
    <n v="47487"/>
    <n v="4.8"/>
    <n v="90.4"/>
    <n v="9"/>
    <n v="30"/>
    <n v="12142"/>
    <s v="Kavya"/>
    <x v="1"/>
    <x v="3"/>
    <x v="1"/>
    <x v="0"/>
  </r>
  <r>
    <n v="1187"/>
    <s v="Meena"/>
    <x v="1"/>
    <n v="40"/>
    <x v="4"/>
    <s v="SEO Analyst"/>
    <x v="4"/>
    <s v="2018-05-27"/>
    <n v="4"/>
    <n v="65574"/>
    <n v="4.5999999999999996"/>
    <n v="88.6"/>
    <n v="11"/>
    <n v="6"/>
    <n v="4998"/>
    <s v="Kavya"/>
    <x v="1"/>
    <x v="3"/>
    <x v="2"/>
    <x v="1"/>
  </r>
  <r>
    <n v="1188"/>
    <s v="Nikhil"/>
    <x v="0"/>
    <n v="39"/>
    <x v="4"/>
    <s v="Marketing Executive"/>
    <x v="1"/>
    <s v="2020-02-25"/>
    <n v="3"/>
    <n v="27930"/>
    <n v="2.9"/>
    <n v="95.9"/>
    <n v="20"/>
    <n v="24"/>
    <n v="5413"/>
    <s v="Ramesh"/>
    <x v="1"/>
    <x v="1"/>
    <x v="1"/>
    <x v="1"/>
  </r>
  <r>
    <n v="1189"/>
    <s v="Anu"/>
    <x v="0"/>
    <n v="45"/>
    <x v="1"/>
    <s v="Accountant"/>
    <x v="4"/>
    <s v="2023-09-08"/>
    <n v="1"/>
    <n v="78732"/>
    <n v="2.9"/>
    <n v="99.5"/>
    <n v="7"/>
    <n v="46"/>
    <n v="12749"/>
    <s v="Suresh"/>
    <x v="0"/>
    <x v="1"/>
    <x v="0"/>
    <x v="0"/>
  </r>
  <r>
    <n v="1190"/>
    <s v="Anu"/>
    <x v="0"/>
    <n v="25"/>
    <x v="4"/>
    <s v="SEO Analyst"/>
    <x v="2"/>
    <s v="2024-12-10"/>
    <n v="10"/>
    <n v="65030"/>
    <n v="2.7"/>
    <n v="89.2"/>
    <n v="10"/>
    <n v="12"/>
    <n v="11406"/>
    <s v="Kavya"/>
    <x v="0"/>
    <x v="1"/>
    <x v="2"/>
    <x v="2"/>
  </r>
  <r>
    <n v="1191"/>
    <s v="Vijay"/>
    <x v="0"/>
    <n v="34"/>
    <x v="4"/>
    <s v="SEO Analyst"/>
    <x v="4"/>
    <s v="2019-05-15"/>
    <n v="10"/>
    <n v="60819"/>
    <n v="4.8"/>
    <n v="92.4"/>
    <n v="6"/>
    <n v="30"/>
    <n v="4629"/>
    <s v="Suresh"/>
    <x v="0"/>
    <x v="3"/>
    <x v="2"/>
    <x v="2"/>
  </r>
  <r>
    <n v="1192"/>
    <s v="Kiran"/>
    <x v="1"/>
    <n v="39"/>
    <x v="2"/>
    <s v="Senior Developer"/>
    <x v="4"/>
    <s v="2018-08-03"/>
    <n v="4"/>
    <n v="84193"/>
    <n v="3.1"/>
    <n v="90.6"/>
    <n v="7"/>
    <n v="30"/>
    <n v="10659"/>
    <s v="Kavya"/>
    <x v="1"/>
    <x v="0"/>
    <x v="0"/>
    <x v="1"/>
  </r>
  <r>
    <n v="1193"/>
    <s v="Keerthi"/>
    <x v="0"/>
    <n v="27"/>
    <x v="4"/>
    <s v="Marketing Executive"/>
    <x v="0"/>
    <s v="2022-02-23"/>
    <n v="1"/>
    <n v="35385"/>
    <n v="3.7"/>
    <n v="88.2"/>
    <n v="2"/>
    <n v="43"/>
    <n v="14262"/>
    <s v="Anitha"/>
    <x v="0"/>
    <x v="0"/>
    <x v="1"/>
    <x v="0"/>
  </r>
  <r>
    <n v="1194"/>
    <s v="Arjun"/>
    <x v="0"/>
    <n v="40"/>
    <x v="1"/>
    <s v="Accountant"/>
    <x v="4"/>
    <s v="2021-06-09"/>
    <n v="7"/>
    <n v="45261"/>
    <n v="2.7"/>
    <n v="97.3"/>
    <n v="8"/>
    <n v="26"/>
    <n v="3286"/>
    <s v="Ramesh"/>
    <x v="0"/>
    <x v="1"/>
    <x v="1"/>
    <x v="2"/>
  </r>
  <r>
    <n v="1195"/>
    <s v="Vijay"/>
    <x v="0"/>
    <n v="39"/>
    <x v="0"/>
    <s v="Sales Manager"/>
    <x v="2"/>
    <s v="2021-10-16"/>
    <n v="6"/>
    <n v="50284"/>
    <n v="2.6"/>
    <n v="94.1"/>
    <n v="9"/>
    <n v="58"/>
    <n v="8547"/>
    <s v="Anitha"/>
    <x v="0"/>
    <x v="1"/>
    <x v="2"/>
    <x v="2"/>
  </r>
  <r>
    <n v="1196"/>
    <s v="Sai"/>
    <x v="1"/>
    <n v="34"/>
    <x v="3"/>
    <s v="HR Manager"/>
    <x v="2"/>
    <s v="2024-05-30"/>
    <n v="1"/>
    <n v="34245"/>
    <n v="4.8"/>
    <n v="87.2"/>
    <n v="9"/>
    <n v="22"/>
    <n v="5876"/>
    <s v="Anitha"/>
    <x v="1"/>
    <x v="3"/>
    <x v="1"/>
    <x v="0"/>
  </r>
  <r>
    <n v="1197"/>
    <s v="Sneha"/>
    <x v="0"/>
    <n v="37"/>
    <x v="4"/>
    <s v="Marketing Executive"/>
    <x v="0"/>
    <s v="2022-03-30"/>
    <n v="1"/>
    <n v="75035"/>
    <n v="2.8"/>
    <n v="84"/>
    <n v="20"/>
    <n v="30"/>
    <n v="1615"/>
    <s v="Amit"/>
    <x v="1"/>
    <x v="1"/>
    <x v="0"/>
    <x v="0"/>
  </r>
  <r>
    <n v="1198"/>
    <s v="Deepa"/>
    <x v="1"/>
    <n v="31"/>
    <x v="3"/>
    <s v="HR Executive"/>
    <x v="1"/>
    <s v="2024-01-24"/>
    <n v="9"/>
    <n v="40357"/>
    <n v="3.9"/>
    <n v="83"/>
    <n v="11"/>
    <n v="54"/>
    <n v="9436"/>
    <s v="Anitha"/>
    <x v="1"/>
    <x v="0"/>
    <x v="1"/>
    <x v="2"/>
  </r>
  <r>
    <n v="1199"/>
    <s v="Varun"/>
    <x v="1"/>
    <n v="38"/>
    <x v="0"/>
    <s v="Sales Manager"/>
    <x v="5"/>
    <s v="2020-10-26"/>
    <n v="4"/>
    <n v="89349"/>
    <n v="2.5"/>
    <n v="83.4"/>
    <n v="16"/>
    <n v="54"/>
    <n v="6242"/>
    <s v="Suresh"/>
    <x v="0"/>
    <x v="1"/>
    <x v="0"/>
    <x v="1"/>
  </r>
  <r>
    <n v="1200"/>
    <s v="Pooja"/>
    <x v="0"/>
    <n v="26"/>
    <x v="2"/>
    <s v="Data Analyst"/>
    <x v="0"/>
    <s v="2022-09-06"/>
    <n v="1"/>
    <n v="26538"/>
    <n v="2.6"/>
    <n v="94.5"/>
    <n v="6"/>
    <n v="31"/>
    <n v="12740"/>
    <s v="Suresh"/>
    <x v="1"/>
    <x v="1"/>
    <x v="1"/>
    <x v="0"/>
  </r>
  <r>
    <n v="1201"/>
    <s v="Priya"/>
    <x v="0"/>
    <n v="44"/>
    <x v="3"/>
    <s v="HR Executive"/>
    <x v="3"/>
    <s v="2023-11-14"/>
    <n v="7"/>
    <n v="56223"/>
    <n v="4.2"/>
    <n v="95.6"/>
    <n v="24"/>
    <n v="38"/>
    <n v="7504"/>
    <s v="Amit"/>
    <x v="1"/>
    <x v="2"/>
    <x v="2"/>
    <x v="2"/>
  </r>
  <r>
    <n v="1202"/>
    <s v="Rahul"/>
    <x v="0"/>
    <n v="38"/>
    <x v="0"/>
    <s v="Sales Manager"/>
    <x v="4"/>
    <s v="2019-11-24"/>
    <n v="8"/>
    <n v="37825"/>
    <n v="2.8"/>
    <n v="88.2"/>
    <n v="4"/>
    <n v="41"/>
    <n v="9807"/>
    <s v="Anitha"/>
    <x v="0"/>
    <x v="1"/>
    <x v="1"/>
    <x v="2"/>
  </r>
  <r>
    <n v="1203"/>
    <s v="Varun"/>
    <x v="1"/>
    <n v="39"/>
    <x v="0"/>
    <s v="Sales Executive"/>
    <x v="1"/>
    <s v="2022-10-28"/>
    <n v="1"/>
    <n v="90949"/>
    <n v="3.2"/>
    <n v="95.8"/>
    <n v="9"/>
    <n v="45"/>
    <n v="12074"/>
    <s v="Suresh"/>
    <x v="0"/>
    <x v="0"/>
    <x v="0"/>
    <x v="0"/>
  </r>
  <r>
    <n v="1204"/>
    <s v="Rahul"/>
    <x v="0"/>
    <n v="26"/>
    <x v="4"/>
    <s v="SEO Analyst"/>
    <x v="1"/>
    <s v="2024-12-25"/>
    <n v="9"/>
    <n v="72721"/>
    <n v="4.2"/>
    <n v="87.3"/>
    <n v="19"/>
    <n v="60"/>
    <n v="10950"/>
    <s v="Suresh"/>
    <x v="0"/>
    <x v="2"/>
    <x v="0"/>
    <x v="2"/>
  </r>
  <r>
    <n v="1205"/>
    <s v="Pooja"/>
    <x v="0"/>
    <n v="42"/>
    <x v="3"/>
    <s v="HR Manager"/>
    <x v="1"/>
    <s v="2021-10-15"/>
    <n v="6"/>
    <n v="63255"/>
    <n v="4.5999999999999996"/>
    <n v="95.8"/>
    <n v="25"/>
    <n v="47"/>
    <n v="10954"/>
    <s v="Amit"/>
    <x v="1"/>
    <x v="3"/>
    <x v="2"/>
    <x v="2"/>
  </r>
  <r>
    <n v="1206"/>
    <s v="Anu"/>
    <x v="0"/>
    <n v="33"/>
    <x v="1"/>
    <s v="Financial Analyst"/>
    <x v="4"/>
    <s v="2024-11-18"/>
    <n v="7"/>
    <n v="47586"/>
    <n v="2.6"/>
    <n v="94.2"/>
    <n v="17"/>
    <n v="53"/>
    <n v="6086"/>
    <s v="Ramesh"/>
    <x v="0"/>
    <x v="1"/>
    <x v="1"/>
    <x v="2"/>
  </r>
  <r>
    <n v="1207"/>
    <s v="Harsha"/>
    <x v="1"/>
    <n v="29"/>
    <x v="2"/>
    <s v="Senior Developer"/>
    <x v="0"/>
    <s v="2019-10-17"/>
    <n v="2"/>
    <n v="38282"/>
    <n v="3.3"/>
    <n v="93.7"/>
    <n v="6"/>
    <n v="28"/>
    <n v="14590"/>
    <s v="Amit"/>
    <x v="0"/>
    <x v="0"/>
    <x v="1"/>
    <x v="0"/>
  </r>
  <r>
    <n v="1208"/>
    <s v="Varun"/>
    <x v="1"/>
    <n v="22"/>
    <x v="0"/>
    <s v="Sales Executive"/>
    <x v="0"/>
    <s v="2018-04-30"/>
    <n v="8"/>
    <n v="74326"/>
    <n v="2.5"/>
    <n v="92.7"/>
    <n v="14"/>
    <n v="51"/>
    <n v="9287"/>
    <s v="Anitha"/>
    <x v="1"/>
    <x v="1"/>
    <x v="0"/>
    <x v="2"/>
  </r>
  <r>
    <n v="1209"/>
    <s v="Manoj"/>
    <x v="1"/>
    <n v="25"/>
    <x v="1"/>
    <s v="Accountant"/>
    <x v="4"/>
    <s v="2024-03-24"/>
    <n v="5"/>
    <n v="69497"/>
    <n v="4.7"/>
    <n v="85.4"/>
    <n v="17"/>
    <n v="28"/>
    <n v="4425"/>
    <s v="Suresh"/>
    <x v="1"/>
    <x v="3"/>
    <x v="2"/>
    <x v="1"/>
  </r>
  <r>
    <n v="1210"/>
    <s v="Ravi"/>
    <x v="1"/>
    <n v="44"/>
    <x v="0"/>
    <s v="Sales Manager"/>
    <x v="3"/>
    <s v="2020-12-29"/>
    <n v="5"/>
    <n v="70445"/>
    <n v="4.5"/>
    <n v="98.7"/>
    <n v="20"/>
    <n v="15"/>
    <n v="3282"/>
    <s v="Anitha"/>
    <x v="0"/>
    <x v="3"/>
    <x v="0"/>
    <x v="1"/>
  </r>
  <r>
    <n v="1211"/>
    <s v="Keerthi"/>
    <x v="1"/>
    <n v="34"/>
    <x v="0"/>
    <s v="Sales Executive"/>
    <x v="2"/>
    <s v="2018-05-03"/>
    <n v="5"/>
    <n v="46133"/>
    <n v="4.0999999999999996"/>
    <n v="98.8"/>
    <n v="16"/>
    <n v="10"/>
    <n v="11430"/>
    <s v="Suresh"/>
    <x v="1"/>
    <x v="2"/>
    <x v="1"/>
    <x v="1"/>
  </r>
  <r>
    <n v="1212"/>
    <s v="Divya"/>
    <x v="0"/>
    <n v="44"/>
    <x v="2"/>
    <s v="Software Engineer"/>
    <x v="1"/>
    <s v="2019-03-19"/>
    <n v="8"/>
    <n v="90465"/>
    <n v="2.9"/>
    <n v="90.5"/>
    <n v="10"/>
    <n v="10"/>
    <n v="7361"/>
    <s v="Amit"/>
    <x v="1"/>
    <x v="1"/>
    <x v="0"/>
    <x v="2"/>
  </r>
  <r>
    <n v="1213"/>
    <s v="Ajay"/>
    <x v="0"/>
    <n v="36"/>
    <x v="2"/>
    <s v="Senior Developer"/>
    <x v="2"/>
    <s v="2023-03-02"/>
    <n v="10"/>
    <n v="50482"/>
    <n v="3.4"/>
    <n v="90.4"/>
    <n v="11"/>
    <n v="33"/>
    <n v="11950"/>
    <s v="Kavya"/>
    <x v="0"/>
    <x v="0"/>
    <x v="2"/>
    <x v="2"/>
  </r>
  <r>
    <n v="1214"/>
    <s v="Keerthi"/>
    <x v="0"/>
    <n v="36"/>
    <x v="0"/>
    <s v="Sales Manager"/>
    <x v="4"/>
    <s v="2024-08-17"/>
    <n v="4"/>
    <n v="49462"/>
    <n v="3.3"/>
    <n v="99.8"/>
    <n v="12"/>
    <n v="35"/>
    <n v="2955"/>
    <s v="Kavya"/>
    <x v="0"/>
    <x v="0"/>
    <x v="1"/>
    <x v="1"/>
  </r>
  <r>
    <n v="1215"/>
    <s v="Nikhil"/>
    <x v="1"/>
    <n v="29"/>
    <x v="1"/>
    <s v="Accountant"/>
    <x v="2"/>
    <s v="2021-04-05"/>
    <n v="6"/>
    <n v="34681"/>
    <n v="3.2"/>
    <n v="89.3"/>
    <n v="7"/>
    <n v="18"/>
    <n v="13130"/>
    <s v="Suresh"/>
    <x v="0"/>
    <x v="0"/>
    <x v="1"/>
    <x v="2"/>
  </r>
  <r>
    <n v="1216"/>
    <s v="Divya"/>
    <x v="1"/>
    <n v="24"/>
    <x v="0"/>
    <s v="Sales Manager"/>
    <x v="2"/>
    <s v="2024-07-29"/>
    <n v="7"/>
    <n v="32769"/>
    <n v="4.0999999999999996"/>
    <n v="82.6"/>
    <n v="19"/>
    <n v="46"/>
    <n v="11378"/>
    <s v="Ramesh"/>
    <x v="1"/>
    <x v="2"/>
    <x v="1"/>
    <x v="2"/>
  </r>
  <r>
    <n v="1217"/>
    <s v="Meena"/>
    <x v="0"/>
    <n v="32"/>
    <x v="1"/>
    <s v="Accountant"/>
    <x v="3"/>
    <s v="2019-09-28"/>
    <n v="3"/>
    <n v="93314"/>
    <n v="5"/>
    <n v="98.9"/>
    <n v="8"/>
    <n v="43"/>
    <n v="13418"/>
    <s v="Suresh"/>
    <x v="0"/>
    <x v="3"/>
    <x v="0"/>
    <x v="1"/>
  </r>
  <r>
    <n v="1218"/>
    <s v="Ravi"/>
    <x v="0"/>
    <n v="34"/>
    <x v="3"/>
    <s v="HR Manager"/>
    <x v="0"/>
    <s v="2023-02-16"/>
    <n v="3"/>
    <n v="84334"/>
    <n v="2.8"/>
    <n v="92.2"/>
    <n v="19"/>
    <n v="56"/>
    <n v="6089"/>
    <s v="Suresh"/>
    <x v="1"/>
    <x v="1"/>
    <x v="0"/>
    <x v="1"/>
  </r>
  <r>
    <n v="1219"/>
    <s v="Anu"/>
    <x v="1"/>
    <n v="24"/>
    <x v="2"/>
    <s v="Senior Developer"/>
    <x v="0"/>
    <s v="2022-02-15"/>
    <n v="8"/>
    <n v="81819"/>
    <n v="3.3"/>
    <n v="96"/>
    <n v="19"/>
    <n v="38"/>
    <n v="3922"/>
    <s v="Amit"/>
    <x v="1"/>
    <x v="0"/>
    <x v="0"/>
    <x v="2"/>
  </r>
  <r>
    <n v="1220"/>
    <s v="Deepa"/>
    <x v="0"/>
    <n v="23"/>
    <x v="1"/>
    <s v="Financial Analyst"/>
    <x v="2"/>
    <s v="2019-05-12"/>
    <n v="8"/>
    <n v="64238"/>
    <n v="3.1"/>
    <n v="82.9"/>
    <n v="11"/>
    <n v="54"/>
    <n v="6385"/>
    <s v="Anitha"/>
    <x v="0"/>
    <x v="0"/>
    <x v="2"/>
    <x v="2"/>
  </r>
  <r>
    <n v="1221"/>
    <s v="Harsha"/>
    <x v="1"/>
    <n v="30"/>
    <x v="3"/>
    <s v="HR Executive"/>
    <x v="0"/>
    <s v="2021-05-21"/>
    <n v="3"/>
    <n v="40681"/>
    <n v="4.2"/>
    <n v="97.8"/>
    <n v="22"/>
    <n v="8"/>
    <n v="14160"/>
    <s v="Anitha"/>
    <x v="1"/>
    <x v="2"/>
    <x v="1"/>
    <x v="1"/>
  </r>
  <r>
    <n v="1222"/>
    <s v="Divya"/>
    <x v="0"/>
    <n v="26"/>
    <x v="4"/>
    <s v="SEO Analyst"/>
    <x v="4"/>
    <s v="2020-03-30"/>
    <n v="9"/>
    <n v="77654"/>
    <n v="3.7"/>
    <n v="93"/>
    <n v="21"/>
    <n v="23"/>
    <n v="4572"/>
    <s v="Anitha"/>
    <x v="1"/>
    <x v="0"/>
    <x v="0"/>
    <x v="2"/>
  </r>
  <r>
    <n v="1223"/>
    <s v="Ajay"/>
    <x v="0"/>
    <n v="37"/>
    <x v="2"/>
    <s v="Software Engineer"/>
    <x v="4"/>
    <s v="2020-10-20"/>
    <n v="7"/>
    <n v="52976"/>
    <n v="3.6"/>
    <n v="83.6"/>
    <n v="24"/>
    <n v="8"/>
    <n v="3702"/>
    <s v="Anitha"/>
    <x v="1"/>
    <x v="0"/>
    <x v="2"/>
    <x v="2"/>
  </r>
  <r>
    <n v="1224"/>
    <s v="Varun"/>
    <x v="1"/>
    <n v="43"/>
    <x v="0"/>
    <s v="Sales Executive"/>
    <x v="1"/>
    <s v="2018-10-21"/>
    <n v="9"/>
    <n v="71178"/>
    <n v="4.5"/>
    <n v="84"/>
    <n v="14"/>
    <n v="11"/>
    <n v="4971"/>
    <s v="Suresh"/>
    <x v="1"/>
    <x v="3"/>
    <x v="0"/>
    <x v="2"/>
  </r>
  <r>
    <n v="1225"/>
    <s v="Divya"/>
    <x v="0"/>
    <n v="41"/>
    <x v="3"/>
    <s v="HR Executive"/>
    <x v="0"/>
    <s v="2022-08-02"/>
    <n v="10"/>
    <n v="79440"/>
    <n v="4.8"/>
    <n v="85.7"/>
    <n v="25"/>
    <n v="51"/>
    <n v="4136"/>
    <s v="Anitha"/>
    <x v="0"/>
    <x v="3"/>
    <x v="0"/>
    <x v="2"/>
  </r>
  <r>
    <n v="1226"/>
    <s v="Vijay"/>
    <x v="0"/>
    <n v="29"/>
    <x v="1"/>
    <s v="Financial Analyst"/>
    <x v="2"/>
    <s v="2019-04-12"/>
    <n v="10"/>
    <n v="73047"/>
    <n v="2.8"/>
    <n v="94.7"/>
    <n v="17"/>
    <n v="11"/>
    <n v="1549"/>
    <s v="Amit"/>
    <x v="0"/>
    <x v="1"/>
    <x v="0"/>
    <x v="2"/>
  </r>
  <r>
    <n v="1227"/>
    <s v="Meena"/>
    <x v="0"/>
    <n v="29"/>
    <x v="0"/>
    <s v="Sales Manager"/>
    <x v="2"/>
    <s v="2022-11-28"/>
    <n v="7"/>
    <n v="76563"/>
    <n v="4.9000000000000004"/>
    <n v="85.1"/>
    <n v="7"/>
    <n v="58"/>
    <n v="13949"/>
    <s v="Anitha"/>
    <x v="0"/>
    <x v="3"/>
    <x v="0"/>
    <x v="2"/>
  </r>
  <r>
    <n v="1228"/>
    <s v="Manoj"/>
    <x v="0"/>
    <n v="42"/>
    <x v="3"/>
    <s v="HR Manager"/>
    <x v="2"/>
    <s v="2023-07-14"/>
    <n v="4"/>
    <n v="62053"/>
    <n v="2.8"/>
    <n v="99.9"/>
    <n v="6"/>
    <n v="54"/>
    <n v="5690"/>
    <s v="Kavya"/>
    <x v="1"/>
    <x v="1"/>
    <x v="2"/>
    <x v="1"/>
  </r>
  <r>
    <n v="1229"/>
    <s v="Vijay"/>
    <x v="0"/>
    <n v="29"/>
    <x v="3"/>
    <s v="HR Executive"/>
    <x v="4"/>
    <s v="2018-03-02"/>
    <n v="4"/>
    <n v="60661"/>
    <n v="2.7"/>
    <n v="95.9"/>
    <n v="2"/>
    <n v="42"/>
    <n v="5004"/>
    <s v="Ramesh"/>
    <x v="0"/>
    <x v="1"/>
    <x v="2"/>
    <x v="1"/>
  </r>
  <r>
    <n v="1230"/>
    <s v="Sneha"/>
    <x v="1"/>
    <n v="43"/>
    <x v="1"/>
    <s v="Accountant"/>
    <x v="4"/>
    <s v="2022-06-23"/>
    <n v="6"/>
    <n v="86962"/>
    <n v="4.4000000000000004"/>
    <n v="99.8"/>
    <n v="10"/>
    <n v="47"/>
    <n v="2306"/>
    <s v="Kavya"/>
    <x v="1"/>
    <x v="2"/>
    <x v="0"/>
    <x v="2"/>
  </r>
  <r>
    <n v="1231"/>
    <s v="Harsha"/>
    <x v="1"/>
    <n v="35"/>
    <x v="0"/>
    <s v="Sales Executive"/>
    <x v="4"/>
    <s v="2023-07-07"/>
    <n v="5"/>
    <n v="40662"/>
    <n v="4"/>
    <n v="82.6"/>
    <n v="23"/>
    <n v="6"/>
    <n v="9938"/>
    <s v="Amit"/>
    <x v="1"/>
    <x v="2"/>
    <x v="1"/>
    <x v="1"/>
  </r>
  <r>
    <n v="1232"/>
    <s v="Varun"/>
    <x v="1"/>
    <n v="22"/>
    <x v="0"/>
    <s v="Sales Manager"/>
    <x v="2"/>
    <s v="2021-12-25"/>
    <n v="7"/>
    <n v="60472"/>
    <n v="2.8"/>
    <n v="93.6"/>
    <n v="16"/>
    <n v="8"/>
    <n v="1837"/>
    <s v="Kavya"/>
    <x v="1"/>
    <x v="1"/>
    <x v="2"/>
    <x v="2"/>
  </r>
  <r>
    <n v="1233"/>
    <s v="Kiran"/>
    <x v="1"/>
    <n v="33"/>
    <x v="2"/>
    <s v="Software Engineer"/>
    <x v="0"/>
    <s v="2021-03-29"/>
    <n v="7"/>
    <n v="38301"/>
    <n v="4.5999999999999996"/>
    <n v="82.8"/>
    <n v="4"/>
    <n v="7"/>
    <n v="6047"/>
    <s v="Suresh"/>
    <x v="0"/>
    <x v="3"/>
    <x v="1"/>
    <x v="2"/>
  </r>
  <r>
    <n v="1234"/>
    <s v="Sneha"/>
    <x v="0"/>
    <n v="42"/>
    <x v="0"/>
    <s v="Sales Manager"/>
    <x v="2"/>
    <s v="2021-03-28"/>
    <n v="2"/>
    <n v="78348"/>
    <n v="3.8"/>
    <n v="94.5"/>
    <n v="9"/>
    <n v="37"/>
    <n v="10366"/>
    <s v="Kavya"/>
    <x v="0"/>
    <x v="0"/>
    <x v="0"/>
    <x v="0"/>
  </r>
  <r>
    <n v="1235"/>
    <s v="Deepa"/>
    <x v="0"/>
    <n v="22"/>
    <x v="1"/>
    <s v="Accountant"/>
    <x v="3"/>
    <s v="2020-12-05"/>
    <n v="1"/>
    <n v="46250"/>
    <n v="2.7"/>
    <n v="83"/>
    <n v="23"/>
    <n v="37"/>
    <n v="10854"/>
    <s v="Suresh"/>
    <x v="1"/>
    <x v="1"/>
    <x v="1"/>
    <x v="0"/>
  </r>
  <r>
    <n v="1236"/>
    <s v="Keerthi"/>
    <x v="0"/>
    <n v="26"/>
    <x v="0"/>
    <s v="Sales Executive"/>
    <x v="3"/>
    <s v="2023-03-05"/>
    <n v="7"/>
    <n v="29536"/>
    <n v="4.3"/>
    <n v="94.6"/>
    <n v="17"/>
    <n v="60"/>
    <n v="1595"/>
    <s v="Suresh"/>
    <x v="1"/>
    <x v="2"/>
    <x v="1"/>
    <x v="2"/>
  </r>
  <r>
    <n v="1237"/>
    <s v="Divya"/>
    <x v="1"/>
    <n v="39"/>
    <x v="2"/>
    <s v="Data Analyst"/>
    <x v="1"/>
    <s v="2023-04-02"/>
    <n v="8"/>
    <n v="37763"/>
    <n v="2.6"/>
    <n v="84.6"/>
    <n v="6"/>
    <n v="48"/>
    <n v="11110"/>
    <s v="Kavya"/>
    <x v="1"/>
    <x v="1"/>
    <x v="1"/>
    <x v="2"/>
  </r>
  <r>
    <n v="1238"/>
    <s v="Varun"/>
    <x v="1"/>
    <n v="25"/>
    <x v="4"/>
    <s v="Marketing Executive"/>
    <x v="2"/>
    <s v="2022-01-23"/>
    <n v="0"/>
    <n v="26721"/>
    <n v="2.5"/>
    <n v="83.3"/>
    <n v="0"/>
    <n v="20"/>
    <n v="7609"/>
    <s v="Anitha"/>
    <x v="1"/>
    <x v="1"/>
    <x v="1"/>
    <x v="0"/>
  </r>
  <r>
    <n v="1239"/>
    <s v="Keerthi"/>
    <x v="1"/>
    <n v="31"/>
    <x v="2"/>
    <s v="Software Engineer"/>
    <x v="4"/>
    <s v="2021-04-13"/>
    <n v="0"/>
    <n v="83215"/>
    <n v="3.5"/>
    <n v="90.1"/>
    <n v="16"/>
    <n v="42"/>
    <n v="13939"/>
    <s v="Ramesh"/>
    <x v="0"/>
    <x v="0"/>
    <x v="0"/>
    <x v="0"/>
  </r>
  <r>
    <n v="1240"/>
    <s v="Pooja"/>
    <x v="1"/>
    <n v="36"/>
    <x v="4"/>
    <s v="SEO Analyst"/>
    <x v="2"/>
    <s v="2022-06-10"/>
    <n v="2"/>
    <n v="55454"/>
    <n v="4"/>
    <n v="85.2"/>
    <n v="11"/>
    <n v="47"/>
    <n v="7132"/>
    <s v="Kavya"/>
    <x v="1"/>
    <x v="2"/>
    <x v="2"/>
    <x v="0"/>
  </r>
  <r>
    <n v="1241"/>
    <s v="Varun"/>
    <x v="0"/>
    <n v="31"/>
    <x v="1"/>
    <s v="Financial Analyst"/>
    <x v="1"/>
    <s v="2020-10-24"/>
    <n v="0"/>
    <n v="86775"/>
    <n v="3.2"/>
    <n v="90.3"/>
    <n v="24"/>
    <n v="30"/>
    <n v="8685"/>
    <s v="Suresh"/>
    <x v="1"/>
    <x v="0"/>
    <x v="0"/>
    <x v="0"/>
  </r>
  <r>
    <n v="1242"/>
    <s v="Ajay"/>
    <x v="0"/>
    <n v="44"/>
    <x v="3"/>
    <s v="HR Manager"/>
    <x v="3"/>
    <s v="2018-11-15"/>
    <n v="10"/>
    <n v="93928"/>
    <n v="4.4000000000000004"/>
    <n v="85.7"/>
    <n v="22"/>
    <n v="37"/>
    <n v="14155"/>
    <s v="Ramesh"/>
    <x v="1"/>
    <x v="2"/>
    <x v="0"/>
    <x v="2"/>
  </r>
  <r>
    <n v="1243"/>
    <s v="Vijay"/>
    <x v="1"/>
    <n v="34"/>
    <x v="4"/>
    <s v="Marketing Executive"/>
    <x v="0"/>
    <s v="2021-08-24"/>
    <n v="3"/>
    <n v="62534"/>
    <n v="4.2"/>
    <n v="89.7"/>
    <n v="19"/>
    <n v="27"/>
    <n v="2102"/>
    <s v="Ramesh"/>
    <x v="0"/>
    <x v="2"/>
    <x v="2"/>
    <x v="1"/>
  </r>
  <r>
    <n v="1244"/>
    <s v="Sonia"/>
    <x v="0"/>
    <n v="25"/>
    <x v="2"/>
    <s v="Data Analyst"/>
    <x v="1"/>
    <s v="2025-03-31"/>
    <n v="10"/>
    <n v="31574"/>
    <n v="4.3"/>
    <n v="93.2"/>
    <n v="5"/>
    <n v="29"/>
    <n v="4238"/>
    <s v="Kavya"/>
    <x v="0"/>
    <x v="2"/>
    <x v="1"/>
    <x v="2"/>
  </r>
  <r>
    <n v="1245"/>
    <s v="Ajay"/>
    <x v="1"/>
    <n v="33"/>
    <x v="1"/>
    <s v="Financial Analyst"/>
    <x v="1"/>
    <s v="2021-02-28"/>
    <n v="0"/>
    <n v="31525"/>
    <n v="3.1"/>
    <n v="96"/>
    <n v="21"/>
    <n v="45"/>
    <n v="3040"/>
    <s v="Amit"/>
    <x v="1"/>
    <x v="0"/>
    <x v="1"/>
    <x v="0"/>
  </r>
  <r>
    <n v="1246"/>
    <s v="Pooja"/>
    <x v="1"/>
    <n v="44"/>
    <x v="3"/>
    <s v="HR Executive"/>
    <x v="4"/>
    <s v="2025-03-28"/>
    <n v="10"/>
    <n v="87188"/>
    <n v="3.8"/>
    <n v="83"/>
    <n v="17"/>
    <n v="24"/>
    <n v="12992"/>
    <s v="Anitha"/>
    <x v="0"/>
    <x v="0"/>
    <x v="0"/>
    <x v="2"/>
  </r>
  <r>
    <n v="1247"/>
    <s v="Anu"/>
    <x v="1"/>
    <n v="36"/>
    <x v="0"/>
    <s v="Sales Manager"/>
    <x v="4"/>
    <s v="2019-05-27"/>
    <n v="3"/>
    <n v="37483"/>
    <n v="4.2"/>
    <n v="86.5"/>
    <n v="10"/>
    <n v="31"/>
    <n v="1299"/>
    <s v="Amit"/>
    <x v="1"/>
    <x v="2"/>
    <x v="1"/>
    <x v="1"/>
  </r>
  <r>
    <n v="1248"/>
    <s v="Anu"/>
    <x v="0"/>
    <n v="30"/>
    <x v="1"/>
    <s v="Financial Analyst"/>
    <x v="1"/>
    <s v="2023-12-13"/>
    <n v="5"/>
    <n v="41374"/>
    <n v="3.7"/>
    <n v="96.3"/>
    <n v="19"/>
    <n v="59"/>
    <n v="7434"/>
    <s v="Anitha"/>
    <x v="0"/>
    <x v="0"/>
    <x v="1"/>
    <x v="1"/>
  </r>
  <r>
    <n v="1249"/>
    <s v="Sai"/>
    <x v="1"/>
    <n v="28"/>
    <x v="4"/>
    <s v="SEO Analyst"/>
    <x v="1"/>
    <s v="2023-08-06"/>
    <n v="7"/>
    <n v="37590"/>
    <n v="2.8"/>
    <n v="91.8"/>
    <n v="22"/>
    <n v="11"/>
    <n v="7286"/>
    <s v="Anitha"/>
    <x v="1"/>
    <x v="1"/>
    <x v="1"/>
    <x v="2"/>
  </r>
  <r>
    <n v="1250"/>
    <s v="Ravi"/>
    <x v="1"/>
    <n v="45"/>
    <x v="1"/>
    <s v="Financial Analyst"/>
    <x v="4"/>
    <s v="2024-09-30"/>
    <n v="4"/>
    <n v="38934"/>
    <n v="3.5"/>
    <n v="88.4"/>
    <n v="14"/>
    <n v="38"/>
    <n v="2157"/>
    <s v="Amit"/>
    <x v="0"/>
    <x v="0"/>
    <x v="1"/>
    <x v="1"/>
  </r>
  <r>
    <n v="1251"/>
    <s v="Kiran"/>
    <x v="0"/>
    <n v="42"/>
    <x v="2"/>
    <s v="Software Engineer"/>
    <x v="0"/>
    <s v="2020-07-19"/>
    <n v="5"/>
    <n v="65689"/>
    <n v="4.0999999999999996"/>
    <n v="84.7"/>
    <n v="18"/>
    <n v="15"/>
    <n v="7993"/>
    <s v="Ramesh"/>
    <x v="1"/>
    <x v="2"/>
    <x v="2"/>
    <x v="1"/>
  </r>
  <r>
    <n v="1252"/>
    <s v="Vijay"/>
    <x v="0"/>
    <n v="32"/>
    <x v="3"/>
    <s v="HR Manager"/>
    <x v="4"/>
    <s v="2025-04-27"/>
    <n v="5"/>
    <n v="31804"/>
    <n v="4.3"/>
    <n v="85.5"/>
    <n v="21"/>
    <n v="43"/>
    <n v="4633"/>
    <s v="Kavya"/>
    <x v="1"/>
    <x v="2"/>
    <x v="1"/>
    <x v="1"/>
  </r>
  <r>
    <n v="1253"/>
    <s v="Pooja"/>
    <x v="1"/>
    <n v="31"/>
    <x v="3"/>
    <s v="HR Executive"/>
    <x v="4"/>
    <s v="2023-10-14"/>
    <n v="7"/>
    <n v="62337"/>
    <n v="4"/>
    <n v="95"/>
    <n v="10"/>
    <n v="36"/>
    <n v="4994"/>
    <s v="Kavya"/>
    <x v="0"/>
    <x v="2"/>
    <x v="2"/>
    <x v="2"/>
  </r>
  <r>
    <n v="1254"/>
    <s v="Harsha"/>
    <x v="0"/>
    <n v="23"/>
    <x v="1"/>
    <s v="Accountant"/>
    <x v="4"/>
    <s v="2018-10-22"/>
    <n v="4"/>
    <n v="27009"/>
    <n v="3.3"/>
    <n v="95.1"/>
    <n v="2"/>
    <n v="14"/>
    <n v="11858"/>
    <s v="Amit"/>
    <x v="0"/>
    <x v="0"/>
    <x v="1"/>
    <x v="1"/>
  </r>
  <r>
    <n v="1255"/>
    <s v="Varun"/>
    <x v="0"/>
    <n v="23"/>
    <x v="0"/>
    <s v="Sales Manager"/>
    <x v="2"/>
    <s v="2022-04-24"/>
    <n v="6"/>
    <n v="80867"/>
    <n v="2.9"/>
    <n v="91.9"/>
    <n v="8"/>
    <n v="11"/>
    <n v="10105"/>
    <s v="Anitha"/>
    <x v="1"/>
    <x v="1"/>
    <x v="0"/>
    <x v="2"/>
  </r>
  <r>
    <n v="1256"/>
    <s v="Meena"/>
    <x v="1"/>
    <n v="37"/>
    <x v="1"/>
    <s v="Financial Analyst"/>
    <x v="2"/>
    <s v="2018-09-01"/>
    <n v="2"/>
    <n v="37424"/>
    <n v="2.6"/>
    <n v="90.7"/>
    <n v="20"/>
    <n v="56"/>
    <n v="6805"/>
    <s v="Ramesh"/>
    <x v="0"/>
    <x v="1"/>
    <x v="1"/>
    <x v="0"/>
  </r>
  <r>
    <n v="1257"/>
    <s v="Ajay"/>
    <x v="1"/>
    <n v="34"/>
    <x v="4"/>
    <s v="Marketing Executive"/>
    <x v="4"/>
    <s v="2019-05-08"/>
    <n v="9"/>
    <n v="26388"/>
    <n v="3.5"/>
    <n v="96.1"/>
    <n v="20"/>
    <n v="11"/>
    <n v="6472"/>
    <s v="Amit"/>
    <x v="0"/>
    <x v="0"/>
    <x v="1"/>
    <x v="2"/>
  </r>
  <r>
    <n v="1258"/>
    <s v="Deepa"/>
    <x v="0"/>
    <n v="44"/>
    <x v="4"/>
    <s v="Marketing Executive"/>
    <x v="0"/>
    <s v="2022-08-21"/>
    <n v="4"/>
    <n v="80016"/>
    <n v="4.5999999999999996"/>
    <n v="95.1"/>
    <n v="7"/>
    <n v="44"/>
    <n v="10904"/>
    <s v="Ramesh"/>
    <x v="0"/>
    <x v="3"/>
    <x v="0"/>
    <x v="1"/>
  </r>
  <r>
    <n v="1259"/>
    <s v="Ajay"/>
    <x v="1"/>
    <n v="24"/>
    <x v="4"/>
    <s v="Marketing Executive"/>
    <x v="1"/>
    <s v="2022-12-03"/>
    <n v="2"/>
    <n v="47038"/>
    <n v="3.9"/>
    <n v="90.1"/>
    <n v="9"/>
    <n v="10"/>
    <n v="10756"/>
    <s v="Ramesh"/>
    <x v="0"/>
    <x v="0"/>
    <x v="1"/>
    <x v="0"/>
  </r>
  <r>
    <n v="1260"/>
    <s v="Divya"/>
    <x v="0"/>
    <n v="23"/>
    <x v="2"/>
    <s v="Software Engineer"/>
    <x v="3"/>
    <s v="2022-03-03"/>
    <n v="3"/>
    <n v="51415"/>
    <n v="3.5"/>
    <n v="82.7"/>
    <n v="4"/>
    <n v="50"/>
    <n v="14876"/>
    <s v="Kavya"/>
    <x v="1"/>
    <x v="0"/>
    <x v="2"/>
    <x v="1"/>
  </r>
  <r>
    <n v="1261"/>
    <s v="Meena"/>
    <x v="0"/>
    <n v="25"/>
    <x v="4"/>
    <s v="Marketing Executive"/>
    <x v="3"/>
    <s v="2021-10-22"/>
    <n v="5"/>
    <n v="94300"/>
    <n v="2.5"/>
    <n v="89.4"/>
    <n v="10"/>
    <n v="26"/>
    <n v="8436"/>
    <s v="Suresh"/>
    <x v="1"/>
    <x v="1"/>
    <x v="0"/>
    <x v="1"/>
  </r>
  <r>
    <n v="1262"/>
    <s v="Sonia"/>
    <x v="1"/>
    <n v="45"/>
    <x v="2"/>
    <s v="Software Engineer"/>
    <x v="4"/>
    <s v="2019-09-01"/>
    <n v="5"/>
    <n v="94469"/>
    <n v="4.9000000000000004"/>
    <n v="85.3"/>
    <n v="4"/>
    <n v="23"/>
    <n v="1112"/>
    <s v="Kavya"/>
    <x v="1"/>
    <x v="3"/>
    <x v="0"/>
    <x v="1"/>
  </r>
  <r>
    <n v="1263"/>
    <s v="Priya"/>
    <x v="0"/>
    <n v="28"/>
    <x v="0"/>
    <s v="Sales Executive"/>
    <x v="4"/>
    <s v="2024-03-27"/>
    <n v="6"/>
    <n v="29348"/>
    <n v="4.0999999999999996"/>
    <n v="86"/>
    <n v="5"/>
    <n v="6"/>
    <n v="14541"/>
    <s v="Suresh"/>
    <x v="0"/>
    <x v="2"/>
    <x v="1"/>
    <x v="2"/>
  </r>
  <r>
    <n v="1264"/>
    <s v="Ravi"/>
    <x v="0"/>
    <n v="25"/>
    <x v="3"/>
    <s v="HR Manager"/>
    <x v="0"/>
    <s v="2019-07-20"/>
    <n v="4"/>
    <n v="57961"/>
    <n v="3.3"/>
    <n v="90.3"/>
    <n v="3"/>
    <n v="17"/>
    <n v="11284"/>
    <s v="Anitha"/>
    <x v="0"/>
    <x v="0"/>
    <x v="2"/>
    <x v="1"/>
  </r>
  <r>
    <n v="1265"/>
    <s v="Sneha"/>
    <x v="1"/>
    <n v="26"/>
    <x v="4"/>
    <s v="Marketing Executive"/>
    <x v="4"/>
    <s v="2022-02-04"/>
    <n v="2"/>
    <n v="52863"/>
    <n v="3.5"/>
    <n v="87.4"/>
    <n v="6"/>
    <n v="9"/>
    <n v="6821"/>
    <s v="Anitha"/>
    <x v="0"/>
    <x v="0"/>
    <x v="2"/>
    <x v="0"/>
  </r>
  <r>
    <n v="1266"/>
    <s v="Rahul"/>
    <x v="1"/>
    <n v="28"/>
    <x v="4"/>
    <s v="Marketing Executive"/>
    <x v="0"/>
    <s v="2022-02-17"/>
    <n v="1"/>
    <n v="93931"/>
    <n v="4"/>
    <n v="97.4"/>
    <n v="13"/>
    <n v="24"/>
    <n v="6010"/>
    <s v="Amit"/>
    <x v="1"/>
    <x v="2"/>
    <x v="0"/>
    <x v="0"/>
  </r>
  <r>
    <n v="1267"/>
    <s v="Rahul"/>
    <x v="0"/>
    <n v="41"/>
    <x v="2"/>
    <s v="Data Analyst"/>
    <x v="3"/>
    <s v="2021-04-30"/>
    <n v="2"/>
    <n v="90731"/>
    <n v="3.8"/>
    <n v="98.6"/>
    <n v="25"/>
    <n v="40"/>
    <n v="6263"/>
    <s v="Anitha"/>
    <x v="1"/>
    <x v="0"/>
    <x v="0"/>
    <x v="0"/>
  </r>
  <r>
    <n v="1268"/>
    <s v="Rahul"/>
    <x v="1"/>
    <n v="27"/>
    <x v="2"/>
    <s v="Software Engineer"/>
    <x v="1"/>
    <s v="2022-11-16"/>
    <n v="8"/>
    <n v="25589"/>
    <n v="4.2"/>
    <n v="90.7"/>
    <n v="12"/>
    <n v="28"/>
    <n v="4256"/>
    <s v="Ramesh"/>
    <x v="1"/>
    <x v="2"/>
    <x v="1"/>
    <x v="2"/>
  </r>
  <r>
    <n v="1269"/>
    <s v="Varun"/>
    <x v="1"/>
    <n v="31"/>
    <x v="0"/>
    <s v="Sales Executive"/>
    <x v="4"/>
    <s v="2024-05-06"/>
    <n v="3"/>
    <n v="45439"/>
    <n v="4.7"/>
    <n v="92.7"/>
    <n v="6"/>
    <n v="47"/>
    <n v="11340"/>
    <s v="Amit"/>
    <x v="0"/>
    <x v="3"/>
    <x v="1"/>
    <x v="1"/>
  </r>
  <r>
    <n v="1270"/>
    <s v="Rahul"/>
    <x v="0"/>
    <n v="31"/>
    <x v="1"/>
    <s v="Accountant"/>
    <x v="0"/>
    <s v="2020-02-25"/>
    <n v="6"/>
    <n v="30899"/>
    <n v="4"/>
    <n v="98.1"/>
    <n v="1"/>
    <n v="52"/>
    <n v="14594"/>
    <s v="Anitha"/>
    <x v="1"/>
    <x v="2"/>
    <x v="1"/>
    <x v="2"/>
  </r>
  <r>
    <n v="1271"/>
    <s v="Deepa"/>
    <x v="0"/>
    <n v="30"/>
    <x v="3"/>
    <s v="HR Manager"/>
    <x v="1"/>
    <s v="2021-04-29"/>
    <n v="3"/>
    <n v="58157"/>
    <n v="4.2"/>
    <n v="96.4"/>
    <n v="9"/>
    <n v="7"/>
    <n v="9069"/>
    <s v="Anitha"/>
    <x v="0"/>
    <x v="2"/>
    <x v="2"/>
    <x v="1"/>
  </r>
  <r>
    <n v="1272"/>
    <s v="Sai"/>
    <x v="1"/>
    <n v="28"/>
    <x v="1"/>
    <s v="Financial Analyst"/>
    <x v="0"/>
    <s v="2023-12-12"/>
    <n v="5"/>
    <n v="51875"/>
    <n v="2.7"/>
    <n v="92.3"/>
    <n v="19"/>
    <n v="27"/>
    <n v="11185"/>
    <s v="Amit"/>
    <x v="1"/>
    <x v="1"/>
    <x v="2"/>
    <x v="1"/>
  </r>
  <r>
    <n v="1273"/>
    <s v="Divya"/>
    <x v="1"/>
    <n v="29"/>
    <x v="0"/>
    <s v="Sales Executive"/>
    <x v="0"/>
    <s v="2025-04-18"/>
    <n v="6"/>
    <n v="94973"/>
    <n v="4.5"/>
    <n v="89.6"/>
    <n v="8"/>
    <n v="57"/>
    <n v="12870"/>
    <s v="Anitha"/>
    <x v="0"/>
    <x v="3"/>
    <x v="0"/>
    <x v="2"/>
  </r>
  <r>
    <n v="1274"/>
    <s v="Rahul"/>
    <x v="1"/>
    <n v="28"/>
    <x v="0"/>
    <s v="Sales Manager"/>
    <x v="1"/>
    <s v="2018-04-12"/>
    <n v="6"/>
    <n v="92433"/>
    <n v="3.6"/>
    <n v="89.1"/>
    <n v="25"/>
    <n v="5"/>
    <n v="5508"/>
    <s v="Amit"/>
    <x v="0"/>
    <x v="0"/>
    <x v="0"/>
    <x v="2"/>
  </r>
  <r>
    <n v="1275"/>
    <s v="Keerthi"/>
    <x v="0"/>
    <n v="26"/>
    <x v="2"/>
    <s v="Senior Developer"/>
    <x v="4"/>
    <s v="2024-05-24"/>
    <n v="7"/>
    <n v="80191"/>
    <n v="4.7"/>
    <n v="98.6"/>
    <n v="2"/>
    <n v="7"/>
    <n v="5937"/>
    <s v="Suresh"/>
    <x v="1"/>
    <x v="3"/>
    <x v="0"/>
    <x v="2"/>
  </r>
  <r>
    <n v="1276"/>
    <s v="Arjun"/>
    <x v="0"/>
    <n v="41"/>
    <x v="0"/>
    <s v="Sales Executive"/>
    <x v="0"/>
    <s v="2020-03-28"/>
    <n v="9"/>
    <n v="73377"/>
    <n v="2.9"/>
    <n v="85.7"/>
    <n v="0"/>
    <n v="15"/>
    <n v="3349"/>
    <s v="Amit"/>
    <x v="1"/>
    <x v="1"/>
    <x v="0"/>
    <x v="2"/>
  </r>
  <r>
    <n v="1277"/>
    <s v="Arjun"/>
    <x v="0"/>
    <n v="38"/>
    <x v="2"/>
    <s v="Senior Developer"/>
    <x v="4"/>
    <s v="2025-02-22"/>
    <n v="9"/>
    <n v="80628"/>
    <n v="3.4"/>
    <n v="93.5"/>
    <n v="15"/>
    <n v="53"/>
    <n v="5271"/>
    <s v="Suresh"/>
    <x v="1"/>
    <x v="0"/>
    <x v="0"/>
    <x v="2"/>
  </r>
  <r>
    <n v="1278"/>
    <s v="Nikhil"/>
    <x v="0"/>
    <n v="30"/>
    <x v="2"/>
    <s v="Software Engineer"/>
    <x v="1"/>
    <s v="2022-03-20"/>
    <n v="6"/>
    <n v="44871"/>
    <n v="2.9"/>
    <n v="83.6"/>
    <n v="6"/>
    <n v="20"/>
    <n v="7734"/>
    <s v="Kavya"/>
    <x v="1"/>
    <x v="1"/>
    <x v="1"/>
    <x v="2"/>
  </r>
  <r>
    <n v="1279"/>
    <s v="Meena"/>
    <x v="0"/>
    <n v="39"/>
    <x v="3"/>
    <s v="HR Executive"/>
    <x v="1"/>
    <s v="2019-07-07"/>
    <n v="5"/>
    <n v="83687"/>
    <n v="4.5"/>
    <n v="96.7"/>
    <n v="0"/>
    <n v="32"/>
    <n v="3292"/>
    <s v="Amit"/>
    <x v="1"/>
    <x v="3"/>
    <x v="0"/>
    <x v="1"/>
  </r>
  <r>
    <n v="1280"/>
    <s v="Anu"/>
    <x v="1"/>
    <n v="36"/>
    <x v="3"/>
    <s v="HR Manager"/>
    <x v="3"/>
    <s v="2022-05-25"/>
    <n v="5"/>
    <n v="91887"/>
    <n v="4.0999999999999996"/>
    <n v="87.5"/>
    <n v="1"/>
    <n v="31"/>
    <n v="8904"/>
    <s v="Anitha"/>
    <x v="1"/>
    <x v="2"/>
    <x v="0"/>
    <x v="1"/>
  </r>
  <r>
    <n v="1281"/>
    <s v="Priya"/>
    <x v="0"/>
    <n v="28"/>
    <x v="1"/>
    <s v="Accountant"/>
    <x v="0"/>
    <s v="2019-05-26"/>
    <n v="7"/>
    <n v="37920"/>
    <n v="4.2"/>
    <n v="83.3"/>
    <n v="20"/>
    <n v="5"/>
    <n v="7642"/>
    <s v="Kavya"/>
    <x v="0"/>
    <x v="2"/>
    <x v="1"/>
    <x v="2"/>
  </r>
  <r>
    <n v="1282"/>
    <s v="Manoj"/>
    <x v="1"/>
    <n v="42"/>
    <x v="0"/>
    <s v="Sales Manager"/>
    <x v="4"/>
    <s v="2018-06-04"/>
    <n v="9"/>
    <n v="70125"/>
    <n v="4"/>
    <n v="95.9"/>
    <n v="17"/>
    <n v="39"/>
    <n v="12648"/>
    <s v="Suresh"/>
    <x v="0"/>
    <x v="2"/>
    <x v="0"/>
    <x v="2"/>
  </r>
  <r>
    <n v="1283"/>
    <s v="Sai"/>
    <x v="0"/>
    <n v="26"/>
    <x v="0"/>
    <s v="Sales Executive"/>
    <x v="4"/>
    <s v="2018-01-13"/>
    <n v="4"/>
    <n v="44318"/>
    <n v="3.6"/>
    <n v="85.5"/>
    <n v="18"/>
    <n v="53"/>
    <n v="10176"/>
    <s v="Amit"/>
    <x v="0"/>
    <x v="0"/>
    <x v="1"/>
    <x v="1"/>
  </r>
  <r>
    <n v="1284"/>
    <s v="Kiran"/>
    <x v="0"/>
    <n v="38"/>
    <x v="2"/>
    <s v="Software Engineer"/>
    <x v="3"/>
    <s v="2023-04-08"/>
    <n v="6"/>
    <n v="54707"/>
    <n v="2.9"/>
    <n v="82.1"/>
    <n v="17"/>
    <n v="24"/>
    <n v="1135"/>
    <s v="Kavya"/>
    <x v="1"/>
    <x v="1"/>
    <x v="2"/>
    <x v="2"/>
  </r>
  <r>
    <n v="1285"/>
    <s v="Manoj"/>
    <x v="0"/>
    <n v="37"/>
    <x v="1"/>
    <s v="Financial Analyst"/>
    <x v="4"/>
    <s v="2022-12-04"/>
    <n v="8"/>
    <n v="93574"/>
    <n v="3.8"/>
    <n v="87.3"/>
    <n v="0"/>
    <n v="43"/>
    <n v="5220"/>
    <s v="Anitha"/>
    <x v="0"/>
    <x v="0"/>
    <x v="0"/>
    <x v="2"/>
  </r>
  <r>
    <n v="1286"/>
    <s v="Anu"/>
    <x v="1"/>
    <n v="27"/>
    <x v="3"/>
    <s v="HR Manager"/>
    <x v="0"/>
    <s v="2024-09-16"/>
    <n v="5"/>
    <n v="54140"/>
    <n v="5"/>
    <n v="99.2"/>
    <n v="19"/>
    <n v="6"/>
    <n v="2196"/>
    <s v="Kavya"/>
    <x v="0"/>
    <x v="3"/>
    <x v="2"/>
    <x v="1"/>
  </r>
  <r>
    <n v="1287"/>
    <s v="Manoj"/>
    <x v="1"/>
    <n v="40"/>
    <x v="4"/>
    <s v="Marketing Executive"/>
    <x v="0"/>
    <s v="2025-02-20"/>
    <n v="9"/>
    <n v="25396"/>
    <n v="2.5"/>
    <n v="96.8"/>
    <n v="8"/>
    <n v="36"/>
    <n v="11691"/>
    <s v="Ramesh"/>
    <x v="0"/>
    <x v="1"/>
    <x v="1"/>
    <x v="2"/>
  </r>
  <r>
    <n v="1288"/>
    <s v="Nikhil"/>
    <x v="0"/>
    <n v="31"/>
    <x v="2"/>
    <s v="Software Engineer"/>
    <x v="3"/>
    <s v="2023-01-17"/>
    <n v="5"/>
    <n v="28661"/>
    <n v="3.2"/>
    <n v="94.7"/>
    <n v="12"/>
    <n v="35"/>
    <n v="9190"/>
    <s v="Suresh"/>
    <x v="0"/>
    <x v="0"/>
    <x v="1"/>
    <x v="1"/>
  </r>
  <r>
    <n v="1289"/>
    <s v="Sonia"/>
    <x v="0"/>
    <n v="41"/>
    <x v="4"/>
    <s v="SEO Analyst"/>
    <x v="3"/>
    <s v="2018-03-21"/>
    <n v="10"/>
    <n v="59430"/>
    <n v="3.1"/>
    <n v="89.2"/>
    <n v="13"/>
    <n v="49"/>
    <n v="5497"/>
    <s v="Amit"/>
    <x v="1"/>
    <x v="0"/>
    <x v="2"/>
    <x v="2"/>
  </r>
  <r>
    <n v="1290"/>
    <s v="Sai"/>
    <x v="1"/>
    <n v="39"/>
    <x v="0"/>
    <s v="Sales Executive"/>
    <x v="0"/>
    <s v="2020-05-15"/>
    <n v="2"/>
    <n v="49660"/>
    <n v="2.9"/>
    <n v="91.2"/>
    <n v="22"/>
    <n v="19"/>
    <n v="3275"/>
    <s v="Anitha"/>
    <x v="0"/>
    <x v="1"/>
    <x v="1"/>
    <x v="0"/>
  </r>
  <r>
    <n v="1291"/>
    <s v="Rahul"/>
    <x v="0"/>
    <n v="43"/>
    <x v="0"/>
    <s v="Sales Executive"/>
    <x v="0"/>
    <s v="2020-01-20"/>
    <n v="5"/>
    <n v="28645"/>
    <n v="3.2"/>
    <n v="89.9"/>
    <n v="23"/>
    <n v="9"/>
    <n v="14922"/>
    <s v="Ramesh"/>
    <x v="0"/>
    <x v="0"/>
    <x v="1"/>
    <x v="1"/>
  </r>
  <r>
    <n v="1292"/>
    <s v="Kiran"/>
    <x v="1"/>
    <n v="23"/>
    <x v="4"/>
    <s v="SEO Analyst"/>
    <x v="1"/>
    <s v="2022-12-12"/>
    <n v="10"/>
    <n v="55252"/>
    <n v="4.3"/>
    <n v="89.6"/>
    <n v="12"/>
    <n v="37"/>
    <n v="5420"/>
    <s v="Amit"/>
    <x v="1"/>
    <x v="2"/>
    <x v="2"/>
    <x v="2"/>
  </r>
  <r>
    <n v="1293"/>
    <s v="Varun"/>
    <x v="1"/>
    <n v="38"/>
    <x v="0"/>
    <s v="Sales Manager"/>
    <x v="2"/>
    <s v="2023-12-05"/>
    <n v="1"/>
    <n v="46521"/>
    <n v="3.7"/>
    <n v="97.2"/>
    <n v="15"/>
    <n v="18"/>
    <n v="11084"/>
    <s v="Ramesh"/>
    <x v="1"/>
    <x v="0"/>
    <x v="1"/>
    <x v="0"/>
  </r>
  <r>
    <n v="1294"/>
    <s v="Sneha"/>
    <x v="0"/>
    <n v="43"/>
    <x v="4"/>
    <s v="SEO Analyst"/>
    <x v="3"/>
    <s v="2025-02-24"/>
    <n v="9"/>
    <n v="61062"/>
    <n v="3"/>
    <n v="94.7"/>
    <n v="22"/>
    <n v="34"/>
    <n v="5266"/>
    <s v="Amit"/>
    <x v="1"/>
    <x v="0"/>
    <x v="2"/>
    <x v="2"/>
  </r>
  <r>
    <n v="1295"/>
    <s v="Kiran"/>
    <x v="0"/>
    <n v="37"/>
    <x v="3"/>
    <s v="HR Manager"/>
    <x v="1"/>
    <s v="2020-10-12"/>
    <n v="6"/>
    <n v="80689"/>
    <n v="3.3"/>
    <n v="87.2"/>
    <n v="16"/>
    <n v="28"/>
    <n v="8631"/>
    <s v="Kavya"/>
    <x v="1"/>
    <x v="0"/>
    <x v="0"/>
    <x v="2"/>
  </r>
  <r>
    <n v="1296"/>
    <s v="Vijay"/>
    <x v="1"/>
    <n v="40"/>
    <x v="4"/>
    <s v="Marketing Executive"/>
    <x v="1"/>
    <s v="2025-03-18"/>
    <n v="3"/>
    <n v="83204"/>
    <n v="4"/>
    <n v="86"/>
    <n v="15"/>
    <n v="21"/>
    <n v="5568"/>
    <s v="Suresh"/>
    <x v="1"/>
    <x v="2"/>
    <x v="0"/>
    <x v="1"/>
  </r>
  <r>
    <n v="1297"/>
    <s v="Nikhil"/>
    <x v="1"/>
    <n v="29"/>
    <x v="2"/>
    <s v="Software Engineer"/>
    <x v="3"/>
    <s v="2018-08-07"/>
    <n v="1"/>
    <n v="77658"/>
    <n v="3.8"/>
    <n v="96.1"/>
    <n v="6"/>
    <n v="33"/>
    <n v="8369"/>
    <s v="Kavya"/>
    <x v="1"/>
    <x v="0"/>
    <x v="0"/>
    <x v="0"/>
  </r>
  <r>
    <n v="1298"/>
    <s v="Harsha"/>
    <x v="1"/>
    <n v="34"/>
    <x v="2"/>
    <s v="Data Analyst"/>
    <x v="1"/>
    <s v="2023-03-18"/>
    <n v="9"/>
    <n v="52586"/>
    <n v="4.2"/>
    <n v="87.8"/>
    <n v="20"/>
    <n v="36"/>
    <n v="11831"/>
    <s v="Ramesh"/>
    <x v="0"/>
    <x v="2"/>
    <x v="2"/>
    <x v="2"/>
  </r>
  <r>
    <n v="1299"/>
    <s v="Varun"/>
    <x v="0"/>
    <n v="44"/>
    <x v="1"/>
    <s v="Financial Analyst"/>
    <x v="1"/>
    <s v="2022-10-02"/>
    <n v="0"/>
    <m/>
    <n v="3.6"/>
    <n v="84.7"/>
    <n v="0"/>
    <n v="60"/>
    <n v="11804"/>
    <s v="Suresh"/>
    <x v="1"/>
    <x v="0"/>
    <x v="2"/>
    <x v="0"/>
  </r>
  <r>
    <n v="1300"/>
    <s v="Harsha"/>
    <x v="1"/>
    <n v="32"/>
    <x v="4"/>
    <s v="Marketing Executive"/>
    <x v="1"/>
    <s v="2022-01-15"/>
    <n v="5"/>
    <n v="56618"/>
    <n v="3.2"/>
    <n v="83.8"/>
    <n v="7"/>
    <n v="24"/>
    <n v="6054"/>
    <s v="Suresh"/>
    <x v="1"/>
    <x v="0"/>
    <x v="2"/>
    <x v="1"/>
  </r>
  <r>
    <n v="1301"/>
    <s v="Ravi"/>
    <x v="1"/>
    <n v="23"/>
    <x v="2"/>
    <s v="Software Engineer"/>
    <x v="0"/>
    <s v="2024-03-25"/>
    <n v="6"/>
    <n v="46704"/>
    <n v="4.9000000000000004"/>
    <n v="87.4"/>
    <n v="15"/>
    <n v="18"/>
    <n v="14291"/>
    <s v="Kavya"/>
    <x v="1"/>
    <x v="3"/>
    <x v="1"/>
    <x v="2"/>
  </r>
  <r>
    <n v="1302"/>
    <s v="Sai"/>
    <x v="1"/>
    <n v="29"/>
    <x v="0"/>
    <s v="Sales Executive"/>
    <x v="3"/>
    <s v="2021-01-18"/>
    <n v="9"/>
    <n v="50941"/>
    <n v="2.9"/>
    <n v="92.5"/>
    <n v="25"/>
    <n v="14"/>
    <n v="10972"/>
    <s v="Amit"/>
    <x v="0"/>
    <x v="1"/>
    <x v="2"/>
    <x v="2"/>
  </r>
  <r>
    <n v="1303"/>
    <s v="Nikhil"/>
    <x v="1"/>
    <n v="30"/>
    <x v="0"/>
    <s v="Sales Manager"/>
    <x v="4"/>
    <s v="2019-07-26"/>
    <n v="4"/>
    <n v="64334"/>
    <n v="3.8"/>
    <n v="94.8"/>
    <n v="7"/>
    <n v="48"/>
    <n v="4201"/>
    <s v="Ramesh"/>
    <x v="1"/>
    <x v="0"/>
    <x v="2"/>
    <x v="1"/>
  </r>
  <r>
    <n v="1304"/>
    <s v="Ajay"/>
    <x v="0"/>
    <n v="45"/>
    <x v="1"/>
    <s v="Accountant"/>
    <x v="2"/>
    <s v="2023-08-25"/>
    <n v="9"/>
    <n v="36402"/>
    <n v="4.5"/>
    <n v="82.7"/>
    <n v="24"/>
    <n v="7"/>
    <n v="9099"/>
    <s v="Anitha"/>
    <x v="1"/>
    <x v="3"/>
    <x v="1"/>
    <x v="2"/>
  </r>
  <r>
    <n v="1305"/>
    <s v="Ravi"/>
    <x v="0"/>
    <n v="31"/>
    <x v="0"/>
    <s v="Sales Executive"/>
    <x v="4"/>
    <s v="2022-03-25"/>
    <n v="9"/>
    <n v="65497"/>
    <n v="4.7"/>
    <n v="84.9"/>
    <n v="16"/>
    <n v="11"/>
    <n v="7479"/>
    <s v="Kavya"/>
    <x v="1"/>
    <x v="3"/>
    <x v="2"/>
    <x v="2"/>
  </r>
  <r>
    <n v="1306"/>
    <s v="Sneha"/>
    <x v="0"/>
    <n v="24"/>
    <x v="1"/>
    <s v="Accountant"/>
    <x v="0"/>
    <s v="2020-07-31"/>
    <n v="3"/>
    <n v="85631"/>
    <n v="4.9000000000000004"/>
    <n v="95.8"/>
    <n v="25"/>
    <n v="18"/>
    <n v="4449"/>
    <s v="Suresh"/>
    <x v="0"/>
    <x v="3"/>
    <x v="0"/>
    <x v="1"/>
  </r>
  <r>
    <n v="1307"/>
    <s v="Keerthi"/>
    <x v="0"/>
    <n v="38"/>
    <x v="1"/>
    <s v="Accountant"/>
    <x v="1"/>
    <s v="2020-10-09"/>
    <n v="4"/>
    <n v="52909"/>
    <n v="2.7"/>
    <n v="93.3"/>
    <n v="25"/>
    <n v="24"/>
    <n v="3282"/>
    <s v="Kavya"/>
    <x v="1"/>
    <x v="1"/>
    <x v="2"/>
    <x v="1"/>
  </r>
  <r>
    <n v="1308"/>
    <s v="Harsha"/>
    <x v="1"/>
    <n v="25"/>
    <x v="4"/>
    <s v="Marketing Executive"/>
    <x v="3"/>
    <s v="2024-12-25"/>
    <n v="10"/>
    <n v="64985"/>
    <n v="3.6"/>
    <n v="88.3"/>
    <n v="10"/>
    <n v="17"/>
    <n v="6388"/>
    <s v="Anitha"/>
    <x v="0"/>
    <x v="0"/>
    <x v="2"/>
    <x v="2"/>
  </r>
  <r>
    <n v="1309"/>
    <s v="Meena"/>
    <x v="0"/>
    <n v="33"/>
    <x v="1"/>
    <s v="Financial Analyst"/>
    <x v="4"/>
    <s v="2019-10-04"/>
    <n v="9"/>
    <n v="86521"/>
    <n v="4.8"/>
    <n v="92.4"/>
    <n v="6"/>
    <n v="52"/>
    <n v="7001"/>
    <s v="Ramesh"/>
    <x v="1"/>
    <x v="3"/>
    <x v="0"/>
    <x v="2"/>
  </r>
  <r>
    <n v="1310"/>
    <s v="Sneha"/>
    <x v="1"/>
    <n v="32"/>
    <x v="1"/>
    <s v="Financial Analyst"/>
    <x v="0"/>
    <s v="2024-11-07"/>
    <n v="0"/>
    <n v="41222"/>
    <n v="2.6"/>
    <n v="94.6"/>
    <n v="14"/>
    <n v="12"/>
    <n v="8916"/>
    <s v="Anitha"/>
    <x v="0"/>
    <x v="1"/>
    <x v="1"/>
    <x v="0"/>
  </r>
  <r>
    <n v="1311"/>
    <s v="Anu"/>
    <x v="1"/>
    <n v="33"/>
    <x v="4"/>
    <s v="Marketing Executive"/>
    <x v="4"/>
    <s v="2022-01-21"/>
    <n v="5"/>
    <n v="86847"/>
    <n v="3.2"/>
    <n v="88.7"/>
    <n v="9"/>
    <n v="51"/>
    <n v="13004"/>
    <s v="Ramesh"/>
    <x v="0"/>
    <x v="0"/>
    <x v="0"/>
    <x v="1"/>
  </r>
  <r>
    <n v="1312"/>
    <s v="Kiran"/>
    <x v="1"/>
    <n v="32"/>
    <x v="1"/>
    <s v="Financial Analyst"/>
    <x v="0"/>
    <s v="2019-09-29"/>
    <n v="7"/>
    <n v="62118"/>
    <n v="3.1"/>
    <n v="96.9"/>
    <n v="16"/>
    <n v="8"/>
    <n v="6522"/>
    <s v="Kavya"/>
    <x v="0"/>
    <x v="0"/>
    <x v="2"/>
    <x v="2"/>
  </r>
  <r>
    <n v="1313"/>
    <s v="Sai"/>
    <x v="0"/>
    <n v="25"/>
    <x v="2"/>
    <s v="Software Engineer"/>
    <x v="1"/>
    <s v="2018-12-03"/>
    <n v="9"/>
    <n v="62586"/>
    <n v="2.8"/>
    <n v="97.3"/>
    <n v="15"/>
    <n v="27"/>
    <n v="8423"/>
    <s v="Kavya"/>
    <x v="0"/>
    <x v="1"/>
    <x v="2"/>
    <x v="2"/>
  </r>
  <r>
    <n v="1314"/>
    <s v="Pooja"/>
    <x v="0"/>
    <n v="41"/>
    <x v="2"/>
    <s v="Data Analyst"/>
    <x v="3"/>
    <s v="2023-06-11"/>
    <n v="0"/>
    <n v="49848"/>
    <n v="4"/>
    <n v="87.1"/>
    <n v="13"/>
    <n v="44"/>
    <n v="9558"/>
    <s v="Amit"/>
    <x v="1"/>
    <x v="2"/>
    <x v="1"/>
    <x v="0"/>
  </r>
  <r>
    <n v="1315"/>
    <s v="Sai"/>
    <x v="1"/>
    <n v="29"/>
    <x v="2"/>
    <s v="Data Analyst"/>
    <x v="2"/>
    <s v="2024-12-17"/>
    <n v="10"/>
    <n v="80700"/>
    <n v="4.9000000000000004"/>
    <n v="85.7"/>
    <n v="3"/>
    <n v="60"/>
    <n v="12225"/>
    <s v="Ramesh"/>
    <x v="0"/>
    <x v="3"/>
    <x v="0"/>
    <x v="2"/>
  </r>
  <r>
    <n v="1316"/>
    <s v="Ajay"/>
    <x v="0"/>
    <n v="31"/>
    <x v="3"/>
    <s v="HR Executive"/>
    <x v="3"/>
    <s v="2024-11-12"/>
    <n v="5"/>
    <n v="86651"/>
    <n v="2.5"/>
    <n v="86.6"/>
    <n v="6"/>
    <n v="51"/>
    <n v="7615"/>
    <s v="Anitha"/>
    <x v="0"/>
    <x v="1"/>
    <x v="0"/>
    <x v="1"/>
  </r>
  <r>
    <n v="1317"/>
    <s v="Harsha"/>
    <x v="1"/>
    <n v="34"/>
    <x v="0"/>
    <s v="Sales Executive"/>
    <x v="2"/>
    <s v="2019-04-07"/>
    <n v="10"/>
    <n v="41806"/>
    <n v="4.0999999999999996"/>
    <n v="86.4"/>
    <n v="14"/>
    <n v="20"/>
    <n v="5418"/>
    <s v="Ramesh"/>
    <x v="0"/>
    <x v="2"/>
    <x v="1"/>
    <x v="2"/>
  </r>
  <r>
    <n v="1318"/>
    <s v="Arjun"/>
    <x v="1"/>
    <n v="42"/>
    <x v="1"/>
    <s v="Accountant"/>
    <x v="4"/>
    <s v="2019-02-26"/>
    <n v="6"/>
    <n v="62523"/>
    <n v="4.2"/>
    <n v="90.8"/>
    <n v="21"/>
    <n v="52"/>
    <n v="5638"/>
    <s v="Anitha"/>
    <x v="0"/>
    <x v="2"/>
    <x v="2"/>
    <x v="2"/>
  </r>
  <r>
    <n v="1319"/>
    <s v="Sneha"/>
    <x v="0"/>
    <n v="30"/>
    <x v="2"/>
    <s v="Senior Developer"/>
    <x v="1"/>
    <s v="2024-08-30"/>
    <n v="6"/>
    <n v="41858"/>
    <n v="3.5"/>
    <n v="89.9"/>
    <n v="11"/>
    <n v="28"/>
    <n v="4955"/>
    <s v="Anitha"/>
    <x v="0"/>
    <x v="0"/>
    <x v="1"/>
    <x v="2"/>
  </r>
  <r>
    <n v="1320"/>
    <s v="Arjun"/>
    <x v="0"/>
    <n v="37"/>
    <x v="4"/>
    <s v="SEO Analyst"/>
    <x v="3"/>
    <s v="2023-12-21"/>
    <n v="0"/>
    <n v="67145"/>
    <n v="4"/>
    <n v="87.1"/>
    <n v="12"/>
    <n v="17"/>
    <n v="8842"/>
    <s v="Amit"/>
    <x v="1"/>
    <x v="2"/>
    <x v="2"/>
    <x v="0"/>
  </r>
  <r>
    <n v="1321"/>
    <s v="Nikhil"/>
    <x v="0"/>
    <n v="24"/>
    <x v="0"/>
    <s v="Sales Manager"/>
    <x v="0"/>
    <s v="2022-02-19"/>
    <n v="0"/>
    <n v="84086"/>
    <n v="4.9000000000000004"/>
    <n v="93.4"/>
    <n v="3"/>
    <n v="13"/>
    <n v="9123"/>
    <s v="Anitha"/>
    <x v="1"/>
    <x v="3"/>
    <x v="0"/>
    <x v="0"/>
  </r>
  <r>
    <n v="1322"/>
    <s v="Divya"/>
    <x v="0"/>
    <n v="36"/>
    <x v="4"/>
    <s v="SEO Analyst"/>
    <x v="2"/>
    <s v="2018-02-24"/>
    <n v="1"/>
    <n v="60613"/>
    <n v="3.2"/>
    <n v="95.7"/>
    <n v="24"/>
    <n v="35"/>
    <n v="5421"/>
    <s v="Suresh"/>
    <x v="1"/>
    <x v="0"/>
    <x v="2"/>
    <x v="0"/>
  </r>
  <r>
    <n v="1323"/>
    <s v="Pooja"/>
    <x v="0"/>
    <n v="35"/>
    <x v="1"/>
    <s v="Financial Analyst"/>
    <x v="1"/>
    <s v="2022-04-24"/>
    <n v="3"/>
    <n v="60653"/>
    <n v="4.5999999999999996"/>
    <n v="95.3"/>
    <n v="9"/>
    <n v="38"/>
    <n v="4661"/>
    <s v="Kavya"/>
    <x v="0"/>
    <x v="3"/>
    <x v="2"/>
    <x v="1"/>
  </r>
  <r>
    <n v="1324"/>
    <s v="Ravi"/>
    <x v="1"/>
    <n v="25"/>
    <x v="4"/>
    <s v="SEO Analyst"/>
    <x v="2"/>
    <s v="2023-11-02"/>
    <n v="6"/>
    <n v="90933"/>
    <n v="3"/>
    <n v="98.1"/>
    <n v="7"/>
    <n v="44"/>
    <n v="14473"/>
    <s v="Kavya"/>
    <x v="0"/>
    <x v="0"/>
    <x v="0"/>
    <x v="2"/>
  </r>
  <r>
    <n v="1325"/>
    <s v="Anu"/>
    <x v="0"/>
    <n v="22"/>
    <x v="4"/>
    <s v="Marketing Executive"/>
    <x v="1"/>
    <s v="2018-02-28"/>
    <n v="6"/>
    <n v="44033"/>
    <n v="4.3"/>
    <n v="83"/>
    <n v="22"/>
    <n v="20"/>
    <n v="14419"/>
    <s v="Kavya"/>
    <x v="1"/>
    <x v="2"/>
    <x v="1"/>
    <x v="2"/>
  </r>
  <r>
    <n v="1326"/>
    <s v="Rahul"/>
    <x v="0"/>
    <n v="30"/>
    <x v="2"/>
    <s v="Software Engineer"/>
    <x v="0"/>
    <s v="2024-12-23"/>
    <n v="3"/>
    <n v="83950"/>
    <n v="2.9"/>
    <n v="90.4"/>
    <n v="5"/>
    <n v="5"/>
    <n v="4623"/>
    <s v="Anitha"/>
    <x v="1"/>
    <x v="1"/>
    <x v="0"/>
    <x v="1"/>
  </r>
  <r>
    <n v="1327"/>
    <s v="Priya"/>
    <x v="1"/>
    <n v="25"/>
    <x v="2"/>
    <s v="Senior Developer"/>
    <x v="0"/>
    <s v="2022-09-09"/>
    <n v="10"/>
    <n v="82766"/>
    <n v="4.9000000000000004"/>
    <n v="94.7"/>
    <n v="23"/>
    <n v="31"/>
    <n v="4691"/>
    <s v="Anitha"/>
    <x v="0"/>
    <x v="3"/>
    <x v="0"/>
    <x v="2"/>
  </r>
  <r>
    <n v="1328"/>
    <s v="Anu"/>
    <x v="1"/>
    <n v="41"/>
    <x v="0"/>
    <s v="Sales Manager"/>
    <x v="2"/>
    <s v="2018-07-02"/>
    <n v="6"/>
    <n v="55088"/>
    <n v="3.4"/>
    <n v="98.6"/>
    <n v="8"/>
    <n v="5"/>
    <n v="1152"/>
    <s v="Amit"/>
    <x v="1"/>
    <x v="0"/>
    <x v="2"/>
    <x v="2"/>
  </r>
  <r>
    <n v="1329"/>
    <s v="Keerthi"/>
    <x v="0"/>
    <n v="30"/>
    <x v="2"/>
    <s v="Software Engineer"/>
    <x v="1"/>
    <s v="2024-01-27"/>
    <n v="7"/>
    <n v="83233"/>
    <n v="4.0999999999999996"/>
    <n v="92"/>
    <n v="13"/>
    <n v="10"/>
    <n v="4481"/>
    <s v="Suresh"/>
    <x v="1"/>
    <x v="2"/>
    <x v="0"/>
    <x v="2"/>
  </r>
  <r>
    <n v="1330"/>
    <s v="Rahul"/>
    <x v="0"/>
    <n v="41"/>
    <x v="2"/>
    <s v="Senior Developer"/>
    <x v="3"/>
    <s v="2018-12-17"/>
    <n v="2"/>
    <n v="90391"/>
    <n v="4.0999999999999996"/>
    <n v="90.3"/>
    <n v="12"/>
    <n v="49"/>
    <n v="13259"/>
    <s v="Anitha"/>
    <x v="0"/>
    <x v="2"/>
    <x v="0"/>
    <x v="0"/>
  </r>
  <r>
    <n v="1331"/>
    <s v="Nikhil"/>
    <x v="0"/>
    <n v="24"/>
    <x v="4"/>
    <s v="Marketing Executive"/>
    <x v="0"/>
    <s v="2023-08-21"/>
    <n v="5"/>
    <n v="89268"/>
    <n v="3.3"/>
    <n v="97.1"/>
    <n v="0"/>
    <n v="36"/>
    <n v="3195"/>
    <s v="Kavya"/>
    <x v="1"/>
    <x v="0"/>
    <x v="0"/>
    <x v="1"/>
  </r>
  <r>
    <n v="1332"/>
    <s v="Nikhil"/>
    <x v="0"/>
    <n v="26"/>
    <x v="4"/>
    <s v="Marketing Executive"/>
    <x v="1"/>
    <s v="2021-07-06"/>
    <n v="9"/>
    <n v="80938"/>
    <n v="4.7"/>
    <n v="91.3"/>
    <n v="14"/>
    <n v="60"/>
    <n v="4621"/>
    <s v="Kavya"/>
    <x v="0"/>
    <x v="3"/>
    <x v="0"/>
    <x v="2"/>
  </r>
  <r>
    <n v="1333"/>
    <s v="Sneha"/>
    <x v="0"/>
    <n v="41"/>
    <x v="0"/>
    <s v="Sales Manager"/>
    <x v="4"/>
    <s v="2024-12-24"/>
    <n v="4"/>
    <n v="55742"/>
    <n v="2.6"/>
    <n v="98.3"/>
    <n v="19"/>
    <n v="49"/>
    <n v="10371"/>
    <s v="Suresh"/>
    <x v="1"/>
    <x v="1"/>
    <x v="2"/>
    <x v="1"/>
  </r>
  <r>
    <n v="1334"/>
    <s v="Deepa"/>
    <x v="0"/>
    <n v="30"/>
    <x v="0"/>
    <s v="Sales Manager"/>
    <x v="4"/>
    <s v="2019-04-21"/>
    <n v="4"/>
    <n v="75634"/>
    <n v="2.7"/>
    <n v="95.3"/>
    <n v="1"/>
    <n v="53"/>
    <n v="8225"/>
    <s v="Kavya"/>
    <x v="0"/>
    <x v="1"/>
    <x v="0"/>
    <x v="1"/>
  </r>
  <r>
    <n v="1335"/>
    <s v="Deepa"/>
    <x v="0"/>
    <n v="30"/>
    <x v="1"/>
    <s v="Financial Analyst"/>
    <x v="3"/>
    <s v="2018-01-06"/>
    <n v="10"/>
    <n v="33791"/>
    <n v="4.5"/>
    <n v="98.7"/>
    <n v="7"/>
    <n v="42"/>
    <n v="14101"/>
    <s v="Amit"/>
    <x v="1"/>
    <x v="3"/>
    <x v="1"/>
    <x v="2"/>
  </r>
  <r>
    <n v="1336"/>
    <s v="Vijay"/>
    <x v="1"/>
    <n v="37"/>
    <x v="3"/>
    <s v="HR Executive"/>
    <x v="0"/>
    <s v="2022-06-16"/>
    <n v="6"/>
    <n v="66806"/>
    <n v="3.4"/>
    <n v="85.9"/>
    <n v="15"/>
    <n v="52"/>
    <n v="4902"/>
    <s v="Anitha"/>
    <x v="1"/>
    <x v="0"/>
    <x v="2"/>
    <x v="2"/>
  </r>
  <r>
    <n v="1337"/>
    <s v="Keerthi"/>
    <x v="0"/>
    <n v="37"/>
    <x v="4"/>
    <s v="SEO Analyst"/>
    <x v="3"/>
    <s v="2020-06-11"/>
    <n v="5"/>
    <n v="32706"/>
    <n v="4.8"/>
    <n v="91.8"/>
    <n v="7"/>
    <n v="51"/>
    <n v="10322"/>
    <s v="Amit"/>
    <x v="1"/>
    <x v="3"/>
    <x v="1"/>
    <x v="1"/>
  </r>
  <r>
    <n v="1338"/>
    <s v="Rahul"/>
    <x v="1"/>
    <n v="27"/>
    <x v="2"/>
    <s v="Data Analyst"/>
    <x v="4"/>
    <s v="2021-05-28"/>
    <n v="7"/>
    <n v="60413"/>
    <n v="3.8"/>
    <n v="98.7"/>
    <n v="11"/>
    <n v="56"/>
    <n v="5669"/>
    <s v="Amit"/>
    <x v="0"/>
    <x v="0"/>
    <x v="2"/>
    <x v="2"/>
  </r>
  <r>
    <n v="1339"/>
    <s v="Deepa"/>
    <x v="1"/>
    <n v="29"/>
    <x v="4"/>
    <s v="Marketing Executive"/>
    <x v="4"/>
    <s v="2023-08-22"/>
    <n v="7"/>
    <n v="71798"/>
    <n v="3.5"/>
    <n v="91"/>
    <n v="3"/>
    <n v="52"/>
    <n v="5855"/>
    <s v="Kavya"/>
    <x v="1"/>
    <x v="0"/>
    <x v="0"/>
    <x v="2"/>
  </r>
  <r>
    <n v="1340"/>
    <s v="Meena"/>
    <x v="0"/>
    <n v="31"/>
    <x v="3"/>
    <s v="HR Manager"/>
    <x v="4"/>
    <s v="2020-04-24"/>
    <n v="5"/>
    <n v="90479"/>
    <n v="3.3"/>
    <n v="95.2"/>
    <n v="25"/>
    <n v="47"/>
    <n v="11872"/>
    <s v="Amit"/>
    <x v="1"/>
    <x v="0"/>
    <x v="0"/>
    <x v="1"/>
  </r>
  <r>
    <n v="1341"/>
    <s v="Pooja"/>
    <x v="1"/>
    <n v="37"/>
    <x v="4"/>
    <s v="SEO Analyst"/>
    <x v="2"/>
    <s v="2019-12-25"/>
    <n v="9"/>
    <n v="85379"/>
    <n v="4.0999999999999996"/>
    <n v="88.3"/>
    <n v="17"/>
    <n v="36"/>
    <n v="7633"/>
    <s v="Ramesh"/>
    <x v="0"/>
    <x v="2"/>
    <x v="0"/>
    <x v="2"/>
  </r>
  <r>
    <n v="1342"/>
    <s v="Sai"/>
    <x v="0"/>
    <n v="26"/>
    <x v="0"/>
    <s v="Sales Manager"/>
    <x v="2"/>
    <s v="2019-05-07"/>
    <n v="9"/>
    <n v="83857"/>
    <n v="2.8"/>
    <n v="98.7"/>
    <n v="4"/>
    <n v="42"/>
    <n v="9415"/>
    <s v="Ramesh"/>
    <x v="0"/>
    <x v="1"/>
    <x v="0"/>
    <x v="2"/>
  </r>
  <r>
    <n v="1343"/>
    <s v="Varun"/>
    <x v="1"/>
    <n v="44"/>
    <x v="1"/>
    <s v="Financial Analyst"/>
    <x v="4"/>
    <s v="2019-03-30"/>
    <n v="10"/>
    <n v="42746"/>
    <n v="2.8"/>
    <n v="89.8"/>
    <n v="15"/>
    <n v="38"/>
    <n v="3271"/>
    <s v="Anitha"/>
    <x v="1"/>
    <x v="1"/>
    <x v="1"/>
    <x v="2"/>
  </r>
  <r>
    <n v="1344"/>
    <s v="Varun"/>
    <x v="1"/>
    <n v="43"/>
    <x v="1"/>
    <s v="Accountant"/>
    <x v="0"/>
    <s v="2021-11-22"/>
    <n v="3"/>
    <n v="69578"/>
    <n v="4.8"/>
    <n v="93.3"/>
    <n v="12"/>
    <n v="14"/>
    <n v="11907"/>
    <s v="Anitha"/>
    <x v="0"/>
    <x v="3"/>
    <x v="2"/>
    <x v="1"/>
  </r>
  <r>
    <n v="1345"/>
    <s v="Divya"/>
    <x v="1"/>
    <n v="31"/>
    <x v="3"/>
    <s v="HR Manager"/>
    <x v="4"/>
    <s v="2025-04-19"/>
    <n v="8"/>
    <n v="71534"/>
    <n v="4.5999999999999996"/>
    <n v="84.8"/>
    <n v="11"/>
    <n v="33"/>
    <n v="6830"/>
    <s v="Kavya"/>
    <x v="0"/>
    <x v="3"/>
    <x v="0"/>
    <x v="2"/>
  </r>
  <r>
    <n v="1346"/>
    <s v="Sai"/>
    <x v="0"/>
    <n v="44"/>
    <x v="2"/>
    <s v="Senior Developer"/>
    <x v="4"/>
    <s v="2024-07-26"/>
    <n v="10"/>
    <n v="75755"/>
    <n v="3.6"/>
    <n v="100"/>
    <n v="9"/>
    <n v="22"/>
    <n v="7044"/>
    <s v="Ramesh"/>
    <x v="1"/>
    <x v="0"/>
    <x v="0"/>
    <x v="2"/>
  </r>
  <r>
    <n v="1347"/>
    <s v="Vijay"/>
    <x v="0"/>
    <n v="39"/>
    <x v="4"/>
    <s v="SEO Analyst"/>
    <x v="4"/>
    <s v="2019-04-08"/>
    <n v="9"/>
    <n v="68398"/>
    <n v="3.1"/>
    <n v="97.5"/>
    <n v="21"/>
    <n v="59"/>
    <n v="2243"/>
    <s v="Kavya"/>
    <x v="0"/>
    <x v="0"/>
    <x v="2"/>
    <x v="2"/>
  </r>
  <r>
    <n v="1348"/>
    <s v="Nikhil"/>
    <x v="0"/>
    <n v="45"/>
    <x v="2"/>
    <s v="Data Analyst"/>
    <x v="2"/>
    <s v="2020-12-21"/>
    <n v="8"/>
    <n v="89217"/>
    <n v="3.6"/>
    <n v="85.8"/>
    <n v="8"/>
    <n v="36"/>
    <n v="13508"/>
    <s v="Suresh"/>
    <x v="1"/>
    <x v="0"/>
    <x v="0"/>
    <x v="2"/>
  </r>
  <r>
    <n v="1349"/>
    <s v="Ravi"/>
    <x v="0"/>
    <n v="23"/>
    <x v="3"/>
    <s v="HR Executive"/>
    <x v="3"/>
    <s v="2020-03-27"/>
    <n v="8"/>
    <n v="41107"/>
    <n v="4.8"/>
    <n v="87.2"/>
    <n v="12"/>
    <n v="40"/>
    <n v="5534"/>
    <s v="Amit"/>
    <x v="0"/>
    <x v="3"/>
    <x v="1"/>
    <x v="2"/>
  </r>
  <r>
    <n v="1350"/>
    <s v="Sai"/>
    <x v="0"/>
    <n v="44"/>
    <x v="2"/>
    <s v="Data Analyst"/>
    <x v="1"/>
    <s v="2021-05-31"/>
    <n v="2"/>
    <n v="40592"/>
    <n v="2.9"/>
    <n v="90"/>
    <n v="16"/>
    <n v="46"/>
    <n v="4698"/>
    <s v="Ramesh"/>
    <x v="1"/>
    <x v="1"/>
    <x v="1"/>
    <x v="0"/>
  </r>
  <r>
    <n v="1351"/>
    <s v="Varun"/>
    <x v="0"/>
    <n v="38"/>
    <x v="3"/>
    <s v="HR Executive"/>
    <x v="3"/>
    <s v="2018-11-23"/>
    <n v="9"/>
    <n v="46355"/>
    <n v="3.1"/>
    <n v="91.2"/>
    <n v="15"/>
    <n v="15"/>
    <n v="3599"/>
    <s v="Ramesh"/>
    <x v="0"/>
    <x v="0"/>
    <x v="1"/>
    <x v="2"/>
  </r>
  <r>
    <n v="1352"/>
    <s v="Deepa"/>
    <x v="0"/>
    <n v="43"/>
    <x v="3"/>
    <s v="HR Executive"/>
    <x v="0"/>
    <s v="2019-11-28"/>
    <n v="5"/>
    <n v="56131"/>
    <n v="4.5999999999999996"/>
    <n v="85.5"/>
    <n v="23"/>
    <n v="11"/>
    <n v="6671"/>
    <s v="Anitha"/>
    <x v="0"/>
    <x v="3"/>
    <x v="2"/>
    <x v="1"/>
  </r>
  <r>
    <n v="1353"/>
    <s v="Manoj"/>
    <x v="1"/>
    <n v="42"/>
    <x v="1"/>
    <s v="Financial Analyst"/>
    <x v="4"/>
    <s v="2019-06-28"/>
    <n v="6"/>
    <n v="89365"/>
    <n v="4.9000000000000004"/>
    <n v="83.1"/>
    <n v="10"/>
    <n v="18"/>
    <n v="6559"/>
    <s v="Amit"/>
    <x v="0"/>
    <x v="3"/>
    <x v="0"/>
    <x v="2"/>
  </r>
  <r>
    <n v="1354"/>
    <s v="Arjun"/>
    <x v="1"/>
    <n v="42"/>
    <x v="3"/>
    <s v="HR Executive"/>
    <x v="4"/>
    <s v="2021-12-09"/>
    <n v="10"/>
    <n v="34755"/>
    <n v="4.0999999999999996"/>
    <n v="93"/>
    <n v="2"/>
    <n v="11"/>
    <n v="4346"/>
    <s v="Suresh"/>
    <x v="0"/>
    <x v="2"/>
    <x v="1"/>
    <x v="2"/>
  </r>
  <r>
    <n v="1355"/>
    <s v="Kiran"/>
    <x v="1"/>
    <n v="25"/>
    <x v="2"/>
    <s v="Senior Developer"/>
    <x v="2"/>
    <s v="2024-01-05"/>
    <n v="4"/>
    <n v="77854"/>
    <n v="2.8"/>
    <n v="92.1"/>
    <n v="24"/>
    <n v="23"/>
    <n v="2683"/>
    <s v="Anitha"/>
    <x v="0"/>
    <x v="1"/>
    <x v="0"/>
    <x v="1"/>
  </r>
  <r>
    <n v="1356"/>
    <s v="Arjun"/>
    <x v="1"/>
    <n v="25"/>
    <x v="3"/>
    <s v="HR Executive"/>
    <x v="1"/>
    <s v="2024-01-03"/>
    <n v="7"/>
    <n v="73647"/>
    <n v="2.9"/>
    <n v="90.8"/>
    <n v="1"/>
    <n v="18"/>
    <n v="3761"/>
    <s v="Suresh"/>
    <x v="1"/>
    <x v="1"/>
    <x v="0"/>
    <x v="2"/>
  </r>
  <r>
    <n v="1357"/>
    <s v="Manoj"/>
    <x v="0"/>
    <n v="43"/>
    <x v="3"/>
    <s v="HR Manager"/>
    <x v="0"/>
    <s v="2018-03-16"/>
    <n v="2"/>
    <n v="30416"/>
    <n v="3.7"/>
    <n v="87.6"/>
    <n v="20"/>
    <n v="48"/>
    <n v="1181"/>
    <s v="Ramesh"/>
    <x v="0"/>
    <x v="0"/>
    <x v="1"/>
    <x v="0"/>
  </r>
  <r>
    <n v="1358"/>
    <s v="Harsha"/>
    <x v="0"/>
    <n v="23"/>
    <x v="1"/>
    <s v="Accountant"/>
    <x v="1"/>
    <s v="2018-10-14"/>
    <n v="4"/>
    <n v="52196"/>
    <n v="3.3"/>
    <n v="87"/>
    <n v="17"/>
    <n v="57"/>
    <n v="10955"/>
    <s v="Amit"/>
    <x v="0"/>
    <x v="0"/>
    <x v="2"/>
    <x v="1"/>
  </r>
  <r>
    <n v="1359"/>
    <s v="Ajay"/>
    <x v="0"/>
    <n v="31"/>
    <x v="3"/>
    <s v="HR Manager"/>
    <x v="1"/>
    <s v="2022-12-01"/>
    <n v="0"/>
    <n v="32280"/>
    <n v="4.9000000000000004"/>
    <n v="90.8"/>
    <n v="20"/>
    <n v="34"/>
    <n v="7532"/>
    <s v="Ramesh"/>
    <x v="0"/>
    <x v="3"/>
    <x v="1"/>
    <x v="0"/>
  </r>
  <r>
    <n v="1360"/>
    <s v="Rahul"/>
    <x v="0"/>
    <n v="28"/>
    <x v="0"/>
    <s v="Sales Manager"/>
    <x v="3"/>
    <s v="2023-06-29"/>
    <n v="8"/>
    <n v="73920"/>
    <n v="4.3"/>
    <n v="92.1"/>
    <n v="12"/>
    <n v="54"/>
    <n v="14426"/>
    <s v="Anitha"/>
    <x v="1"/>
    <x v="2"/>
    <x v="0"/>
    <x v="2"/>
  </r>
  <r>
    <n v="1361"/>
    <s v="Pooja"/>
    <x v="0"/>
    <n v="40"/>
    <x v="4"/>
    <s v="Marketing Executive"/>
    <x v="1"/>
    <s v="2022-03-11"/>
    <n v="4"/>
    <n v="72680"/>
    <n v="2.6"/>
    <n v="92.1"/>
    <n v="19"/>
    <n v="58"/>
    <n v="13809"/>
    <s v="Suresh"/>
    <x v="0"/>
    <x v="1"/>
    <x v="0"/>
    <x v="1"/>
  </r>
  <r>
    <n v="1362"/>
    <s v="Vijay"/>
    <x v="0"/>
    <n v="39"/>
    <x v="3"/>
    <s v="HR Manager"/>
    <x v="3"/>
    <s v="2025-01-22"/>
    <n v="2"/>
    <n v="59763"/>
    <n v="4.0999999999999996"/>
    <n v="93.9"/>
    <n v="24"/>
    <n v="8"/>
    <n v="14073"/>
    <s v="Kavya"/>
    <x v="0"/>
    <x v="2"/>
    <x v="2"/>
    <x v="0"/>
  </r>
  <r>
    <n v="1363"/>
    <s v="Nikhil"/>
    <x v="1"/>
    <n v="30"/>
    <x v="4"/>
    <s v="Marketing Executive"/>
    <x v="1"/>
    <s v="2024-07-18"/>
    <n v="3"/>
    <n v="61664"/>
    <n v="4.9000000000000004"/>
    <n v="94.2"/>
    <n v="24"/>
    <n v="7"/>
    <n v="14640"/>
    <s v="Anitha"/>
    <x v="1"/>
    <x v="3"/>
    <x v="2"/>
    <x v="1"/>
  </r>
  <r>
    <n v="1364"/>
    <s v="Kiran"/>
    <x v="0"/>
    <n v="29"/>
    <x v="1"/>
    <s v="Accountant"/>
    <x v="0"/>
    <s v="2024-09-02"/>
    <n v="6"/>
    <n v="89583"/>
    <n v="4.8"/>
    <n v="91.9"/>
    <n v="4"/>
    <n v="15"/>
    <n v="7387"/>
    <s v="Ramesh"/>
    <x v="1"/>
    <x v="3"/>
    <x v="0"/>
    <x v="2"/>
  </r>
  <r>
    <n v="1365"/>
    <s v="Ravi"/>
    <x v="1"/>
    <n v="41"/>
    <x v="4"/>
    <s v="SEO Analyst"/>
    <x v="1"/>
    <s v="2024-02-13"/>
    <n v="0"/>
    <n v="62252"/>
    <n v="3.5"/>
    <n v="98.9"/>
    <n v="22"/>
    <n v="25"/>
    <n v="4986"/>
    <s v="Amit"/>
    <x v="0"/>
    <x v="0"/>
    <x v="2"/>
    <x v="0"/>
  </r>
  <r>
    <n v="1366"/>
    <s v="Sonia"/>
    <x v="1"/>
    <n v="34"/>
    <x v="0"/>
    <s v="Sales Executive"/>
    <x v="0"/>
    <s v="2020-12-12"/>
    <n v="3"/>
    <n v="27337"/>
    <n v="4"/>
    <n v="97.2"/>
    <n v="9"/>
    <n v="27"/>
    <n v="9739"/>
    <s v="Anitha"/>
    <x v="1"/>
    <x v="2"/>
    <x v="1"/>
    <x v="1"/>
  </r>
  <r>
    <n v="1367"/>
    <s v="Vijay"/>
    <x v="0"/>
    <n v="27"/>
    <x v="3"/>
    <s v="HR Executive"/>
    <x v="1"/>
    <s v="2018-04-16"/>
    <n v="7"/>
    <n v="55014"/>
    <n v="2.5"/>
    <n v="82.7"/>
    <n v="25"/>
    <n v="54"/>
    <n v="2804"/>
    <s v="Anitha"/>
    <x v="0"/>
    <x v="1"/>
    <x v="2"/>
    <x v="2"/>
  </r>
  <r>
    <n v="1368"/>
    <s v="Sai"/>
    <x v="0"/>
    <n v="34"/>
    <x v="0"/>
    <s v="Sales Executive"/>
    <x v="2"/>
    <s v="2021-12-26"/>
    <n v="3"/>
    <n v="63989"/>
    <n v="3.1"/>
    <n v="88.9"/>
    <n v="9"/>
    <n v="33"/>
    <n v="12777"/>
    <s v="Anitha"/>
    <x v="0"/>
    <x v="0"/>
    <x v="2"/>
    <x v="1"/>
  </r>
  <r>
    <n v="1369"/>
    <s v="Ravi"/>
    <x v="1"/>
    <n v="25"/>
    <x v="3"/>
    <s v="HR Executive"/>
    <x v="0"/>
    <s v="2024-06-16"/>
    <n v="4"/>
    <n v="71946"/>
    <n v="2.5"/>
    <n v="88.9"/>
    <n v="16"/>
    <n v="40"/>
    <n v="1464"/>
    <s v="Anitha"/>
    <x v="0"/>
    <x v="1"/>
    <x v="0"/>
    <x v="1"/>
  </r>
  <r>
    <n v="1370"/>
    <s v="Meena"/>
    <x v="1"/>
    <n v="44"/>
    <x v="2"/>
    <s v="Software Engineer"/>
    <x v="0"/>
    <s v="2023-07-24"/>
    <n v="0"/>
    <n v="32249"/>
    <n v="4.9000000000000004"/>
    <n v="84.9"/>
    <n v="5"/>
    <n v="60"/>
    <n v="8327"/>
    <s v="Amit"/>
    <x v="0"/>
    <x v="3"/>
    <x v="1"/>
    <x v="0"/>
  </r>
  <r>
    <n v="1371"/>
    <s v="Manoj"/>
    <x v="0"/>
    <n v="35"/>
    <x v="3"/>
    <s v="HR Manager"/>
    <x v="3"/>
    <s v="2021-09-19"/>
    <n v="8"/>
    <n v="73981"/>
    <n v="4.8"/>
    <n v="89.1"/>
    <n v="11"/>
    <n v="31"/>
    <n v="11098"/>
    <s v="Amit"/>
    <x v="0"/>
    <x v="3"/>
    <x v="0"/>
    <x v="2"/>
  </r>
  <r>
    <n v="1372"/>
    <s v="Keerthi"/>
    <x v="1"/>
    <n v="22"/>
    <x v="0"/>
    <s v="Sales Manager"/>
    <x v="2"/>
    <s v="2024-01-26"/>
    <n v="6"/>
    <n v="75200"/>
    <n v="2.9"/>
    <n v="86.4"/>
    <n v="22"/>
    <n v="7"/>
    <n v="1291"/>
    <s v="Amit"/>
    <x v="0"/>
    <x v="1"/>
    <x v="0"/>
    <x v="2"/>
  </r>
  <r>
    <n v="1373"/>
    <s v="Varun"/>
    <x v="0"/>
    <n v="44"/>
    <x v="3"/>
    <s v="HR Manager"/>
    <x v="0"/>
    <s v="2024-04-23"/>
    <n v="5"/>
    <n v="83804"/>
    <n v="2.9"/>
    <n v="91.5"/>
    <n v="16"/>
    <n v="17"/>
    <n v="4927"/>
    <s v="Suresh"/>
    <x v="1"/>
    <x v="1"/>
    <x v="0"/>
    <x v="1"/>
  </r>
  <r>
    <n v="1374"/>
    <s v="Ajay"/>
    <x v="1"/>
    <n v="41"/>
    <x v="0"/>
    <s v="Sales Manager"/>
    <x v="0"/>
    <s v="2025-04-30"/>
    <n v="9"/>
    <n v="27045"/>
    <n v="4.9000000000000004"/>
    <n v="95.9"/>
    <n v="5"/>
    <n v="31"/>
    <n v="7679"/>
    <s v="Anitha"/>
    <x v="0"/>
    <x v="3"/>
    <x v="1"/>
    <x v="2"/>
  </r>
  <r>
    <n v="1375"/>
    <s v="Varun"/>
    <x v="0"/>
    <n v="24"/>
    <x v="1"/>
    <s v="Financial Analyst"/>
    <x v="4"/>
    <s v="2019-07-11"/>
    <n v="4"/>
    <n v="77852"/>
    <n v="4.0999999999999996"/>
    <n v="88"/>
    <n v="10"/>
    <n v="32"/>
    <n v="14864"/>
    <s v="Ramesh"/>
    <x v="0"/>
    <x v="2"/>
    <x v="0"/>
    <x v="1"/>
  </r>
  <r>
    <n v="1376"/>
    <s v="Vijay"/>
    <x v="1"/>
    <n v="23"/>
    <x v="2"/>
    <s v="Software Engineer"/>
    <x v="0"/>
    <s v="2024-08-17"/>
    <n v="2"/>
    <n v="58340"/>
    <n v="2.8"/>
    <n v="86.6"/>
    <n v="23"/>
    <n v="44"/>
    <n v="1322"/>
    <s v="Ramesh"/>
    <x v="1"/>
    <x v="1"/>
    <x v="2"/>
    <x v="0"/>
  </r>
  <r>
    <n v="1377"/>
    <s v="Sai"/>
    <x v="1"/>
    <n v="35"/>
    <x v="2"/>
    <s v="Data Analyst"/>
    <x v="3"/>
    <s v="2023-01-23"/>
    <n v="7"/>
    <n v="52242"/>
    <n v="3.9"/>
    <n v="84.3"/>
    <n v="5"/>
    <n v="39"/>
    <n v="5420"/>
    <s v="Kavya"/>
    <x v="1"/>
    <x v="0"/>
    <x v="2"/>
    <x v="2"/>
  </r>
  <r>
    <n v="1378"/>
    <s v="Kiran"/>
    <x v="0"/>
    <n v="28"/>
    <x v="0"/>
    <s v="Sales Executive"/>
    <x v="1"/>
    <s v="2021-01-19"/>
    <n v="0"/>
    <n v="34263"/>
    <n v="3.2"/>
    <n v="98.4"/>
    <n v="21"/>
    <n v="55"/>
    <n v="11007"/>
    <s v="Anitha"/>
    <x v="1"/>
    <x v="0"/>
    <x v="1"/>
    <x v="0"/>
  </r>
  <r>
    <n v="1379"/>
    <s v="Nikhil"/>
    <x v="1"/>
    <n v="30"/>
    <x v="4"/>
    <s v="SEO Analyst"/>
    <x v="1"/>
    <s v="2022-12-24"/>
    <n v="0"/>
    <n v="65553"/>
    <n v="4.0999999999999996"/>
    <n v="87.9"/>
    <n v="15"/>
    <n v="53"/>
    <n v="3394"/>
    <s v="Anitha"/>
    <x v="1"/>
    <x v="2"/>
    <x v="2"/>
    <x v="0"/>
  </r>
  <r>
    <n v="1380"/>
    <s v="Keerthi"/>
    <x v="1"/>
    <n v="30"/>
    <x v="1"/>
    <s v="Accountant"/>
    <x v="0"/>
    <s v="2020-01-19"/>
    <n v="0"/>
    <n v="93544"/>
    <n v="2.9"/>
    <n v="95.9"/>
    <n v="23"/>
    <n v="46"/>
    <n v="13135"/>
    <s v="Amit"/>
    <x v="0"/>
    <x v="1"/>
    <x v="0"/>
    <x v="0"/>
  </r>
  <r>
    <n v="1381"/>
    <s v="Pooja"/>
    <x v="0"/>
    <n v="22"/>
    <x v="3"/>
    <s v="HR Manager"/>
    <x v="2"/>
    <s v="2019-07-17"/>
    <n v="1"/>
    <n v="41683"/>
    <n v="3.1"/>
    <n v="95.5"/>
    <n v="2"/>
    <n v="31"/>
    <n v="5472"/>
    <s v="Ramesh"/>
    <x v="0"/>
    <x v="0"/>
    <x v="1"/>
    <x v="0"/>
  </r>
  <r>
    <n v="1382"/>
    <s v="Sneha"/>
    <x v="0"/>
    <n v="44"/>
    <x v="1"/>
    <s v="Accountant"/>
    <x v="4"/>
    <s v="2023-08-24"/>
    <n v="3"/>
    <n v="31533"/>
    <n v="3.6"/>
    <n v="82.1"/>
    <n v="10"/>
    <n v="26"/>
    <n v="7545"/>
    <s v="Suresh"/>
    <x v="1"/>
    <x v="0"/>
    <x v="1"/>
    <x v="1"/>
  </r>
  <r>
    <n v="1383"/>
    <s v="Sai"/>
    <x v="1"/>
    <n v="41"/>
    <x v="4"/>
    <s v="SEO Analyst"/>
    <x v="1"/>
    <s v="2024-04-09"/>
    <n v="9"/>
    <n v="60581"/>
    <n v="3.2"/>
    <n v="86.9"/>
    <n v="8"/>
    <n v="55"/>
    <n v="13258"/>
    <s v="Suresh"/>
    <x v="0"/>
    <x v="0"/>
    <x v="2"/>
    <x v="2"/>
  </r>
  <r>
    <n v="1384"/>
    <s v="Arjun"/>
    <x v="0"/>
    <n v="37"/>
    <x v="4"/>
    <s v="Marketing Executive"/>
    <x v="4"/>
    <s v="2022-09-22"/>
    <n v="2"/>
    <n v="32481"/>
    <n v="3.2"/>
    <n v="88.2"/>
    <n v="17"/>
    <n v="21"/>
    <n v="13613"/>
    <s v="Kavya"/>
    <x v="1"/>
    <x v="0"/>
    <x v="1"/>
    <x v="0"/>
  </r>
  <r>
    <n v="1385"/>
    <s v="Sonia"/>
    <x v="0"/>
    <n v="32"/>
    <x v="1"/>
    <s v="Accountant"/>
    <x v="2"/>
    <s v="2024-07-07"/>
    <n v="7"/>
    <n v="37968"/>
    <n v="2.7"/>
    <n v="89.9"/>
    <n v="5"/>
    <n v="25"/>
    <n v="8517"/>
    <s v="Suresh"/>
    <x v="1"/>
    <x v="1"/>
    <x v="1"/>
    <x v="2"/>
  </r>
  <r>
    <n v="1386"/>
    <s v="Harsha"/>
    <x v="1"/>
    <n v="41"/>
    <x v="2"/>
    <s v="Software Engineer"/>
    <x v="4"/>
    <s v="2024-10-12"/>
    <n v="4"/>
    <n v="47639"/>
    <n v="4.9000000000000004"/>
    <n v="97.2"/>
    <n v="10"/>
    <n v="5"/>
    <n v="8103"/>
    <s v="Suresh"/>
    <x v="1"/>
    <x v="3"/>
    <x v="1"/>
    <x v="1"/>
  </r>
  <r>
    <n v="1387"/>
    <s v="Pooja"/>
    <x v="0"/>
    <n v="45"/>
    <x v="2"/>
    <s v="Software Engineer"/>
    <x v="3"/>
    <s v="2021-04-02"/>
    <n v="3"/>
    <n v="45990"/>
    <n v="3.4"/>
    <n v="98.1"/>
    <n v="12"/>
    <n v="56"/>
    <n v="10313"/>
    <s v="Kavya"/>
    <x v="0"/>
    <x v="0"/>
    <x v="1"/>
    <x v="1"/>
  </r>
  <r>
    <n v="1388"/>
    <s v="Anu"/>
    <x v="1"/>
    <n v="39"/>
    <x v="2"/>
    <s v="Senior Developer"/>
    <x v="0"/>
    <s v="2021-02-09"/>
    <n v="10"/>
    <n v="88500"/>
    <n v="2.5"/>
    <n v="83.3"/>
    <n v="1"/>
    <n v="8"/>
    <n v="14809"/>
    <s v="Ramesh"/>
    <x v="0"/>
    <x v="1"/>
    <x v="0"/>
    <x v="2"/>
  </r>
  <r>
    <n v="1389"/>
    <s v="Priya"/>
    <x v="1"/>
    <n v="38"/>
    <x v="1"/>
    <s v="Financial Analyst"/>
    <x v="1"/>
    <s v="2022-08-27"/>
    <n v="4"/>
    <n v="75742"/>
    <n v="3.4"/>
    <n v="94.3"/>
    <n v="23"/>
    <n v="43"/>
    <n v="8522"/>
    <s v="Kavya"/>
    <x v="0"/>
    <x v="0"/>
    <x v="0"/>
    <x v="1"/>
  </r>
  <r>
    <n v="1390"/>
    <s v="Sonia"/>
    <x v="0"/>
    <n v="34"/>
    <x v="3"/>
    <s v="HR Executive"/>
    <x v="4"/>
    <s v="2023-01-01"/>
    <n v="4"/>
    <n v="31164"/>
    <n v="4.4000000000000004"/>
    <n v="86.9"/>
    <n v="21"/>
    <n v="43"/>
    <n v="4160"/>
    <s v="Suresh"/>
    <x v="0"/>
    <x v="2"/>
    <x v="1"/>
    <x v="1"/>
  </r>
  <r>
    <n v="1391"/>
    <s v="Vijay"/>
    <x v="0"/>
    <n v="43"/>
    <x v="2"/>
    <s v="Software Engineer"/>
    <x v="3"/>
    <s v="2023-05-02"/>
    <n v="10"/>
    <n v="82716"/>
    <n v="3.9"/>
    <n v="93.8"/>
    <n v="4"/>
    <n v="51"/>
    <n v="14236"/>
    <s v="Amit"/>
    <x v="0"/>
    <x v="0"/>
    <x v="0"/>
    <x v="2"/>
  </r>
  <r>
    <n v="1392"/>
    <s v="Priya"/>
    <x v="0"/>
    <n v="31"/>
    <x v="1"/>
    <s v="Financial Analyst"/>
    <x v="3"/>
    <s v="2020-10-16"/>
    <n v="6"/>
    <n v="87872"/>
    <n v="4.0999999999999996"/>
    <n v="87.5"/>
    <n v="16"/>
    <n v="47"/>
    <n v="7369"/>
    <s v="Ramesh"/>
    <x v="0"/>
    <x v="2"/>
    <x v="0"/>
    <x v="2"/>
  </r>
  <r>
    <n v="1393"/>
    <s v="Divya"/>
    <x v="0"/>
    <n v="23"/>
    <x v="2"/>
    <s v="Software Engineer"/>
    <x v="0"/>
    <s v="2018-10-25"/>
    <n v="10"/>
    <n v="69951"/>
    <n v="4.7"/>
    <n v="83.4"/>
    <n v="10"/>
    <n v="37"/>
    <n v="10617"/>
    <s v="Anitha"/>
    <x v="1"/>
    <x v="3"/>
    <x v="2"/>
    <x v="2"/>
  </r>
  <r>
    <n v="1394"/>
    <s v="Kiran"/>
    <x v="1"/>
    <n v="34"/>
    <x v="2"/>
    <s v="Software Engineer"/>
    <x v="1"/>
    <s v="2024-06-09"/>
    <n v="10"/>
    <n v="31818"/>
    <n v="4.7"/>
    <n v="93.8"/>
    <n v="14"/>
    <n v="40"/>
    <n v="8806"/>
    <s v="Anitha"/>
    <x v="0"/>
    <x v="3"/>
    <x v="1"/>
    <x v="2"/>
  </r>
  <r>
    <n v="1395"/>
    <s v="Arjun"/>
    <x v="0"/>
    <n v="41"/>
    <x v="3"/>
    <s v="HR Manager"/>
    <x v="3"/>
    <s v="2024-12-17"/>
    <n v="0"/>
    <n v="64064"/>
    <n v="5"/>
    <n v="83.2"/>
    <n v="13"/>
    <n v="23"/>
    <n v="4604"/>
    <s v="Kavya"/>
    <x v="1"/>
    <x v="3"/>
    <x v="2"/>
    <x v="0"/>
  </r>
  <r>
    <n v="1396"/>
    <s v="Sneha"/>
    <x v="0"/>
    <n v="30"/>
    <x v="2"/>
    <s v="Senior Developer"/>
    <x v="2"/>
    <s v="2021-07-16"/>
    <n v="2"/>
    <n v="78133"/>
    <n v="4.7"/>
    <n v="96.6"/>
    <n v="17"/>
    <n v="47"/>
    <n v="12934"/>
    <s v="Amit"/>
    <x v="0"/>
    <x v="3"/>
    <x v="0"/>
    <x v="0"/>
  </r>
  <r>
    <n v="1397"/>
    <s v="Anu"/>
    <x v="1"/>
    <n v="42"/>
    <x v="3"/>
    <s v="HR Manager"/>
    <x v="4"/>
    <s v="2018-10-03"/>
    <n v="7"/>
    <n v="34178"/>
    <n v="3.7"/>
    <n v="83.8"/>
    <n v="12"/>
    <n v="31"/>
    <n v="11641"/>
    <s v="Ramesh"/>
    <x v="0"/>
    <x v="0"/>
    <x v="1"/>
    <x v="2"/>
  </r>
  <r>
    <n v="1398"/>
    <s v="Kiran"/>
    <x v="0"/>
    <n v="23"/>
    <x v="1"/>
    <s v="Accountant"/>
    <x v="0"/>
    <s v="2021-06-07"/>
    <n v="6"/>
    <n v="34463"/>
    <n v="2.8"/>
    <n v="93.9"/>
    <n v="6"/>
    <n v="27"/>
    <n v="9550"/>
    <s v="Anitha"/>
    <x v="0"/>
    <x v="1"/>
    <x v="1"/>
    <x v="2"/>
  </r>
  <r>
    <n v="1399"/>
    <s v="Keerthi"/>
    <x v="0"/>
    <n v="28"/>
    <x v="3"/>
    <s v="HR Executive"/>
    <x v="5"/>
    <s v="2018-03-04"/>
    <n v="0"/>
    <n v="36132"/>
    <n v="4.9000000000000004"/>
    <n v="96.8"/>
    <n v="10"/>
    <n v="41"/>
    <n v="12755"/>
    <s v="Ramesh"/>
    <x v="0"/>
    <x v="3"/>
    <x v="1"/>
    <x v="0"/>
  </r>
  <r>
    <n v="1400"/>
    <s v="Nikhil"/>
    <x v="0"/>
    <n v="26"/>
    <x v="1"/>
    <s v="Financial Analyst"/>
    <x v="2"/>
    <s v="2024-01-18"/>
    <n v="3"/>
    <n v="28825"/>
    <n v="3"/>
    <n v="99.9"/>
    <n v="22"/>
    <n v="55"/>
    <n v="4591"/>
    <s v="Ramesh"/>
    <x v="0"/>
    <x v="0"/>
    <x v="1"/>
    <x v="1"/>
  </r>
  <r>
    <n v="1401"/>
    <s v="Priya"/>
    <x v="1"/>
    <n v="43"/>
    <x v="3"/>
    <s v="HR Manager"/>
    <x v="0"/>
    <s v="2018-04-15"/>
    <n v="2"/>
    <n v="37653"/>
    <n v="4.0999999999999996"/>
    <n v="82.7"/>
    <n v="21"/>
    <n v="19"/>
    <n v="5766"/>
    <s v="Anitha"/>
    <x v="1"/>
    <x v="2"/>
    <x v="1"/>
    <x v="0"/>
  </r>
  <r>
    <n v="1402"/>
    <s v="Ravi"/>
    <x v="0"/>
    <n v="36"/>
    <x v="3"/>
    <s v="HR Manager"/>
    <x v="2"/>
    <s v="2024-11-24"/>
    <n v="6"/>
    <n v="84503"/>
    <n v="4.0999999999999996"/>
    <n v="87.9"/>
    <n v="18"/>
    <n v="16"/>
    <n v="4692"/>
    <s v="Kavya"/>
    <x v="0"/>
    <x v="2"/>
    <x v="0"/>
    <x v="2"/>
  </r>
  <r>
    <n v="1403"/>
    <s v="Sonia"/>
    <x v="0"/>
    <n v="34"/>
    <x v="3"/>
    <s v="HR Manager"/>
    <x v="3"/>
    <s v="2019-04-24"/>
    <n v="4"/>
    <n v="60007"/>
    <n v="2.7"/>
    <n v="85.7"/>
    <n v="2"/>
    <n v="21"/>
    <n v="3715"/>
    <s v="Suresh"/>
    <x v="1"/>
    <x v="1"/>
    <x v="2"/>
    <x v="1"/>
  </r>
  <r>
    <n v="1404"/>
    <s v="Pooja"/>
    <x v="0"/>
    <n v="40"/>
    <x v="3"/>
    <s v="HR Executive"/>
    <x v="4"/>
    <s v="2021-03-31"/>
    <n v="3"/>
    <n v="87643"/>
    <n v="3.2"/>
    <n v="88.8"/>
    <n v="15"/>
    <n v="15"/>
    <n v="7428"/>
    <s v="Suresh"/>
    <x v="1"/>
    <x v="0"/>
    <x v="0"/>
    <x v="1"/>
  </r>
  <r>
    <n v="1405"/>
    <s v="Sneha"/>
    <x v="1"/>
    <n v="26"/>
    <x v="3"/>
    <s v="HR Executive"/>
    <x v="0"/>
    <s v="2018-05-09"/>
    <n v="9"/>
    <n v="35868"/>
    <n v="4.2"/>
    <n v="87.4"/>
    <n v="5"/>
    <n v="39"/>
    <n v="14665"/>
    <s v="Amit"/>
    <x v="1"/>
    <x v="2"/>
    <x v="1"/>
    <x v="2"/>
  </r>
  <r>
    <n v="1406"/>
    <s v="Nikhil"/>
    <x v="0"/>
    <n v="26"/>
    <x v="3"/>
    <s v="HR Executive"/>
    <x v="3"/>
    <s v="2021-02-05"/>
    <n v="6"/>
    <n v="90577"/>
    <n v="3.9"/>
    <n v="86.7"/>
    <n v="13"/>
    <n v="53"/>
    <n v="4854"/>
    <s v="Kavya"/>
    <x v="0"/>
    <x v="0"/>
    <x v="0"/>
    <x v="2"/>
  </r>
  <r>
    <n v="1407"/>
    <s v="Ravi"/>
    <x v="0"/>
    <n v="43"/>
    <x v="1"/>
    <s v="Accountant"/>
    <x v="4"/>
    <s v="2019-04-30"/>
    <n v="7"/>
    <n v="47387"/>
    <n v="2.6"/>
    <n v="95.1"/>
    <n v="15"/>
    <n v="24"/>
    <n v="5599"/>
    <s v="Suresh"/>
    <x v="1"/>
    <x v="1"/>
    <x v="1"/>
    <x v="2"/>
  </r>
  <r>
    <n v="1408"/>
    <s v="Deepa"/>
    <x v="0"/>
    <n v="41"/>
    <x v="2"/>
    <s v="Software Engineer"/>
    <x v="4"/>
    <s v="2024-07-22"/>
    <n v="1"/>
    <n v="58345"/>
    <n v="4.8"/>
    <n v="94"/>
    <n v="2"/>
    <n v="46"/>
    <n v="5331"/>
    <s v="Amit"/>
    <x v="1"/>
    <x v="3"/>
    <x v="2"/>
    <x v="0"/>
  </r>
  <r>
    <n v="1409"/>
    <s v="Rahul"/>
    <x v="0"/>
    <n v="38"/>
    <x v="4"/>
    <s v="Marketing Executive"/>
    <x v="2"/>
    <s v="2022-10-25"/>
    <n v="7"/>
    <n v="63231"/>
    <n v="4"/>
    <n v="87.8"/>
    <n v="18"/>
    <n v="20"/>
    <n v="8273"/>
    <s v="Anitha"/>
    <x v="0"/>
    <x v="2"/>
    <x v="2"/>
    <x v="2"/>
  </r>
  <r>
    <n v="1410"/>
    <s v="Sai"/>
    <x v="0"/>
    <n v="24"/>
    <x v="0"/>
    <s v="Sales Executive"/>
    <x v="4"/>
    <s v="2022-12-05"/>
    <n v="0"/>
    <n v="76972"/>
    <n v="3.6"/>
    <n v="96.4"/>
    <n v="17"/>
    <n v="28"/>
    <n v="13530"/>
    <s v="Amit"/>
    <x v="1"/>
    <x v="0"/>
    <x v="0"/>
    <x v="0"/>
  </r>
  <r>
    <n v="1411"/>
    <s v="Rahul"/>
    <x v="0"/>
    <n v="42"/>
    <x v="1"/>
    <s v="Financial Analyst"/>
    <x v="4"/>
    <s v="2020-02-15"/>
    <n v="10"/>
    <n v="27569"/>
    <n v="4.9000000000000004"/>
    <n v="86.8"/>
    <n v="12"/>
    <n v="8"/>
    <n v="14909"/>
    <s v="Amit"/>
    <x v="0"/>
    <x v="3"/>
    <x v="1"/>
    <x v="2"/>
  </r>
  <r>
    <n v="1412"/>
    <s v="Deepa"/>
    <x v="1"/>
    <n v="34"/>
    <x v="3"/>
    <s v="HR Manager"/>
    <x v="0"/>
    <s v="2019-04-12"/>
    <n v="10"/>
    <n v="50894"/>
    <n v="3.6"/>
    <n v="82.5"/>
    <n v="20"/>
    <n v="12"/>
    <n v="10160"/>
    <s v="Anitha"/>
    <x v="0"/>
    <x v="0"/>
    <x v="2"/>
    <x v="2"/>
  </r>
  <r>
    <n v="1413"/>
    <s v="Sai"/>
    <x v="1"/>
    <n v="28"/>
    <x v="2"/>
    <s v="Software Engineer"/>
    <x v="1"/>
    <s v="2022-02-12"/>
    <n v="5"/>
    <n v="33454"/>
    <n v="4.2"/>
    <n v="85.2"/>
    <n v="5"/>
    <n v="6"/>
    <n v="11613"/>
    <s v="Kavya"/>
    <x v="1"/>
    <x v="2"/>
    <x v="1"/>
    <x v="1"/>
  </r>
  <r>
    <n v="1414"/>
    <s v="Pooja"/>
    <x v="0"/>
    <n v="25"/>
    <x v="2"/>
    <s v="Senior Developer"/>
    <x v="1"/>
    <s v="2024-08-29"/>
    <n v="9"/>
    <n v="49909"/>
    <n v="4.4000000000000004"/>
    <n v="89.4"/>
    <n v="3"/>
    <n v="45"/>
    <n v="8048"/>
    <s v="Ramesh"/>
    <x v="0"/>
    <x v="2"/>
    <x v="1"/>
    <x v="2"/>
  </r>
  <r>
    <n v="1415"/>
    <s v="Sneha"/>
    <x v="0"/>
    <n v="22"/>
    <x v="0"/>
    <s v="Sales Manager"/>
    <x v="4"/>
    <s v="2024-08-06"/>
    <n v="9"/>
    <n v="66586"/>
    <n v="3.8"/>
    <n v="96.5"/>
    <n v="21"/>
    <n v="5"/>
    <n v="5465"/>
    <s v="Anitha"/>
    <x v="1"/>
    <x v="0"/>
    <x v="2"/>
    <x v="2"/>
  </r>
  <r>
    <n v="1416"/>
    <s v="Manoj"/>
    <x v="1"/>
    <n v="39"/>
    <x v="1"/>
    <s v="Accountant"/>
    <x v="3"/>
    <s v="2019-10-14"/>
    <n v="7"/>
    <n v="86122"/>
    <n v="4.8"/>
    <n v="88.1"/>
    <n v="21"/>
    <n v="49"/>
    <n v="6262"/>
    <s v="Anitha"/>
    <x v="0"/>
    <x v="3"/>
    <x v="0"/>
    <x v="2"/>
  </r>
  <r>
    <n v="1417"/>
    <s v="Ajay"/>
    <x v="1"/>
    <n v="34"/>
    <x v="2"/>
    <s v="Software Engineer"/>
    <x v="3"/>
    <s v="2021-06-20"/>
    <n v="2"/>
    <n v="90006"/>
    <n v="3.8"/>
    <n v="88.5"/>
    <n v="6"/>
    <n v="27"/>
    <n v="3275"/>
    <s v="Anitha"/>
    <x v="1"/>
    <x v="0"/>
    <x v="0"/>
    <x v="0"/>
  </r>
  <r>
    <n v="1418"/>
    <s v="Ajay"/>
    <x v="1"/>
    <n v="27"/>
    <x v="0"/>
    <s v="Sales Manager"/>
    <x v="2"/>
    <s v="2024-08-02"/>
    <n v="8"/>
    <n v="39225"/>
    <n v="2.5"/>
    <n v="90.3"/>
    <n v="8"/>
    <n v="16"/>
    <n v="1469"/>
    <s v="Amit"/>
    <x v="0"/>
    <x v="1"/>
    <x v="1"/>
    <x v="2"/>
  </r>
  <r>
    <n v="1419"/>
    <s v="Divya"/>
    <x v="0"/>
    <n v="28"/>
    <x v="3"/>
    <s v="HR Manager"/>
    <x v="3"/>
    <s v="2023-08-08"/>
    <n v="0"/>
    <n v="86245"/>
    <n v="3.4"/>
    <n v="97.1"/>
    <n v="8"/>
    <n v="55"/>
    <n v="13138"/>
    <s v="Suresh"/>
    <x v="0"/>
    <x v="0"/>
    <x v="0"/>
    <x v="0"/>
  </r>
  <r>
    <n v="1420"/>
    <s v="Sai"/>
    <x v="1"/>
    <n v="39"/>
    <x v="0"/>
    <s v="Sales Manager"/>
    <x v="3"/>
    <s v="2024-09-23"/>
    <n v="1"/>
    <n v="89981"/>
    <n v="4.2"/>
    <n v="85.5"/>
    <n v="15"/>
    <n v="44"/>
    <n v="6075"/>
    <s v="Kavya"/>
    <x v="0"/>
    <x v="2"/>
    <x v="0"/>
    <x v="0"/>
  </r>
  <r>
    <n v="1421"/>
    <s v="Anu"/>
    <x v="1"/>
    <n v="37"/>
    <x v="3"/>
    <s v="HR Manager"/>
    <x v="0"/>
    <s v="2025-03-12"/>
    <n v="6"/>
    <n v="37574"/>
    <n v="3.3"/>
    <n v="87.9"/>
    <n v="22"/>
    <n v="29"/>
    <n v="3753"/>
    <s v="Anitha"/>
    <x v="1"/>
    <x v="0"/>
    <x v="1"/>
    <x v="2"/>
  </r>
  <r>
    <n v="1422"/>
    <s v="Sneha"/>
    <x v="0"/>
    <n v="42"/>
    <x v="2"/>
    <s v="Senior Developer"/>
    <x v="2"/>
    <s v="2024-10-14"/>
    <n v="10"/>
    <n v="69366"/>
    <n v="3.3"/>
    <n v="93.2"/>
    <n v="2"/>
    <n v="21"/>
    <n v="11381"/>
    <s v="Suresh"/>
    <x v="1"/>
    <x v="0"/>
    <x v="2"/>
    <x v="2"/>
  </r>
  <r>
    <n v="1423"/>
    <s v="Deepa"/>
    <x v="1"/>
    <n v="34"/>
    <x v="1"/>
    <s v="Financial Analyst"/>
    <x v="0"/>
    <s v="2018-03-30"/>
    <n v="2"/>
    <n v="62621"/>
    <n v="4.0999999999999996"/>
    <n v="91.1"/>
    <n v="18"/>
    <n v="32"/>
    <n v="12274"/>
    <s v="Anitha"/>
    <x v="0"/>
    <x v="2"/>
    <x v="2"/>
    <x v="0"/>
  </r>
  <r>
    <n v="1424"/>
    <s v="Priya"/>
    <x v="0"/>
    <n v="42"/>
    <x v="3"/>
    <s v="HR Manager"/>
    <x v="2"/>
    <s v="2020-01-25"/>
    <n v="0"/>
    <n v="29712"/>
    <n v="4.3"/>
    <n v="97.5"/>
    <n v="5"/>
    <n v="39"/>
    <n v="8478"/>
    <s v="Suresh"/>
    <x v="1"/>
    <x v="2"/>
    <x v="1"/>
    <x v="0"/>
  </r>
  <r>
    <n v="1425"/>
    <s v="Vijay"/>
    <x v="1"/>
    <n v="40"/>
    <x v="1"/>
    <s v="Financial Analyst"/>
    <x v="0"/>
    <s v="2024-09-01"/>
    <n v="5"/>
    <n v="87597"/>
    <n v="3.7"/>
    <n v="93.3"/>
    <n v="17"/>
    <n v="14"/>
    <n v="8239"/>
    <s v="Anitha"/>
    <x v="1"/>
    <x v="0"/>
    <x v="0"/>
    <x v="1"/>
  </r>
  <r>
    <n v="1426"/>
    <s v="Meena"/>
    <x v="1"/>
    <n v="33"/>
    <x v="3"/>
    <s v="HR Executive"/>
    <x v="1"/>
    <s v="2021-10-18"/>
    <n v="4"/>
    <n v="89149"/>
    <n v="4.5999999999999996"/>
    <n v="88.7"/>
    <n v="25"/>
    <n v="56"/>
    <n v="9860"/>
    <s v="Anitha"/>
    <x v="0"/>
    <x v="3"/>
    <x v="0"/>
    <x v="1"/>
  </r>
  <r>
    <n v="1427"/>
    <s v="Divya"/>
    <x v="1"/>
    <n v="32"/>
    <x v="4"/>
    <s v="Marketing Executive"/>
    <x v="4"/>
    <s v="2021-10-10"/>
    <n v="5"/>
    <n v="67808"/>
    <n v="3.5"/>
    <n v="87.1"/>
    <n v="20"/>
    <n v="38"/>
    <n v="2392"/>
    <s v="Suresh"/>
    <x v="1"/>
    <x v="0"/>
    <x v="2"/>
    <x v="1"/>
  </r>
  <r>
    <n v="1428"/>
    <s v="Arjun"/>
    <x v="1"/>
    <n v="42"/>
    <x v="0"/>
    <s v="Sales Manager"/>
    <x v="3"/>
    <s v="2018-10-10"/>
    <n v="7"/>
    <n v="69547"/>
    <n v="4"/>
    <n v="82.6"/>
    <n v="7"/>
    <n v="53"/>
    <n v="14965"/>
    <s v="Amit"/>
    <x v="1"/>
    <x v="2"/>
    <x v="2"/>
    <x v="2"/>
  </r>
  <r>
    <n v="1429"/>
    <s v="Vijay"/>
    <x v="0"/>
    <n v="35"/>
    <x v="4"/>
    <s v="SEO Analyst"/>
    <x v="3"/>
    <s v="2019-10-22"/>
    <n v="3"/>
    <n v="80912"/>
    <n v="4"/>
    <n v="87.7"/>
    <n v="22"/>
    <n v="37"/>
    <n v="1502"/>
    <s v="Anitha"/>
    <x v="1"/>
    <x v="2"/>
    <x v="0"/>
    <x v="1"/>
  </r>
  <r>
    <n v="1430"/>
    <s v="Sai"/>
    <x v="0"/>
    <n v="35"/>
    <x v="1"/>
    <s v="Accountant"/>
    <x v="2"/>
    <s v="2021-05-12"/>
    <n v="8"/>
    <n v="32958"/>
    <n v="4.3"/>
    <n v="93.6"/>
    <n v="6"/>
    <n v="53"/>
    <n v="14166"/>
    <s v="Suresh"/>
    <x v="0"/>
    <x v="2"/>
    <x v="1"/>
    <x v="2"/>
  </r>
  <r>
    <n v="1431"/>
    <s v="Sonia"/>
    <x v="1"/>
    <n v="27"/>
    <x v="3"/>
    <s v="HR Executive"/>
    <x v="3"/>
    <s v="2021-10-05"/>
    <n v="2"/>
    <n v="28666"/>
    <n v="4"/>
    <n v="88.3"/>
    <n v="1"/>
    <n v="34"/>
    <n v="7713"/>
    <s v="Anitha"/>
    <x v="0"/>
    <x v="2"/>
    <x v="1"/>
    <x v="0"/>
  </r>
  <r>
    <n v="1432"/>
    <s v="Sai"/>
    <x v="0"/>
    <n v="32"/>
    <x v="3"/>
    <s v="HR Executive"/>
    <x v="1"/>
    <s v="2022-01-02"/>
    <n v="8"/>
    <n v="68212"/>
    <n v="2.8"/>
    <n v="84.2"/>
    <n v="4"/>
    <n v="17"/>
    <n v="11223"/>
    <s v="Anitha"/>
    <x v="0"/>
    <x v="1"/>
    <x v="2"/>
    <x v="2"/>
  </r>
  <r>
    <n v="1433"/>
    <s v="Ajay"/>
    <x v="0"/>
    <n v="42"/>
    <x v="0"/>
    <s v="Sales Manager"/>
    <x v="2"/>
    <s v="2019-11-18"/>
    <n v="4"/>
    <n v="34101"/>
    <n v="4.5999999999999996"/>
    <n v="99.4"/>
    <n v="4"/>
    <n v="27"/>
    <n v="4666"/>
    <s v="Amit"/>
    <x v="1"/>
    <x v="3"/>
    <x v="1"/>
    <x v="1"/>
  </r>
  <r>
    <n v="1434"/>
    <s v="Divya"/>
    <x v="0"/>
    <n v="35"/>
    <x v="1"/>
    <s v="Financial Analyst"/>
    <x v="2"/>
    <s v="2020-09-13"/>
    <n v="7"/>
    <n v="92385"/>
    <n v="3.1"/>
    <n v="95"/>
    <n v="9"/>
    <n v="54"/>
    <n v="5268"/>
    <s v="Ramesh"/>
    <x v="0"/>
    <x v="0"/>
    <x v="0"/>
    <x v="2"/>
  </r>
  <r>
    <n v="1435"/>
    <s v="Sonia"/>
    <x v="1"/>
    <n v="41"/>
    <x v="2"/>
    <s v="Software Engineer"/>
    <x v="3"/>
    <s v="2023-09-04"/>
    <n v="9"/>
    <n v="63334"/>
    <n v="2.6"/>
    <n v="98.9"/>
    <n v="1"/>
    <n v="48"/>
    <n v="12082"/>
    <s v="Anitha"/>
    <x v="1"/>
    <x v="1"/>
    <x v="2"/>
    <x v="2"/>
  </r>
  <r>
    <n v="1436"/>
    <s v="Meena"/>
    <x v="0"/>
    <n v="38"/>
    <x v="0"/>
    <s v="Sales Executive"/>
    <x v="2"/>
    <s v="2018-09-17"/>
    <n v="7"/>
    <n v="58320"/>
    <n v="4.5"/>
    <n v="83.9"/>
    <n v="12"/>
    <n v="36"/>
    <n v="4577"/>
    <s v="Anitha"/>
    <x v="0"/>
    <x v="3"/>
    <x v="2"/>
    <x v="2"/>
  </r>
  <r>
    <n v="1437"/>
    <s v="Sneha"/>
    <x v="0"/>
    <n v="34"/>
    <x v="3"/>
    <s v="HR Manager"/>
    <x v="0"/>
    <s v="2018-04-22"/>
    <n v="7"/>
    <n v="61911"/>
    <n v="4.3"/>
    <n v="86.5"/>
    <n v="20"/>
    <n v="15"/>
    <n v="6569"/>
    <s v="Kavya"/>
    <x v="1"/>
    <x v="2"/>
    <x v="2"/>
    <x v="2"/>
  </r>
  <r>
    <n v="1438"/>
    <s v="Manoj"/>
    <x v="0"/>
    <n v="31"/>
    <x v="1"/>
    <s v="Accountant"/>
    <x v="4"/>
    <s v="2019-09-28"/>
    <n v="10"/>
    <n v="93613"/>
    <n v="3.8"/>
    <n v="87.4"/>
    <n v="3"/>
    <n v="16"/>
    <n v="9683"/>
    <s v="Suresh"/>
    <x v="0"/>
    <x v="0"/>
    <x v="0"/>
    <x v="2"/>
  </r>
  <r>
    <n v="1439"/>
    <s v="Deepa"/>
    <x v="0"/>
    <n v="37"/>
    <x v="4"/>
    <s v="Marketing Executive"/>
    <x v="1"/>
    <s v="2025-05-12"/>
    <n v="5"/>
    <n v="79725"/>
    <n v="2.9"/>
    <n v="90"/>
    <n v="1"/>
    <n v="36"/>
    <n v="13639"/>
    <s v="Anitha"/>
    <x v="1"/>
    <x v="1"/>
    <x v="0"/>
    <x v="1"/>
  </r>
  <r>
    <n v="1440"/>
    <s v="Priya"/>
    <x v="0"/>
    <n v="24"/>
    <x v="3"/>
    <s v="HR Manager"/>
    <x v="0"/>
    <s v="2019-01-21"/>
    <n v="4"/>
    <n v="89813"/>
    <n v="4.8"/>
    <n v="99.2"/>
    <n v="16"/>
    <n v="21"/>
    <n v="7138"/>
    <s v="Kavya"/>
    <x v="0"/>
    <x v="3"/>
    <x v="0"/>
    <x v="1"/>
  </r>
  <r>
    <n v="1441"/>
    <s v="Manoj"/>
    <x v="0"/>
    <n v="29"/>
    <x v="3"/>
    <s v="HR Manager"/>
    <x v="4"/>
    <s v="2025-03-29"/>
    <n v="5"/>
    <n v="79481"/>
    <n v="3.8"/>
    <n v="90.1"/>
    <n v="14"/>
    <n v="43"/>
    <n v="12307"/>
    <s v="Anitha"/>
    <x v="0"/>
    <x v="0"/>
    <x v="0"/>
    <x v="1"/>
  </r>
  <r>
    <n v="1442"/>
    <s v="Meena"/>
    <x v="1"/>
    <n v="35"/>
    <x v="4"/>
    <s v="SEO Analyst"/>
    <x v="3"/>
    <s v="2019-11-29"/>
    <n v="9"/>
    <n v="54408"/>
    <n v="3.1"/>
    <n v="87"/>
    <n v="4"/>
    <n v="38"/>
    <n v="6831"/>
    <s v="Ramesh"/>
    <x v="0"/>
    <x v="0"/>
    <x v="2"/>
    <x v="2"/>
  </r>
  <r>
    <n v="1443"/>
    <s v="Varun"/>
    <x v="1"/>
    <n v="28"/>
    <x v="4"/>
    <s v="SEO Analyst"/>
    <x v="0"/>
    <s v="2019-07-21"/>
    <n v="1"/>
    <n v="51135"/>
    <n v="3.5"/>
    <n v="89.3"/>
    <n v="16"/>
    <n v="17"/>
    <n v="7116"/>
    <s v="Ramesh"/>
    <x v="0"/>
    <x v="0"/>
    <x v="2"/>
    <x v="0"/>
  </r>
  <r>
    <n v="1444"/>
    <s v="Divya"/>
    <x v="0"/>
    <n v="31"/>
    <x v="4"/>
    <s v="SEO Analyst"/>
    <x v="2"/>
    <s v="2020-09-22"/>
    <n v="2"/>
    <n v="47521"/>
    <n v="3.7"/>
    <n v="90.7"/>
    <n v="17"/>
    <n v="33"/>
    <n v="14076"/>
    <s v="Ramesh"/>
    <x v="1"/>
    <x v="0"/>
    <x v="1"/>
    <x v="0"/>
  </r>
  <r>
    <n v="1445"/>
    <s v="Varun"/>
    <x v="1"/>
    <n v="25"/>
    <x v="4"/>
    <s v="Marketing Executive"/>
    <x v="2"/>
    <s v="2020-02-22"/>
    <n v="7"/>
    <n v="33989"/>
    <n v="3.7"/>
    <n v="92.8"/>
    <n v="18"/>
    <n v="21"/>
    <n v="1511"/>
    <s v="Suresh"/>
    <x v="1"/>
    <x v="0"/>
    <x v="1"/>
    <x v="2"/>
  </r>
  <r>
    <n v="1446"/>
    <s v="Harsha"/>
    <x v="0"/>
    <n v="39"/>
    <x v="4"/>
    <s v="Marketing Executive"/>
    <x v="0"/>
    <s v="2019-07-10"/>
    <n v="6"/>
    <n v="68781"/>
    <n v="3.8"/>
    <n v="94.3"/>
    <n v="24"/>
    <n v="5"/>
    <n v="11479"/>
    <s v="Suresh"/>
    <x v="0"/>
    <x v="0"/>
    <x v="2"/>
    <x v="2"/>
  </r>
  <r>
    <n v="1447"/>
    <s v="Divya"/>
    <x v="1"/>
    <n v="32"/>
    <x v="4"/>
    <s v="SEO Analyst"/>
    <x v="0"/>
    <s v="2019-10-03"/>
    <n v="9"/>
    <n v="25112"/>
    <n v="2.7"/>
    <n v="92"/>
    <n v="19"/>
    <n v="60"/>
    <n v="7853"/>
    <s v="Anitha"/>
    <x v="0"/>
    <x v="1"/>
    <x v="1"/>
    <x v="2"/>
  </r>
  <r>
    <n v="1448"/>
    <s v="Vijay"/>
    <x v="1"/>
    <n v="25"/>
    <x v="4"/>
    <s v="Marketing Executive"/>
    <x v="0"/>
    <s v="2018-10-11"/>
    <n v="0"/>
    <n v="84821"/>
    <n v="3.6"/>
    <n v="86.2"/>
    <n v="14"/>
    <n v="41"/>
    <n v="11118"/>
    <s v="Ramesh"/>
    <x v="0"/>
    <x v="0"/>
    <x v="0"/>
    <x v="0"/>
  </r>
  <r>
    <n v="1449"/>
    <s v="Varun"/>
    <x v="0"/>
    <n v="44"/>
    <x v="0"/>
    <s v="Sales Manager"/>
    <x v="3"/>
    <s v="2018-09-08"/>
    <n v="5"/>
    <m/>
    <n v="4.5"/>
    <n v="98.7"/>
    <n v="6"/>
    <n v="7"/>
    <n v="10031"/>
    <s v="Amit"/>
    <x v="0"/>
    <x v="3"/>
    <x v="2"/>
    <x v="1"/>
  </r>
  <r>
    <n v="1450"/>
    <s v="Anu"/>
    <x v="1"/>
    <n v="44"/>
    <x v="3"/>
    <s v="HR Executive"/>
    <x v="2"/>
    <s v="2023-12-14"/>
    <n v="1"/>
    <n v="92315"/>
    <n v="3.3"/>
    <n v="94.1"/>
    <n v="18"/>
    <n v="21"/>
    <n v="14665"/>
    <s v="Ramesh"/>
    <x v="1"/>
    <x v="0"/>
    <x v="0"/>
    <x v="0"/>
  </r>
  <r>
    <n v="1451"/>
    <s v="Harsha"/>
    <x v="1"/>
    <n v="34"/>
    <x v="2"/>
    <s v="Software Engineer"/>
    <x v="2"/>
    <s v="2024-09-29"/>
    <n v="3"/>
    <n v="74441"/>
    <n v="4"/>
    <n v="89.7"/>
    <n v="12"/>
    <n v="37"/>
    <n v="2761"/>
    <s v="Ramesh"/>
    <x v="1"/>
    <x v="2"/>
    <x v="0"/>
    <x v="1"/>
  </r>
  <r>
    <n v="1452"/>
    <s v="Keerthi"/>
    <x v="0"/>
    <n v="22"/>
    <x v="1"/>
    <s v="Accountant"/>
    <x v="2"/>
    <s v="2024-09-29"/>
    <n v="7"/>
    <n v="76387"/>
    <n v="4.9000000000000004"/>
    <n v="91.9"/>
    <n v="0"/>
    <n v="10"/>
    <n v="4836"/>
    <s v="Kavya"/>
    <x v="0"/>
    <x v="3"/>
    <x v="0"/>
    <x v="2"/>
  </r>
  <r>
    <n v="1453"/>
    <s v="Varun"/>
    <x v="1"/>
    <n v="28"/>
    <x v="4"/>
    <s v="Marketing Executive"/>
    <x v="0"/>
    <s v="2018-12-17"/>
    <n v="2"/>
    <n v="63691"/>
    <n v="2.5"/>
    <n v="95.7"/>
    <n v="8"/>
    <n v="8"/>
    <n v="12569"/>
    <s v="Kavya"/>
    <x v="0"/>
    <x v="1"/>
    <x v="2"/>
    <x v="0"/>
  </r>
  <r>
    <n v="1454"/>
    <s v="Divya"/>
    <x v="1"/>
    <n v="32"/>
    <x v="0"/>
    <s v="Sales Executive"/>
    <x v="4"/>
    <s v="2018-12-20"/>
    <n v="4"/>
    <n v="82667"/>
    <n v="4.0999999999999996"/>
    <n v="88.8"/>
    <n v="16"/>
    <n v="19"/>
    <n v="10435"/>
    <s v="Ramesh"/>
    <x v="1"/>
    <x v="2"/>
    <x v="0"/>
    <x v="1"/>
  </r>
  <r>
    <n v="1455"/>
    <s v="Divya"/>
    <x v="1"/>
    <n v="45"/>
    <x v="3"/>
    <s v="HR Manager"/>
    <x v="0"/>
    <s v="2018-01-12"/>
    <n v="6"/>
    <n v="83154"/>
    <n v="4.5"/>
    <n v="91.9"/>
    <n v="11"/>
    <n v="47"/>
    <n v="14073"/>
    <s v="Amit"/>
    <x v="1"/>
    <x v="3"/>
    <x v="0"/>
    <x v="2"/>
  </r>
  <r>
    <n v="1456"/>
    <s v="Anu"/>
    <x v="0"/>
    <n v="23"/>
    <x v="1"/>
    <s v="Financial Analyst"/>
    <x v="0"/>
    <s v="2019-02-24"/>
    <n v="10"/>
    <n v="79822"/>
    <n v="4.9000000000000004"/>
    <n v="90.9"/>
    <n v="6"/>
    <n v="45"/>
    <n v="6612"/>
    <s v="Amit"/>
    <x v="0"/>
    <x v="3"/>
    <x v="0"/>
    <x v="2"/>
  </r>
  <r>
    <n v="1457"/>
    <s v="Divya"/>
    <x v="1"/>
    <n v="41"/>
    <x v="4"/>
    <s v="SEO Analyst"/>
    <x v="3"/>
    <s v="2021-04-18"/>
    <n v="4"/>
    <n v="68029"/>
    <n v="3.1"/>
    <n v="87.6"/>
    <n v="2"/>
    <n v="56"/>
    <n v="2060"/>
    <s v="Amit"/>
    <x v="0"/>
    <x v="0"/>
    <x v="2"/>
    <x v="1"/>
  </r>
  <r>
    <n v="1458"/>
    <s v="Keerthi"/>
    <x v="1"/>
    <n v="38"/>
    <x v="1"/>
    <s v="Financial Analyst"/>
    <x v="1"/>
    <s v="2023-06-21"/>
    <n v="4"/>
    <n v="60725"/>
    <n v="4.0999999999999996"/>
    <n v="85.2"/>
    <n v="12"/>
    <n v="56"/>
    <n v="14032"/>
    <s v="Ramesh"/>
    <x v="0"/>
    <x v="2"/>
    <x v="2"/>
    <x v="1"/>
  </r>
  <r>
    <n v="1459"/>
    <s v="Manoj"/>
    <x v="1"/>
    <n v="45"/>
    <x v="4"/>
    <s v="Marketing Executive"/>
    <x v="2"/>
    <s v="2018-07-14"/>
    <n v="2"/>
    <n v="72911"/>
    <n v="3.2"/>
    <n v="95.1"/>
    <n v="21"/>
    <n v="13"/>
    <n v="9641"/>
    <s v="Kavya"/>
    <x v="1"/>
    <x v="0"/>
    <x v="0"/>
    <x v="0"/>
  </r>
  <r>
    <n v="1460"/>
    <s v="Rahul"/>
    <x v="1"/>
    <n v="34"/>
    <x v="3"/>
    <s v="HR Manager"/>
    <x v="1"/>
    <s v="2020-10-08"/>
    <n v="7"/>
    <n v="35479"/>
    <n v="4.9000000000000004"/>
    <n v="98.1"/>
    <n v="7"/>
    <n v="27"/>
    <n v="2902"/>
    <s v="Ramesh"/>
    <x v="0"/>
    <x v="3"/>
    <x v="1"/>
    <x v="2"/>
  </r>
  <r>
    <n v="1461"/>
    <s v="Ravi"/>
    <x v="1"/>
    <n v="39"/>
    <x v="1"/>
    <s v="Financial Analyst"/>
    <x v="0"/>
    <s v="2023-09-11"/>
    <n v="5"/>
    <n v="92690"/>
    <n v="4.8"/>
    <n v="95.9"/>
    <n v="23"/>
    <n v="36"/>
    <n v="3645"/>
    <s v="Ramesh"/>
    <x v="0"/>
    <x v="3"/>
    <x v="0"/>
    <x v="1"/>
  </r>
  <r>
    <n v="1462"/>
    <s v="Ravi"/>
    <x v="0"/>
    <n v="43"/>
    <x v="3"/>
    <s v="HR Executive"/>
    <x v="2"/>
    <s v="2024-07-24"/>
    <n v="9"/>
    <n v="32520"/>
    <n v="4.4000000000000004"/>
    <n v="95.4"/>
    <n v="20"/>
    <n v="35"/>
    <n v="9641"/>
    <s v="Amit"/>
    <x v="1"/>
    <x v="2"/>
    <x v="1"/>
    <x v="2"/>
  </r>
  <r>
    <n v="1463"/>
    <s v="Keerthi"/>
    <x v="0"/>
    <n v="31"/>
    <x v="4"/>
    <s v="SEO Analyst"/>
    <x v="2"/>
    <s v="2019-05-17"/>
    <n v="5"/>
    <n v="44539"/>
    <n v="2.6"/>
    <n v="87.2"/>
    <n v="8"/>
    <n v="58"/>
    <n v="3641"/>
    <s v="Anitha"/>
    <x v="1"/>
    <x v="1"/>
    <x v="1"/>
    <x v="1"/>
  </r>
  <r>
    <n v="1464"/>
    <s v="Sonia"/>
    <x v="0"/>
    <n v="37"/>
    <x v="0"/>
    <s v="Sales Manager"/>
    <x v="1"/>
    <s v="2024-05-19"/>
    <n v="3"/>
    <n v="84073"/>
    <n v="2.8"/>
    <n v="96.8"/>
    <n v="9"/>
    <n v="18"/>
    <n v="3247"/>
    <s v="Amit"/>
    <x v="0"/>
    <x v="1"/>
    <x v="0"/>
    <x v="1"/>
  </r>
  <r>
    <n v="1465"/>
    <s v="Harsha"/>
    <x v="0"/>
    <n v="42"/>
    <x v="2"/>
    <s v="Senior Developer"/>
    <x v="1"/>
    <s v="2018-11-12"/>
    <n v="0"/>
    <n v="65843"/>
    <n v="3.6"/>
    <n v="100"/>
    <n v="2"/>
    <n v="6"/>
    <n v="6611"/>
    <s v="Ramesh"/>
    <x v="0"/>
    <x v="0"/>
    <x v="2"/>
    <x v="0"/>
  </r>
  <r>
    <n v="1466"/>
    <s v="Sonia"/>
    <x v="0"/>
    <n v="26"/>
    <x v="1"/>
    <s v="Accountant"/>
    <x v="3"/>
    <s v="2022-03-27"/>
    <n v="4"/>
    <n v="75531"/>
    <n v="4.5999999999999996"/>
    <n v="84.5"/>
    <n v="8"/>
    <n v="53"/>
    <n v="12358"/>
    <s v="Amit"/>
    <x v="0"/>
    <x v="3"/>
    <x v="0"/>
    <x v="1"/>
  </r>
  <r>
    <n v="1467"/>
    <s v="Divya"/>
    <x v="1"/>
    <n v="40"/>
    <x v="0"/>
    <s v="Sales Manager"/>
    <x v="2"/>
    <s v="2022-01-15"/>
    <n v="0"/>
    <n v="62270"/>
    <n v="4.7"/>
    <n v="86.9"/>
    <n v="0"/>
    <n v="49"/>
    <n v="6422"/>
    <s v="Anitha"/>
    <x v="0"/>
    <x v="3"/>
    <x v="2"/>
    <x v="0"/>
  </r>
  <r>
    <n v="1468"/>
    <s v="Anu"/>
    <x v="0"/>
    <n v="27"/>
    <x v="3"/>
    <s v="HR Executive"/>
    <x v="1"/>
    <s v="2022-10-31"/>
    <n v="6"/>
    <n v="87225"/>
    <n v="2.8"/>
    <n v="91.6"/>
    <n v="7"/>
    <n v="15"/>
    <n v="14524"/>
    <s v="Suresh"/>
    <x v="0"/>
    <x v="1"/>
    <x v="0"/>
    <x v="2"/>
  </r>
  <r>
    <n v="1469"/>
    <s v="Harsha"/>
    <x v="1"/>
    <n v="41"/>
    <x v="2"/>
    <s v="Software Engineer"/>
    <x v="4"/>
    <s v="2024-11-18"/>
    <n v="10"/>
    <n v="49949"/>
    <n v="3.3"/>
    <n v="83.8"/>
    <n v="23"/>
    <n v="56"/>
    <n v="3774"/>
    <s v="Amit"/>
    <x v="0"/>
    <x v="0"/>
    <x v="1"/>
    <x v="2"/>
  </r>
  <r>
    <n v="1470"/>
    <s v="Deepa"/>
    <x v="1"/>
    <n v="42"/>
    <x v="0"/>
    <s v="Sales Executive"/>
    <x v="3"/>
    <s v="2020-04-16"/>
    <n v="0"/>
    <n v="75869"/>
    <n v="4.8"/>
    <n v="94.1"/>
    <n v="12"/>
    <n v="5"/>
    <n v="6347"/>
    <s v="Ramesh"/>
    <x v="0"/>
    <x v="3"/>
    <x v="0"/>
    <x v="0"/>
  </r>
  <r>
    <n v="1471"/>
    <s v="Anu"/>
    <x v="0"/>
    <n v="35"/>
    <x v="3"/>
    <s v="HR Manager"/>
    <x v="3"/>
    <s v="2023-04-15"/>
    <n v="0"/>
    <n v="71780"/>
    <n v="4.5"/>
    <n v="85"/>
    <n v="19"/>
    <n v="50"/>
    <n v="9992"/>
    <s v="Anitha"/>
    <x v="0"/>
    <x v="3"/>
    <x v="0"/>
    <x v="0"/>
  </r>
  <r>
    <n v="1472"/>
    <s v="Nikhil"/>
    <x v="1"/>
    <n v="33"/>
    <x v="4"/>
    <s v="Marketing Executive"/>
    <x v="1"/>
    <s v="2020-12-10"/>
    <n v="0"/>
    <n v="59267"/>
    <n v="3.9"/>
    <n v="89.8"/>
    <n v="3"/>
    <n v="29"/>
    <n v="3288"/>
    <s v="Anitha"/>
    <x v="0"/>
    <x v="0"/>
    <x v="2"/>
    <x v="0"/>
  </r>
  <r>
    <n v="1473"/>
    <s v="Divya"/>
    <x v="0"/>
    <n v="25"/>
    <x v="2"/>
    <s v="Senior Developer"/>
    <x v="3"/>
    <s v="2021-05-17"/>
    <n v="4"/>
    <n v="25397"/>
    <n v="2.6"/>
    <n v="89.4"/>
    <n v="11"/>
    <n v="5"/>
    <n v="4981"/>
    <s v="Kavya"/>
    <x v="0"/>
    <x v="1"/>
    <x v="1"/>
    <x v="1"/>
  </r>
  <r>
    <n v="1474"/>
    <s v="Arjun"/>
    <x v="1"/>
    <n v="39"/>
    <x v="2"/>
    <s v="Data Analyst"/>
    <x v="2"/>
    <s v="2021-09-14"/>
    <n v="9"/>
    <n v="66469"/>
    <n v="4.9000000000000004"/>
    <n v="84.5"/>
    <n v="10"/>
    <n v="20"/>
    <n v="5446"/>
    <s v="Ramesh"/>
    <x v="0"/>
    <x v="3"/>
    <x v="2"/>
    <x v="2"/>
  </r>
  <r>
    <n v="1475"/>
    <s v="Pooja"/>
    <x v="1"/>
    <n v="44"/>
    <x v="4"/>
    <s v="SEO Analyst"/>
    <x v="3"/>
    <s v="2018-08-21"/>
    <n v="8"/>
    <n v="58863"/>
    <n v="2.9"/>
    <n v="82.3"/>
    <n v="8"/>
    <n v="7"/>
    <n v="9080"/>
    <s v="Kavya"/>
    <x v="1"/>
    <x v="1"/>
    <x v="2"/>
    <x v="2"/>
  </r>
  <r>
    <n v="1476"/>
    <s v="Ravi"/>
    <x v="1"/>
    <n v="41"/>
    <x v="1"/>
    <s v="Financial Analyst"/>
    <x v="1"/>
    <s v="2019-03-16"/>
    <n v="5"/>
    <n v="41925"/>
    <n v="4.9000000000000004"/>
    <n v="84.9"/>
    <n v="6"/>
    <n v="55"/>
    <n v="6984"/>
    <s v="Kavya"/>
    <x v="1"/>
    <x v="3"/>
    <x v="1"/>
    <x v="1"/>
  </r>
  <r>
    <n v="1477"/>
    <s v="Varun"/>
    <x v="1"/>
    <n v="44"/>
    <x v="4"/>
    <s v="Marketing Executive"/>
    <x v="0"/>
    <s v="2020-02-17"/>
    <n v="1"/>
    <n v="81628"/>
    <n v="3.2"/>
    <n v="94.3"/>
    <n v="3"/>
    <n v="55"/>
    <n v="9544"/>
    <s v="Amit"/>
    <x v="0"/>
    <x v="0"/>
    <x v="0"/>
    <x v="0"/>
  </r>
  <r>
    <n v="1478"/>
    <s v="Sai"/>
    <x v="1"/>
    <n v="37"/>
    <x v="3"/>
    <s v="HR Manager"/>
    <x v="3"/>
    <s v="2023-10-07"/>
    <n v="0"/>
    <n v="37555"/>
    <n v="2.8"/>
    <n v="84.2"/>
    <n v="1"/>
    <n v="34"/>
    <n v="6235"/>
    <s v="Suresh"/>
    <x v="0"/>
    <x v="1"/>
    <x v="1"/>
    <x v="0"/>
  </r>
  <r>
    <n v="1479"/>
    <s v="Anu"/>
    <x v="0"/>
    <n v="27"/>
    <x v="1"/>
    <s v="Accountant"/>
    <x v="3"/>
    <s v="2019-05-20"/>
    <n v="7"/>
    <n v="40757"/>
    <n v="2.6"/>
    <n v="95.4"/>
    <n v="16"/>
    <n v="36"/>
    <n v="12682"/>
    <s v="Ramesh"/>
    <x v="1"/>
    <x v="1"/>
    <x v="1"/>
    <x v="2"/>
  </r>
  <r>
    <n v="1480"/>
    <s v="Sneha"/>
    <x v="0"/>
    <n v="34"/>
    <x v="4"/>
    <s v="Marketing Executive"/>
    <x v="2"/>
    <s v="2021-09-23"/>
    <n v="8"/>
    <n v="28527"/>
    <n v="4.2"/>
    <n v="99.1"/>
    <n v="8"/>
    <n v="52"/>
    <n v="9530"/>
    <s v="Kavya"/>
    <x v="0"/>
    <x v="2"/>
    <x v="1"/>
    <x v="2"/>
  </r>
  <r>
    <n v="1481"/>
    <s v="Nikhil"/>
    <x v="0"/>
    <n v="44"/>
    <x v="1"/>
    <s v="Accountant"/>
    <x v="3"/>
    <s v="2019-01-26"/>
    <n v="4"/>
    <n v="37651"/>
    <n v="3.2"/>
    <n v="91.4"/>
    <n v="0"/>
    <n v="42"/>
    <n v="5990"/>
    <s v="Suresh"/>
    <x v="0"/>
    <x v="0"/>
    <x v="1"/>
    <x v="1"/>
  </r>
  <r>
    <n v="1482"/>
    <s v="Meena"/>
    <x v="1"/>
    <n v="33"/>
    <x v="3"/>
    <s v="HR Manager"/>
    <x v="0"/>
    <s v="2024-01-26"/>
    <n v="4"/>
    <n v="92479"/>
    <n v="4.5999999999999996"/>
    <n v="96.9"/>
    <n v="20"/>
    <n v="52"/>
    <n v="13972"/>
    <s v="Suresh"/>
    <x v="1"/>
    <x v="3"/>
    <x v="0"/>
    <x v="1"/>
  </r>
  <r>
    <n v="1483"/>
    <s v="Nikhil"/>
    <x v="0"/>
    <n v="44"/>
    <x v="2"/>
    <s v="Data Analyst"/>
    <x v="1"/>
    <s v="2018-04-24"/>
    <n v="3"/>
    <n v="37824"/>
    <n v="4.3"/>
    <n v="99.4"/>
    <n v="6"/>
    <n v="6"/>
    <n v="11856"/>
    <s v="Amit"/>
    <x v="0"/>
    <x v="2"/>
    <x v="1"/>
    <x v="1"/>
  </r>
  <r>
    <n v="1484"/>
    <s v="Arjun"/>
    <x v="0"/>
    <n v="42"/>
    <x v="3"/>
    <s v="HR Manager"/>
    <x v="0"/>
    <s v="2021-01-13"/>
    <n v="7"/>
    <n v="92267"/>
    <n v="3"/>
    <n v="92.5"/>
    <n v="3"/>
    <n v="15"/>
    <n v="2700"/>
    <s v="Amit"/>
    <x v="1"/>
    <x v="0"/>
    <x v="0"/>
    <x v="2"/>
  </r>
  <r>
    <n v="1485"/>
    <s v="Varun"/>
    <x v="0"/>
    <n v="42"/>
    <x v="2"/>
    <s v="Software Engineer"/>
    <x v="0"/>
    <s v="2022-12-30"/>
    <n v="4"/>
    <n v="70063"/>
    <n v="4"/>
    <n v="99.7"/>
    <n v="12"/>
    <n v="15"/>
    <n v="14274"/>
    <s v="Ramesh"/>
    <x v="0"/>
    <x v="2"/>
    <x v="0"/>
    <x v="1"/>
  </r>
  <r>
    <n v="1486"/>
    <s v="Rahul"/>
    <x v="0"/>
    <n v="45"/>
    <x v="4"/>
    <s v="SEO Analyst"/>
    <x v="1"/>
    <s v="2023-04-10"/>
    <n v="10"/>
    <n v="85186"/>
    <n v="3.5"/>
    <n v="86.5"/>
    <n v="13"/>
    <n v="37"/>
    <n v="9236"/>
    <s v="Suresh"/>
    <x v="1"/>
    <x v="0"/>
    <x v="0"/>
    <x v="2"/>
  </r>
  <r>
    <n v="1487"/>
    <s v="Vijay"/>
    <x v="1"/>
    <n v="24"/>
    <x v="1"/>
    <s v="Accountant"/>
    <x v="1"/>
    <s v="2018-05-08"/>
    <n v="0"/>
    <n v="27266"/>
    <n v="3.8"/>
    <n v="84"/>
    <n v="8"/>
    <n v="25"/>
    <n v="1987"/>
    <s v="Amit"/>
    <x v="1"/>
    <x v="0"/>
    <x v="1"/>
    <x v="0"/>
  </r>
  <r>
    <n v="1488"/>
    <s v="Sonia"/>
    <x v="1"/>
    <n v="40"/>
    <x v="1"/>
    <s v="Financial Analyst"/>
    <x v="1"/>
    <s v="2018-01-04"/>
    <n v="9"/>
    <n v="81759"/>
    <n v="3.5"/>
    <n v="93.3"/>
    <n v="12"/>
    <n v="5"/>
    <n v="12337"/>
    <s v="Anitha"/>
    <x v="1"/>
    <x v="0"/>
    <x v="0"/>
    <x v="2"/>
  </r>
  <r>
    <n v="1489"/>
    <s v="Kiran"/>
    <x v="0"/>
    <n v="31"/>
    <x v="0"/>
    <s v="Sales Executive"/>
    <x v="2"/>
    <s v="2023-09-20"/>
    <n v="0"/>
    <n v="88614"/>
    <n v="2.7"/>
    <n v="85.4"/>
    <n v="7"/>
    <n v="8"/>
    <n v="5857"/>
    <s v="Amit"/>
    <x v="0"/>
    <x v="1"/>
    <x v="0"/>
    <x v="0"/>
  </r>
  <r>
    <n v="1490"/>
    <s v="Keerthi"/>
    <x v="0"/>
    <n v="44"/>
    <x v="0"/>
    <s v="Sales Executive"/>
    <x v="4"/>
    <s v="2022-10-03"/>
    <n v="1"/>
    <n v="80258"/>
    <n v="3.4"/>
    <n v="88.4"/>
    <n v="8"/>
    <n v="33"/>
    <n v="3951"/>
    <s v="Suresh"/>
    <x v="0"/>
    <x v="0"/>
    <x v="0"/>
    <x v="0"/>
  </r>
  <r>
    <n v="1491"/>
    <s v="Sneha"/>
    <x v="0"/>
    <n v="32"/>
    <x v="1"/>
    <s v="Accountant"/>
    <x v="4"/>
    <s v="2019-01-10"/>
    <n v="9"/>
    <n v="88584"/>
    <n v="4"/>
    <n v="88.6"/>
    <n v="19"/>
    <n v="34"/>
    <n v="1581"/>
    <s v="Anitha"/>
    <x v="1"/>
    <x v="2"/>
    <x v="0"/>
    <x v="2"/>
  </r>
  <r>
    <n v="1492"/>
    <s v="Priya"/>
    <x v="0"/>
    <n v="23"/>
    <x v="0"/>
    <s v="Sales Manager"/>
    <x v="2"/>
    <s v="2018-06-05"/>
    <n v="10"/>
    <n v="46420"/>
    <n v="4.0999999999999996"/>
    <n v="99.8"/>
    <n v="14"/>
    <n v="40"/>
    <n v="7714"/>
    <s v="Suresh"/>
    <x v="1"/>
    <x v="2"/>
    <x v="1"/>
    <x v="2"/>
  </r>
  <r>
    <n v="1493"/>
    <s v="Ajay"/>
    <x v="1"/>
    <n v="39"/>
    <x v="3"/>
    <s v="HR Manager"/>
    <x v="3"/>
    <s v="2024-08-27"/>
    <n v="6"/>
    <n v="37275"/>
    <n v="3.2"/>
    <n v="88.8"/>
    <n v="12"/>
    <n v="45"/>
    <n v="10705"/>
    <s v="Ramesh"/>
    <x v="0"/>
    <x v="0"/>
    <x v="1"/>
    <x v="2"/>
  </r>
  <r>
    <n v="1494"/>
    <s v="Varun"/>
    <x v="1"/>
    <n v="28"/>
    <x v="2"/>
    <s v="Senior Developer"/>
    <x v="1"/>
    <s v="2024-12-16"/>
    <n v="6"/>
    <n v="90352"/>
    <n v="3.2"/>
    <n v="88.7"/>
    <n v="4"/>
    <n v="59"/>
    <n v="3252"/>
    <s v="Kavya"/>
    <x v="0"/>
    <x v="0"/>
    <x v="0"/>
    <x v="2"/>
  </r>
  <r>
    <n v="1495"/>
    <s v="Meena"/>
    <x v="1"/>
    <n v="38"/>
    <x v="3"/>
    <s v="HR Executive"/>
    <x v="3"/>
    <s v="2022-01-02"/>
    <n v="1"/>
    <n v="42891"/>
    <n v="4.2"/>
    <n v="97.7"/>
    <n v="17"/>
    <n v="18"/>
    <n v="14942"/>
    <s v="Amit"/>
    <x v="0"/>
    <x v="2"/>
    <x v="1"/>
    <x v="0"/>
  </r>
  <r>
    <n v="1496"/>
    <s v="Ajay"/>
    <x v="1"/>
    <n v="25"/>
    <x v="4"/>
    <s v="SEO Analyst"/>
    <x v="3"/>
    <s v="2022-01-22"/>
    <n v="9"/>
    <n v="65137"/>
    <n v="2.8"/>
    <n v="94.8"/>
    <n v="16"/>
    <n v="51"/>
    <n v="2860"/>
    <s v="Anitha"/>
    <x v="0"/>
    <x v="1"/>
    <x v="2"/>
    <x v="2"/>
  </r>
  <r>
    <n v="1497"/>
    <s v="Vijay"/>
    <x v="0"/>
    <n v="37"/>
    <x v="4"/>
    <s v="Marketing Executive"/>
    <x v="1"/>
    <s v="2024-08-12"/>
    <n v="6"/>
    <n v="25836"/>
    <n v="3.5"/>
    <n v="82.9"/>
    <n v="20"/>
    <n v="59"/>
    <n v="9925"/>
    <s v="Ramesh"/>
    <x v="1"/>
    <x v="0"/>
    <x v="1"/>
    <x v="2"/>
  </r>
  <r>
    <n v="1498"/>
    <s v="Nikhil"/>
    <x v="1"/>
    <n v="36"/>
    <x v="3"/>
    <s v="HR Manager"/>
    <x v="1"/>
    <s v="2018-02-15"/>
    <n v="6"/>
    <n v="31666"/>
    <n v="2.5"/>
    <n v="96.9"/>
    <n v="20"/>
    <n v="42"/>
    <n v="10622"/>
    <s v="Ramesh"/>
    <x v="0"/>
    <x v="1"/>
    <x v="1"/>
    <x v="2"/>
  </r>
  <r>
    <n v="1499"/>
    <s v="Nikhil"/>
    <x v="1"/>
    <n v="44"/>
    <x v="2"/>
    <s v="Senior Developer"/>
    <x v="2"/>
    <s v="2022-08-12"/>
    <n v="4"/>
    <n v="26443"/>
    <n v="4.7"/>
    <n v="83.9"/>
    <n v="4"/>
    <n v="26"/>
    <n v="3245"/>
    <s v="Suresh"/>
    <x v="0"/>
    <x v="3"/>
    <x v="1"/>
    <x v="1"/>
  </r>
  <r>
    <n v="1500"/>
    <s v="Harsha"/>
    <x v="1"/>
    <n v="33"/>
    <x v="4"/>
    <s v="SEO Analyst"/>
    <x v="1"/>
    <s v="2019-10-15"/>
    <n v="5"/>
    <n v="28100"/>
    <n v="4.3"/>
    <n v="99"/>
    <n v="16"/>
    <n v="43"/>
    <n v="1109"/>
    <s v="Anitha"/>
    <x v="0"/>
    <x v="2"/>
    <x v="1"/>
    <x v="1"/>
  </r>
  <r>
    <n v="1501"/>
    <s v="Manoj"/>
    <x v="1"/>
    <n v="27"/>
    <x v="3"/>
    <s v="HR Manager"/>
    <x v="4"/>
    <s v="2024-10-27"/>
    <n v="2"/>
    <n v="79852"/>
    <n v="4.5"/>
    <n v="84"/>
    <n v="25"/>
    <n v="54"/>
    <n v="3421"/>
    <s v="Ramesh"/>
    <x v="1"/>
    <x v="3"/>
    <x v="0"/>
    <x v="0"/>
  </r>
  <r>
    <n v="1502"/>
    <s v="Anu"/>
    <x v="0"/>
    <n v="44"/>
    <x v="4"/>
    <s v="Marketing Executive"/>
    <x v="1"/>
    <s v="2021-01-29"/>
    <n v="4"/>
    <n v="88197"/>
    <n v="3.3"/>
    <n v="83.1"/>
    <n v="19"/>
    <n v="21"/>
    <n v="1735"/>
    <s v="Anitha"/>
    <x v="0"/>
    <x v="0"/>
    <x v="0"/>
    <x v="1"/>
  </r>
  <r>
    <n v="1503"/>
    <s v="Meena"/>
    <x v="0"/>
    <n v="24"/>
    <x v="2"/>
    <s v="Software Engineer"/>
    <x v="3"/>
    <s v="2022-10-28"/>
    <n v="10"/>
    <n v="43236"/>
    <n v="3.2"/>
    <n v="91.5"/>
    <n v="18"/>
    <n v="38"/>
    <n v="9401"/>
    <s v="Suresh"/>
    <x v="1"/>
    <x v="0"/>
    <x v="1"/>
    <x v="2"/>
  </r>
  <r>
    <n v="1504"/>
    <s v="Kiran"/>
    <x v="1"/>
    <n v="34"/>
    <x v="0"/>
    <s v="Sales Executive"/>
    <x v="4"/>
    <s v="2022-03-14"/>
    <n v="5"/>
    <n v="53854"/>
    <n v="4.9000000000000004"/>
    <n v="86.3"/>
    <n v="15"/>
    <n v="29"/>
    <n v="2339"/>
    <s v="Ramesh"/>
    <x v="1"/>
    <x v="3"/>
    <x v="2"/>
    <x v="1"/>
  </r>
  <r>
    <n v="1505"/>
    <s v="Sai"/>
    <x v="0"/>
    <n v="32"/>
    <x v="0"/>
    <s v="Sales Executive"/>
    <x v="3"/>
    <s v="2021-02-16"/>
    <n v="8"/>
    <n v="89806"/>
    <n v="4.0999999999999996"/>
    <n v="97.6"/>
    <n v="19"/>
    <n v="46"/>
    <n v="7662"/>
    <s v="Suresh"/>
    <x v="1"/>
    <x v="2"/>
    <x v="0"/>
    <x v="2"/>
  </r>
  <r>
    <n v="1506"/>
    <s v="Ravi"/>
    <x v="0"/>
    <n v="36"/>
    <x v="0"/>
    <s v="Sales Manager"/>
    <x v="1"/>
    <s v="2019-01-29"/>
    <n v="7"/>
    <n v="38713"/>
    <n v="2.8"/>
    <n v="82.1"/>
    <n v="4"/>
    <n v="51"/>
    <n v="14628"/>
    <s v="Ramesh"/>
    <x v="0"/>
    <x v="1"/>
    <x v="1"/>
    <x v="2"/>
  </r>
  <r>
    <n v="1507"/>
    <s v="Anu"/>
    <x v="0"/>
    <n v="39"/>
    <x v="4"/>
    <s v="Marketing Executive"/>
    <x v="2"/>
    <s v="2019-10-05"/>
    <n v="0"/>
    <n v="91148"/>
    <n v="5"/>
    <n v="86.8"/>
    <n v="20"/>
    <n v="59"/>
    <n v="3452"/>
    <s v="Suresh"/>
    <x v="1"/>
    <x v="3"/>
    <x v="0"/>
    <x v="0"/>
  </r>
  <r>
    <n v="1508"/>
    <s v="Deepa"/>
    <x v="1"/>
    <n v="29"/>
    <x v="3"/>
    <s v="HR Manager"/>
    <x v="4"/>
    <s v="2018-11-22"/>
    <n v="3"/>
    <n v="76277"/>
    <n v="3.7"/>
    <n v="93.4"/>
    <n v="19"/>
    <n v="39"/>
    <n v="13257"/>
    <s v="Kavya"/>
    <x v="1"/>
    <x v="0"/>
    <x v="0"/>
    <x v="1"/>
  </r>
  <r>
    <n v="1509"/>
    <s v="Meena"/>
    <x v="1"/>
    <n v="38"/>
    <x v="1"/>
    <s v="Financial Analyst"/>
    <x v="4"/>
    <s v="2020-03-26"/>
    <n v="1"/>
    <n v="32673"/>
    <n v="2.7"/>
    <n v="92.9"/>
    <n v="18"/>
    <n v="32"/>
    <n v="6323"/>
    <s v="Anitha"/>
    <x v="0"/>
    <x v="1"/>
    <x v="1"/>
    <x v="0"/>
  </r>
  <r>
    <n v="1510"/>
    <s v="Nikhil"/>
    <x v="1"/>
    <n v="33"/>
    <x v="0"/>
    <s v="Sales Manager"/>
    <x v="2"/>
    <s v="2020-05-23"/>
    <n v="9"/>
    <n v="94322"/>
    <n v="3"/>
    <n v="92.6"/>
    <n v="15"/>
    <n v="20"/>
    <n v="12052"/>
    <s v="Amit"/>
    <x v="0"/>
    <x v="0"/>
    <x v="0"/>
    <x v="2"/>
  </r>
  <r>
    <n v="1511"/>
    <s v="Arjun"/>
    <x v="1"/>
    <n v="45"/>
    <x v="3"/>
    <s v="HR Executive"/>
    <x v="0"/>
    <s v="2022-03-01"/>
    <n v="8"/>
    <n v="35354"/>
    <n v="2.7"/>
    <n v="97"/>
    <n v="4"/>
    <n v="23"/>
    <n v="12110"/>
    <s v="Anitha"/>
    <x v="0"/>
    <x v="1"/>
    <x v="1"/>
    <x v="2"/>
  </r>
  <r>
    <n v="1512"/>
    <s v="Ravi"/>
    <x v="1"/>
    <n v="40"/>
    <x v="3"/>
    <s v="HR Executive"/>
    <x v="1"/>
    <s v="2021-07-09"/>
    <n v="2"/>
    <n v="40500"/>
    <n v="4.7"/>
    <n v="98.3"/>
    <n v="25"/>
    <n v="30"/>
    <n v="8894"/>
    <s v="Suresh"/>
    <x v="1"/>
    <x v="3"/>
    <x v="1"/>
    <x v="0"/>
  </r>
  <r>
    <n v="1513"/>
    <s v="Arjun"/>
    <x v="1"/>
    <n v="45"/>
    <x v="3"/>
    <s v="HR Executive"/>
    <x v="3"/>
    <s v="2020-06-01"/>
    <n v="10"/>
    <n v="70033"/>
    <n v="4.3"/>
    <n v="95.2"/>
    <n v="25"/>
    <n v="22"/>
    <n v="4461"/>
    <s v="Anitha"/>
    <x v="1"/>
    <x v="2"/>
    <x v="0"/>
    <x v="2"/>
  </r>
  <r>
    <n v="1514"/>
    <s v="Keerthi"/>
    <x v="1"/>
    <n v="44"/>
    <x v="0"/>
    <s v="Sales Manager"/>
    <x v="1"/>
    <s v="2021-05-24"/>
    <n v="8"/>
    <n v="34619"/>
    <n v="4.3"/>
    <n v="83"/>
    <n v="11"/>
    <n v="59"/>
    <n v="2707"/>
    <s v="Anitha"/>
    <x v="1"/>
    <x v="2"/>
    <x v="1"/>
    <x v="2"/>
  </r>
  <r>
    <n v="1515"/>
    <s v="Deepa"/>
    <x v="1"/>
    <n v="45"/>
    <x v="2"/>
    <s v="Senior Developer"/>
    <x v="3"/>
    <s v="2022-06-25"/>
    <n v="9"/>
    <n v="72716"/>
    <n v="3.7"/>
    <n v="94.2"/>
    <n v="17"/>
    <n v="10"/>
    <n v="5799"/>
    <s v="Anitha"/>
    <x v="0"/>
    <x v="0"/>
    <x v="0"/>
    <x v="2"/>
  </r>
  <r>
    <n v="1516"/>
    <s v="Arjun"/>
    <x v="0"/>
    <n v="23"/>
    <x v="4"/>
    <s v="SEO Analyst"/>
    <x v="0"/>
    <s v="2020-04-14"/>
    <n v="2"/>
    <n v="73273"/>
    <n v="4"/>
    <n v="82.3"/>
    <n v="11"/>
    <n v="23"/>
    <n v="12778"/>
    <s v="Suresh"/>
    <x v="1"/>
    <x v="2"/>
    <x v="0"/>
    <x v="0"/>
  </r>
  <r>
    <n v="1517"/>
    <s v="Divya"/>
    <x v="0"/>
    <n v="42"/>
    <x v="1"/>
    <s v="Accountant"/>
    <x v="2"/>
    <s v="2018-03-31"/>
    <n v="2"/>
    <n v="48643"/>
    <n v="4.5"/>
    <n v="96.7"/>
    <n v="4"/>
    <n v="21"/>
    <n v="8343"/>
    <s v="Amit"/>
    <x v="0"/>
    <x v="3"/>
    <x v="1"/>
    <x v="0"/>
  </r>
  <r>
    <n v="1518"/>
    <s v="Meena"/>
    <x v="0"/>
    <n v="37"/>
    <x v="0"/>
    <s v="Sales Executive"/>
    <x v="0"/>
    <s v="2024-04-09"/>
    <n v="2"/>
    <n v="47837"/>
    <n v="3.2"/>
    <n v="99.9"/>
    <n v="2"/>
    <n v="36"/>
    <n v="4034"/>
    <s v="Amit"/>
    <x v="1"/>
    <x v="0"/>
    <x v="1"/>
    <x v="0"/>
  </r>
  <r>
    <n v="1519"/>
    <s v="Arjun"/>
    <x v="1"/>
    <n v="25"/>
    <x v="4"/>
    <s v="Marketing Executive"/>
    <x v="3"/>
    <s v="2025-01-27"/>
    <n v="1"/>
    <n v="40882"/>
    <n v="2.7"/>
    <n v="87.4"/>
    <n v="17"/>
    <n v="5"/>
    <n v="9491"/>
    <s v="Suresh"/>
    <x v="1"/>
    <x v="1"/>
    <x v="1"/>
    <x v="0"/>
  </r>
  <r>
    <n v="1520"/>
    <s v="Ajay"/>
    <x v="0"/>
    <n v="40"/>
    <x v="4"/>
    <s v="Marketing Executive"/>
    <x v="2"/>
    <s v="2020-06-29"/>
    <n v="5"/>
    <n v="53351"/>
    <n v="4.5"/>
    <n v="95.4"/>
    <n v="23"/>
    <n v="59"/>
    <n v="8391"/>
    <s v="Anitha"/>
    <x v="0"/>
    <x v="3"/>
    <x v="2"/>
    <x v="1"/>
  </r>
  <r>
    <n v="1521"/>
    <s v="Divya"/>
    <x v="0"/>
    <n v="26"/>
    <x v="1"/>
    <s v="Accountant"/>
    <x v="0"/>
    <s v="2018-09-24"/>
    <n v="2"/>
    <n v="85094"/>
    <n v="3.6"/>
    <n v="97.3"/>
    <n v="3"/>
    <n v="42"/>
    <n v="10137"/>
    <s v="Amit"/>
    <x v="0"/>
    <x v="0"/>
    <x v="0"/>
    <x v="0"/>
  </r>
  <r>
    <n v="1522"/>
    <s v="Vijay"/>
    <x v="1"/>
    <n v="30"/>
    <x v="2"/>
    <s v="Senior Developer"/>
    <x v="0"/>
    <s v="2020-10-13"/>
    <n v="1"/>
    <n v="68414"/>
    <n v="3.3"/>
    <n v="89.1"/>
    <n v="17"/>
    <n v="40"/>
    <n v="9038"/>
    <s v="Suresh"/>
    <x v="0"/>
    <x v="0"/>
    <x v="2"/>
    <x v="0"/>
  </r>
  <r>
    <n v="1523"/>
    <s v="Anu"/>
    <x v="0"/>
    <n v="27"/>
    <x v="4"/>
    <s v="SEO Analyst"/>
    <x v="0"/>
    <s v="2024-01-15"/>
    <n v="7"/>
    <n v="27030"/>
    <n v="4.0999999999999996"/>
    <n v="83.8"/>
    <n v="12"/>
    <n v="13"/>
    <n v="9846"/>
    <s v="Kavya"/>
    <x v="0"/>
    <x v="2"/>
    <x v="1"/>
    <x v="2"/>
  </r>
  <r>
    <n v="1524"/>
    <s v="Ravi"/>
    <x v="1"/>
    <n v="25"/>
    <x v="3"/>
    <s v="HR Executive"/>
    <x v="4"/>
    <s v="2020-04-05"/>
    <n v="3"/>
    <n v="33307"/>
    <n v="3.8"/>
    <n v="95.8"/>
    <n v="8"/>
    <n v="60"/>
    <n v="6914"/>
    <s v="Kavya"/>
    <x v="0"/>
    <x v="0"/>
    <x v="1"/>
    <x v="1"/>
  </r>
  <r>
    <n v="1525"/>
    <s v="Arjun"/>
    <x v="0"/>
    <n v="41"/>
    <x v="2"/>
    <s v="Senior Developer"/>
    <x v="4"/>
    <s v="2018-10-21"/>
    <n v="1"/>
    <n v="42141"/>
    <n v="4.7"/>
    <n v="96"/>
    <n v="20"/>
    <n v="30"/>
    <n v="4087"/>
    <s v="Suresh"/>
    <x v="0"/>
    <x v="3"/>
    <x v="1"/>
    <x v="0"/>
  </r>
  <r>
    <n v="1526"/>
    <s v="Varun"/>
    <x v="1"/>
    <n v="44"/>
    <x v="2"/>
    <s v="Senior Developer"/>
    <x v="3"/>
    <s v="2021-08-24"/>
    <n v="0"/>
    <n v="92085"/>
    <n v="2.6"/>
    <n v="99.9"/>
    <n v="9"/>
    <n v="22"/>
    <n v="2761"/>
    <s v="Amit"/>
    <x v="0"/>
    <x v="1"/>
    <x v="0"/>
    <x v="0"/>
  </r>
  <r>
    <n v="1527"/>
    <s v="Nikhil"/>
    <x v="0"/>
    <n v="45"/>
    <x v="4"/>
    <s v="Marketing Executive"/>
    <x v="4"/>
    <s v="2019-08-04"/>
    <n v="1"/>
    <n v="53933"/>
    <n v="4.0999999999999996"/>
    <n v="99.1"/>
    <n v="12"/>
    <n v="17"/>
    <n v="4476"/>
    <s v="Suresh"/>
    <x v="1"/>
    <x v="2"/>
    <x v="2"/>
    <x v="0"/>
  </r>
  <r>
    <n v="1528"/>
    <s v="Varun"/>
    <x v="0"/>
    <n v="39"/>
    <x v="2"/>
    <s v="Software Engineer"/>
    <x v="4"/>
    <s v="2021-02-16"/>
    <n v="9"/>
    <n v="36182"/>
    <n v="3.3"/>
    <n v="97.4"/>
    <n v="17"/>
    <n v="25"/>
    <n v="11065"/>
    <s v="Kavya"/>
    <x v="1"/>
    <x v="0"/>
    <x v="1"/>
    <x v="2"/>
  </r>
  <r>
    <n v="1529"/>
    <s v="Kiran"/>
    <x v="0"/>
    <n v="22"/>
    <x v="3"/>
    <s v="HR Manager"/>
    <x v="0"/>
    <s v="2023-05-05"/>
    <n v="1"/>
    <n v="32509"/>
    <n v="3"/>
    <n v="92.1"/>
    <n v="2"/>
    <n v="45"/>
    <n v="7130"/>
    <s v="Suresh"/>
    <x v="0"/>
    <x v="0"/>
    <x v="1"/>
    <x v="0"/>
  </r>
  <r>
    <n v="1530"/>
    <s v="Sneha"/>
    <x v="0"/>
    <n v="31"/>
    <x v="2"/>
    <s v="Software Engineer"/>
    <x v="0"/>
    <s v="2020-06-02"/>
    <n v="2"/>
    <n v="47193"/>
    <n v="3.7"/>
    <n v="96"/>
    <n v="7"/>
    <n v="8"/>
    <n v="12845"/>
    <s v="Kavya"/>
    <x v="0"/>
    <x v="0"/>
    <x v="1"/>
    <x v="0"/>
  </r>
  <r>
    <n v="1531"/>
    <s v="Meena"/>
    <x v="1"/>
    <n v="28"/>
    <x v="0"/>
    <s v="Sales Manager"/>
    <x v="1"/>
    <s v="2018-09-24"/>
    <n v="3"/>
    <n v="87671"/>
    <n v="3"/>
    <n v="97"/>
    <n v="0"/>
    <n v="50"/>
    <n v="8509"/>
    <s v="Ramesh"/>
    <x v="1"/>
    <x v="0"/>
    <x v="0"/>
    <x v="1"/>
  </r>
  <r>
    <n v="1532"/>
    <s v="Keerthi"/>
    <x v="0"/>
    <n v="23"/>
    <x v="2"/>
    <s v="Data Analyst"/>
    <x v="0"/>
    <s v="2018-06-24"/>
    <n v="3"/>
    <n v="44944"/>
    <n v="2.7"/>
    <n v="89.9"/>
    <n v="6"/>
    <n v="57"/>
    <n v="5873"/>
    <s v="Ramesh"/>
    <x v="0"/>
    <x v="1"/>
    <x v="1"/>
    <x v="1"/>
  </r>
  <r>
    <n v="1533"/>
    <s v="Deepa"/>
    <x v="1"/>
    <n v="34"/>
    <x v="0"/>
    <s v="Sales Executive"/>
    <x v="2"/>
    <s v="2018-08-22"/>
    <n v="0"/>
    <n v="87450"/>
    <n v="3.7"/>
    <n v="84.4"/>
    <n v="21"/>
    <n v="36"/>
    <n v="8157"/>
    <s v="Ramesh"/>
    <x v="0"/>
    <x v="0"/>
    <x v="0"/>
    <x v="0"/>
  </r>
  <r>
    <n v="1534"/>
    <s v="Varun"/>
    <x v="1"/>
    <n v="41"/>
    <x v="3"/>
    <s v="HR Manager"/>
    <x v="1"/>
    <s v="2021-03-27"/>
    <n v="9"/>
    <n v="69215"/>
    <n v="4.0999999999999996"/>
    <n v="82.8"/>
    <n v="2"/>
    <n v="56"/>
    <n v="11426"/>
    <s v="Amit"/>
    <x v="1"/>
    <x v="2"/>
    <x v="2"/>
    <x v="2"/>
  </r>
  <r>
    <n v="1535"/>
    <s v="Arjun"/>
    <x v="0"/>
    <n v="22"/>
    <x v="4"/>
    <s v="SEO Analyst"/>
    <x v="1"/>
    <s v="2021-12-20"/>
    <n v="4"/>
    <n v="64643"/>
    <n v="4.7"/>
    <n v="88.1"/>
    <n v="16"/>
    <n v="28"/>
    <n v="1280"/>
    <s v="Anitha"/>
    <x v="0"/>
    <x v="3"/>
    <x v="2"/>
    <x v="1"/>
  </r>
  <r>
    <n v="1536"/>
    <s v="Rahul"/>
    <x v="1"/>
    <n v="30"/>
    <x v="0"/>
    <s v="Sales Manager"/>
    <x v="1"/>
    <s v="2023-07-07"/>
    <n v="10"/>
    <n v="25622"/>
    <n v="4.0999999999999996"/>
    <n v="84"/>
    <n v="18"/>
    <n v="43"/>
    <n v="10552"/>
    <s v="Suresh"/>
    <x v="0"/>
    <x v="2"/>
    <x v="1"/>
    <x v="2"/>
  </r>
  <r>
    <n v="1537"/>
    <s v="Arjun"/>
    <x v="1"/>
    <n v="36"/>
    <x v="0"/>
    <s v="Sales Manager"/>
    <x v="2"/>
    <s v="2023-11-08"/>
    <n v="6"/>
    <n v="28407"/>
    <n v="2.9"/>
    <n v="97.9"/>
    <n v="17"/>
    <n v="27"/>
    <n v="1543"/>
    <s v="Ramesh"/>
    <x v="0"/>
    <x v="1"/>
    <x v="1"/>
    <x v="2"/>
  </r>
  <r>
    <n v="1538"/>
    <s v="Manoj"/>
    <x v="1"/>
    <n v="31"/>
    <x v="2"/>
    <s v="Senior Developer"/>
    <x v="4"/>
    <s v="2019-08-13"/>
    <n v="1"/>
    <n v="39402"/>
    <n v="3.3"/>
    <n v="91.6"/>
    <n v="22"/>
    <n v="43"/>
    <n v="2033"/>
    <s v="Kavya"/>
    <x v="1"/>
    <x v="0"/>
    <x v="1"/>
    <x v="0"/>
  </r>
  <r>
    <n v="1539"/>
    <s v="Sonia"/>
    <x v="1"/>
    <n v="37"/>
    <x v="4"/>
    <s v="Marketing Executive"/>
    <x v="2"/>
    <s v="2024-12-21"/>
    <n v="6"/>
    <n v="79651"/>
    <n v="4.4000000000000004"/>
    <n v="94"/>
    <n v="25"/>
    <n v="22"/>
    <n v="2277"/>
    <s v="Amit"/>
    <x v="0"/>
    <x v="2"/>
    <x v="0"/>
    <x v="2"/>
  </r>
  <r>
    <n v="1540"/>
    <s v="Deepa"/>
    <x v="0"/>
    <n v="44"/>
    <x v="2"/>
    <s v="Senior Developer"/>
    <x v="2"/>
    <s v="2021-09-09"/>
    <n v="2"/>
    <n v="49931"/>
    <n v="3.4"/>
    <n v="83"/>
    <n v="16"/>
    <n v="12"/>
    <n v="2358"/>
    <s v="Amit"/>
    <x v="1"/>
    <x v="0"/>
    <x v="1"/>
    <x v="0"/>
  </r>
  <r>
    <n v="1541"/>
    <s v="Kiran"/>
    <x v="1"/>
    <n v="33"/>
    <x v="2"/>
    <s v="Data Analyst"/>
    <x v="4"/>
    <s v="2020-07-21"/>
    <n v="9"/>
    <n v="46269"/>
    <n v="4.5999999999999996"/>
    <n v="82.6"/>
    <n v="2"/>
    <n v="43"/>
    <n v="8185"/>
    <s v="Ramesh"/>
    <x v="1"/>
    <x v="3"/>
    <x v="1"/>
    <x v="2"/>
  </r>
  <r>
    <n v="1542"/>
    <s v="Manoj"/>
    <x v="1"/>
    <n v="37"/>
    <x v="3"/>
    <s v="HR Manager"/>
    <x v="2"/>
    <s v="2018-02-27"/>
    <n v="5"/>
    <n v="73526"/>
    <n v="2.9"/>
    <n v="86.1"/>
    <n v="5"/>
    <n v="48"/>
    <n v="9783"/>
    <s v="Suresh"/>
    <x v="1"/>
    <x v="1"/>
    <x v="0"/>
    <x v="1"/>
  </r>
  <r>
    <n v="1543"/>
    <s v="Sneha"/>
    <x v="0"/>
    <n v="40"/>
    <x v="3"/>
    <s v="HR Manager"/>
    <x v="1"/>
    <s v="2024-09-20"/>
    <n v="7"/>
    <n v="62592"/>
    <n v="2.6"/>
    <n v="93.5"/>
    <n v="12"/>
    <n v="40"/>
    <n v="11825"/>
    <s v="Amit"/>
    <x v="0"/>
    <x v="1"/>
    <x v="2"/>
    <x v="2"/>
  </r>
  <r>
    <n v="1544"/>
    <s v="Manoj"/>
    <x v="1"/>
    <n v="35"/>
    <x v="4"/>
    <s v="SEO Analyst"/>
    <x v="4"/>
    <s v="2022-05-17"/>
    <n v="5"/>
    <n v="81460"/>
    <n v="2.6"/>
    <n v="94.7"/>
    <n v="3"/>
    <n v="22"/>
    <n v="13213"/>
    <s v="Anitha"/>
    <x v="0"/>
    <x v="1"/>
    <x v="0"/>
    <x v="1"/>
  </r>
  <r>
    <n v="1545"/>
    <s v="Rahul"/>
    <x v="0"/>
    <n v="23"/>
    <x v="0"/>
    <s v="Sales Manager"/>
    <x v="2"/>
    <s v="2023-06-26"/>
    <n v="3"/>
    <n v="38581"/>
    <n v="4.3"/>
    <n v="85"/>
    <n v="8"/>
    <n v="56"/>
    <n v="11542"/>
    <s v="Anitha"/>
    <x v="1"/>
    <x v="2"/>
    <x v="1"/>
    <x v="1"/>
  </r>
  <r>
    <n v="1546"/>
    <s v="Priya"/>
    <x v="0"/>
    <n v="34"/>
    <x v="1"/>
    <s v="Accountant"/>
    <x v="1"/>
    <s v="2020-05-07"/>
    <n v="4"/>
    <n v="92230"/>
    <n v="4.4000000000000004"/>
    <n v="95"/>
    <n v="18"/>
    <n v="52"/>
    <n v="11077"/>
    <s v="Suresh"/>
    <x v="0"/>
    <x v="2"/>
    <x v="0"/>
    <x v="1"/>
  </r>
  <r>
    <n v="1547"/>
    <s v="Keerthi"/>
    <x v="0"/>
    <n v="38"/>
    <x v="1"/>
    <s v="Accountant"/>
    <x v="0"/>
    <s v="2023-01-12"/>
    <n v="1"/>
    <n v="43913"/>
    <n v="3.9"/>
    <n v="93.4"/>
    <n v="23"/>
    <n v="47"/>
    <n v="7488"/>
    <s v="Amit"/>
    <x v="0"/>
    <x v="0"/>
    <x v="1"/>
    <x v="0"/>
  </r>
  <r>
    <n v="1548"/>
    <s v="Meena"/>
    <x v="1"/>
    <n v="38"/>
    <x v="4"/>
    <s v="Marketing Executive"/>
    <x v="3"/>
    <s v="2019-06-23"/>
    <n v="3"/>
    <n v="92891"/>
    <n v="4.9000000000000004"/>
    <n v="82.8"/>
    <n v="19"/>
    <n v="6"/>
    <n v="3604"/>
    <s v="Kavya"/>
    <x v="0"/>
    <x v="3"/>
    <x v="0"/>
    <x v="1"/>
  </r>
  <r>
    <n v="1549"/>
    <s v="Manoj"/>
    <x v="0"/>
    <n v="28"/>
    <x v="2"/>
    <s v="Data Analyst"/>
    <x v="1"/>
    <s v="2023-07-14"/>
    <n v="6"/>
    <n v="44729"/>
    <n v="3.4"/>
    <n v="95.7"/>
    <n v="8"/>
    <n v="27"/>
    <n v="12567"/>
    <s v="Amit"/>
    <x v="0"/>
    <x v="0"/>
    <x v="1"/>
    <x v="2"/>
  </r>
  <r>
    <n v="1550"/>
    <s v="Priya"/>
    <x v="0"/>
    <n v="26"/>
    <x v="2"/>
    <s v="Data Analyst"/>
    <x v="2"/>
    <s v="2021-02-18"/>
    <n v="8"/>
    <n v="67329"/>
    <n v="3.7"/>
    <n v="95.4"/>
    <n v="19"/>
    <n v="57"/>
    <n v="14102"/>
    <s v="Anitha"/>
    <x v="1"/>
    <x v="0"/>
    <x v="2"/>
    <x v="2"/>
  </r>
  <r>
    <n v="1551"/>
    <s v="Meena"/>
    <x v="1"/>
    <n v="26"/>
    <x v="1"/>
    <s v="Financial Analyst"/>
    <x v="0"/>
    <s v="2023-12-02"/>
    <n v="3"/>
    <n v="35589"/>
    <n v="4.3"/>
    <n v="92.6"/>
    <n v="7"/>
    <n v="21"/>
    <n v="6993"/>
    <s v="Suresh"/>
    <x v="0"/>
    <x v="2"/>
    <x v="1"/>
    <x v="1"/>
  </r>
  <r>
    <n v="1552"/>
    <s v="Divya"/>
    <x v="0"/>
    <n v="31"/>
    <x v="1"/>
    <s v="Financial Analyst"/>
    <x v="3"/>
    <s v="2023-01-11"/>
    <n v="9"/>
    <n v="81258"/>
    <n v="4.5"/>
    <n v="93"/>
    <n v="23"/>
    <n v="50"/>
    <n v="14465"/>
    <s v="Kavya"/>
    <x v="0"/>
    <x v="3"/>
    <x v="0"/>
    <x v="2"/>
  </r>
  <r>
    <n v="1553"/>
    <s v="Nikhil"/>
    <x v="1"/>
    <n v="29"/>
    <x v="2"/>
    <s v="Data Analyst"/>
    <x v="0"/>
    <s v="2022-04-01"/>
    <n v="0"/>
    <n v="89523"/>
    <n v="3.2"/>
    <n v="95.2"/>
    <n v="16"/>
    <n v="48"/>
    <n v="3388"/>
    <s v="Ramesh"/>
    <x v="0"/>
    <x v="0"/>
    <x v="0"/>
    <x v="0"/>
  </r>
  <r>
    <n v="1554"/>
    <s v="Divya"/>
    <x v="1"/>
    <n v="27"/>
    <x v="1"/>
    <s v="Financial Analyst"/>
    <x v="4"/>
    <s v="2020-04-04"/>
    <n v="2"/>
    <n v="75201"/>
    <n v="4.2"/>
    <n v="83.8"/>
    <n v="15"/>
    <n v="49"/>
    <n v="14773"/>
    <s v="Kavya"/>
    <x v="1"/>
    <x v="2"/>
    <x v="0"/>
    <x v="0"/>
  </r>
  <r>
    <n v="1555"/>
    <s v="Priya"/>
    <x v="1"/>
    <n v="44"/>
    <x v="2"/>
    <s v="Senior Developer"/>
    <x v="3"/>
    <s v="2022-02-28"/>
    <n v="10"/>
    <n v="44491"/>
    <n v="3.1"/>
    <n v="83.8"/>
    <n v="23"/>
    <n v="10"/>
    <n v="6469"/>
    <s v="Kavya"/>
    <x v="1"/>
    <x v="0"/>
    <x v="1"/>
    <x v="2"/>
  </r>
  <r>
    <n v="1556"/>
    <s v="Vijay"/>
    <x v="0"/>
    <n v="22"/>
    <x v="2"/>
    <s v="Senior Developer"/>
    <x v="3"/>
    <s v="2021-01-22"/>
    <n v="6"/>
    <n v="62428"/>
    <n v="3"/>
    <n v="89.8"/>
    <n v="20"/>
    <n v="22"/>
    <n v="11518"/>
    <s v="Kavya"/>
    <x v="0"/>
    <x v="0"/>
    <x v="2"/>
    <x v="2"/>
  </r>
  <r>
    <n v="1557"/>
    <s v="Varun"/>
    <x v="0"/>
    <n v="26"/>
    <x v="4"/>
    <s v="Marketing Executive"/>
    <x v="3"/>
    <s v="2023-10-23"/>
    <n v="5"/>
    <n v="87853"/>
    <n v="4.4000000000000004"/>
    <n v="89.9"/>
    <n v="7"/>
    <n v="41"/>
    <n v="2850"/>
    <s v="Kavya"/>
    <x v="0"/>
    <x v="2"/>
    <x v="0"/>
    <x v="1"/>
  </r>
  <r>
    <n v="1558"/>
    <s v="Manoj"/>
    <x v="1"/>
    <n v="33"/>
    <x v="3"/>
    <s v="HR Executive"/>
    <x v="4"/>
    <s v="2020-12-29"/>
    <n v="7"/>
    <n v="50018"/>
    <n v="4.2"/>
    <n v="92.7"/>
    <n v="9"/>
    <n v="22"/>
    <n v="10262"/>
    <s v="Amit"/>
    <x v="1"/>
    <x v="2"/>
    <x v="2"/>
    <x v="2"/>
  </r>
  <r>
    <n v="1559"/>
    <s v="Harsha"/>
    <x v="1"/>
    <n v="27"/>
    <x v="2"/>
    <s v="Software Engineer"/>
    <x v="2"/>
    <s v="2018-07-31"/>
    <n v="1"/>
    <n v="39807"/>
    <n v="3.4"/>
    <n v="82.7"/>
    <n v="18"/>
    <n v="18"/>
    <n v="7875"/>
    <s v="Kavya"/>
    <x v="1"/>
    <x v="0"/>
    <x v="1"/>
    <x v="0"/>
  </r>
  <r>
    <n v="1560"/>
    <s v="Anu"/>
    <x v="1"/>
    <n v="26"/>
    <x v="0"/>
    <s v="Sales Manager"/>
    <x v="4"/>
    <s v="2022-11-11"/>
    <n v="3"/>
    <n v="66988"/>
    <n v="4.3"/>
    <n v="83.7"/>
    <n v="4"/>
    <n v="16"/>
    <n v="9648"/>
    <s v="Amit"/>
    <x v="1"/>
    <x v="2"/>
    <x v="2"/>
    <x v="1"/>
  </r>
  <r>
    <n v="1561"/>
    <s v="Pooja"/>
    <x v="1"/>
    <n v="36"/>
    <x v="2"/>
    <s v="Data Analyst"/>
    <x v="1"/>
    <s v="2021-11-25"/>
    <n v="4"/>
    <n v="32893"/>
    <n v="4.5"/>
    <n v="89.7"/>
    <n v="25"/>
    <n v="35"/>
    <n v="11289"/>
    <s v="Ramesh"/>
    <x v="0"/>
    <x v="3"/>
    <x v="1"/>
    <x v="1"/>
  </r>
  <r>
    <n v="1562"/>
    <s v="Vijay"/>
    <x v="0"/>
    <n v="39"/>
    <x v="0"/>
    <s v="Sales Executive"/>
    <x v="0"/>
    <s v="2025-02-17"/>
    <n v="6"/>
    <n v="28407"/>
    <n v="3.2"/>
    <n v="95.5"/>
    <n v="19"/>
    <n v="45"/>
    <n v="12556"/>
    <s v="Suresh"/>
    <x v="0"/>
    <x v="0"/>
    <x v="1"/>
    <x v="2"/>
  </r>
  <r>
    <n v="1563"/>
    <s v="Kiran"/>
    <x v="0"/>
    <n v="23"/>
    <x v="1"/>
    <s v="Financial Analyst"/>
    <x v="2"/>
    <s v="2023-05-25"/>
    <n v="7"/>
    <n v="53821"/>
    <n v="2.9"/>
    <n v="88.2"/>
    <n v="18"/>
    <n v="38"/>
    <n v="4086"/>
    <s v="Ramesh"/>
    <x v="1"/>
    <x v="1"/>
    <x v="2"/>
    <x v="2"/>
  </r>
  <r>
    <n v="1564"/>
    <s v="Ajay"/>
    <x v="1"/>
    <n v="44"/>
    <x v="2"/>
    <s v="Data Analyst"/>
    <x v="0"/>
    <s v="2019-11-18"/>
    <n v="7"/>
    <n v="46756"/>
    <n v="3.6"/>
    <n v="84.2"/>
    <n v="25"/>
    <n v="44"/>
    <n v="7155"/>
    <s v="Ramesh"/>
    <x v="1"/>
    <x v="0"/>
    <x v="1"/>
    <x v="2"/>
  </r>
  <r>
    <n v="1565"/>
    <s v="Ravi"/>
    <x v="0"/>
    <n v="32"/>
    <x v="4"/>
    <s v="Marketing Executive"/>
    <x v="0"/>
    <s v="2019-05-08"/>
    <n v="0"/>
    <n v="43677"/>
    <n v="4.3"/>
    <n v="85.3"/>
    <n v="16"/>
    <n v="47"/>
    <n v="9727"/>
    <s v="Anitha"/>
    <x v="0"/>
    <x v="2"/>
    <x v="1"/>
    <x v="0"/>
  </r>
  <r>
    <n v="1566"/>
    <s v="Nikhil"/>
    <x v="1"/>
    <n v="28"/>
    <x v="1"/>
    <s v="Accountant"/>
    <x v="1"/>
    <s v="2021-09-01"/>
    <n v="0"/>
    <n v="85112"/>
    <n v="3.3"/>
    <n v="83.5"/>
    <n v="10"/>
    <n v="16"/>
    <n v="3895"/>
    <s v="Amit"/>
    <x v="1"/>
    <x v="0"/>
    <x v="0"/>
    <x v="0"/>
  </r>
  <r>
    <n v="1567"/>
    <s v="Divya"/>
    <x v="1"/>
    <n v="40"/>
    <x v="2"/>
    <s v="Software Engineer"/>
    <x v="0"/>
    <s v="2020-03-16"/>
    <n v="10"/>
    <n v="45111"/>
    <n v="2.6"/>
    <n v="99.5"/>
    <n v="3"/>
    <n v="48"/>
    <n v="7025"/>
    <s v="Ramesh"/>
    <x v="1"/>
    <x v="1"/>
    <x v="1"/>
    <x v="2"/>
  </r>
  <r>
    <n v="1568"/>
    <s v="Keerthi"/>
    <x v="0"/>
    <n v="40"/>
    <x v="2"/>
    <s v="Senior Developer"/>
    <x v="1"/>
    <s v="2018-12-11"/>
    <n v="10"/>
    <n v="83634"/>
    <n v="4.3"/>
    <n v="98.6"/>
    <n v="8"/>
    <n v="14"/>
    <n v="11208"/>
    <s v="Suresh"/>
    <x v="1"/>
    <x v="2"/>
    <x v="0"/>
    <x v="2"/>
  </r>
  <r>
    <n v="1569"/>
    <s v="Ajay"/>
    <x v="0"/>
    <n v="43"/>
    <x v="1"/>
    <s v="Accountant"/>
    <x v="3"/>
    <s v="2022-07-20"/>
    <n v="7"/>
    <n v="37207"/>
    <n v="4.7"/>
    <n v="94.3"/>
    <n v="11"/>
    <n v="47"/>
    <n v="2913"/>
    <s v="Suresh"/>
    <x v="1"/>
    <x v="3"/>
    <x v="1"/>
    <x v="2"/>
  </r>
  <r>
    <n v="1570"/>
    <s v="Sneha"/>
    <x v="1"/>
    <n v="36"/>
    <x v="0"/>
    <s v="Sales Manager"/>
    <x v="2"/>
    <s v="2025-04-02"/>
    <n v="9"/>
    <n v="93923"/>
    <n v="4.8"/>
    <n v="94.2"/>
    <n v="6"/>
    <n v="31"/>
    <n v="7485"/>
    <s v="Amit"/>
    <x v="0"/>
    <x v="3"/>
    <x v="0"/>
    <x v="2"/>
  </r>
  <r>
    <n v="1571"/>
    <s v="Deepa"/>
    <x v="0"/>
    <n v="36"/>
    <x v="0"/>
    <s v="Sales Executive"/>
    <x v="4"/>
    <s v="2023-10-29"/>
    <n v="4"/>
    <n v="93290"/>
    <n v="2.6"/>
    <n v="95.5"/>
    <n v="22"/>
    <n v="54"/>
    <n v="3433"/>
    <s v="Ramesh"/>
    <x v="1"/>
    <x v="1"/>
    <x v="0"/>
    <x v="1"/>
  </r>
  <r>
    <n v="1572"/>
    <s v="Kiran"/>
    <x v="0"/>
    <n v="28"/>
    <x v="1"/>
    <s v="Financial Analyst"/>
    <x v="3"/>
    <s v="2024-03-18"/>
    <n v="8"/>
    <n v="71452"/>
    <n v="4.2"/>
    <n v="99.1"/>
    <n v="17"/>
    <n v="10"/>
    <n v="7320"/>
    <s v="Suresh"/>
    <x v="0"/>
    <x v="2"/>
    <x v="0"/>
    <x v="2"/>
  </r>
  <r>
    <n v="1573"/>
    <s v="Meena"/>
    <x v="1"/>
    <n v="27"/>
    <x v="1"/>
    <s v="Accountant"/>
    <x v="3"/>
    <s v="2022-06-25"/>
    <n v="0"/>
    <n v="94489"/>
    <n v="4.9000000000000004"/>
    <n v="85"/>
    <n v="7"/>
    <n v="42"/>
    <n v="8967"/>
    <s v="Amit"/>
    <x v="1"/>
    <x v="3"/>
    <x v="0"/>
    <x v="0"/>
  </r>
  <r>
    <n v="1574"/>
    <s v="Nikhil"/>
    <x v="1"/>
    <n v="40"/>
    <x v="1"/>
    <s v="Accountant"/>
    <x v="4"/>
    <s v="2018-12-08"/>
    <n v="7"/>
    <n v="25063"/>
    <n v="4.7"/>
    <n v="82.3"/>
    <n v="5"/>
    <n v="51"/>
    <n v="5261"/>
    <s v="Kavya"/>
    <x v="0"/>
    <x v="3"/>
    <x v="1"/>
    <x v="2"/>
  </r>
  <r>
    <n v="1575"/>
    <s v="Pooja"/>
    <x v="1"/>
    <n v="34"/>
    <x v="1"/>
    <s v="Accountant"/>
    <x v="4"/>
    <s v="2023-01-19"/>
    <n v="5"/>
    <n v="54064"/>
    <n v="3.8"/>
    <n v="96.7"/>
    <n v="25"/>
    <n v="8"/>
    <n v="14187"/>
    <s v="Kavya"/>
    <x v="1"/>
    <x v="0"/>
    <x v="2"/>
    <x v="1"/>
  </r>
  <r>
    <n v="1576"/>
    <s v="Ajay"/>
    <x v="1"/>
    <n v="42"/>
    <x v="2"/>
    <s v="Senior Developer"/>
    <x v="3"/>
    <s v="2022-01-19"/>
    <n v="9"/>
    <n v="33744"/>
    <n v="3.7"/>
    <n v="82.6"/>
    <n v="25"/>
    <n v="39"/>
    <n v="8668"/>
    <s v="Anitha"/>
    <x v="0"/>
    <x v="0"/>
    <x v="1"/>
    <x v="2"/>
  </r>
  <r>
    <n v="1577"/>
    <s v="Manoj"/>
    <x v="1"/>
    <n v="36"/>
    <x v="2"/>
    <s v="Senior Developer"/>
    <x v="3"/>
    <s v="2023-06-21"/>
    <n v="0"/>
    <n v="81427"/>
    <n v="3.7"/>
    <n v="89.5"/>
    <n v="25"/>
    <n v="58"/>
    <n v="9404"/>
    <s v="Anitha"/>
    <x v="1"/>
    <x v="0"/>
    <x v="0"/>
    <x v="0"/>
  </r>
  <r>
    <n v="1578"/>
    <s v="Anu"/>
    <x v="0"/>
    <n v="29"/>
    <x v="0"/>
    <s v="Sales Manager"/>
    <x v="1"/>
    <s v="2020-12-03"/>
    <n v="5"/>
    <n v="44363"/>
    <n v="2.9"/>
    <n v="95.4"/>
    <n v="11"/>
    <n v="22"/>
    <n v="14707"/>
    <s v="Anitha"/>
    <x v="1"/>
    <x v="1"/>
    <x v="1"/>
    <x v="1"/>
  </r>
  <r>
    <n v="1579"/>
    <s v="Ajay"/>
    <x v="0"/>
    <n v="34"/>
    <x v="2"/>
    <s v="Data Analyst"/>
    <x v="3"/>
    <s v="2018-02-14"/>
    <n v="7"/>
    <n v="66739"/>
    <n v="3.7"/>
    <n v="90.8"/>
    <n v="19"/>
    <n v="11"/>
    <n v="11469"/>
    <s v="Amit"/>
    <x v="0"/>
    <x v="0"/>
    <x v="2"/>
    <x v="2"/>
  </r>
  <r>
    <n v="1580"/>
    <s v="Varun"/>
    <x v="0"/>
    <n v="35"/>
    <x v="3"/>
    <s v="HR Executive"/>
    <x v="3"/>
    <s v="2022-01-10"/>
    <n v="1"/>
    <n v="68529"/>
    <n v="4.3"/>
    <n v="84.8"/>
    <n v="3"/>
    <n v="16"/>
    <n v="9501"/>
    <s v="Suresh"/>
    <x v="0"/>
    <x v="2"/>
    <x v="2"/>
    <x v="0"/>
  </r>
  <r>
    <n v="1581"/>
    <s v="Keerthi"/>
    <x v="1"/>
    <n v="44"/>
    <x v="1"/>
    <s v="Accountant"/>
    <x v="4"/>
    <s v="2019-03-04"/>
    <n v="3"/>
    <n v="66435"/>
    <n v="4.5"/>
    <n v="98.7"/>
    <n v="10"/>
    <n v="47"/>
    <n v="13498"/>
    <s v="Ramesh"/>
    <x v="0"/>
    <x v="3"/>
    <x v="2"/>
    <x v="1"/>
  </r>
  <r>
    <n v="1582"/>
    <s v="Keerthi"/>
    <x v="0"/>
    <n v="22"/>
    <x v="4"/>
    <s v="SEO Analyst"/>
    <x v="1"/>
    <s v="2019-08-25"/>
    <n v="8"/>
    <n v="36144"/>
    <n v="3.5"/>
    <n v="94"/>
    <n v="2"/>
    <n v="44"/>
    <n v="8019"/>
    <s v="Ramesh"/>
    <x v="0"/>
    <x v="0"/>
    <x v="1"/>
    <x v="2"/>
  </r>
  <r>
    <n v="1583"/>
    <s v="Nikhil"/>
    <x v="0"/>
    <n v="27"/>
    <x v="0"/>
    <s v="Sales Executive"/>
    <x v="0"/>
    <s v="2025-05-18"/>
    <n v="7"/>
    <n v="43451"/>
    <n v="3"/>
    <n v="86.5"/>
    <n v="11"/>
    <n v="46"/>
    <n v="7810"/>
    <s v="Ramesh"/>
    <x v="0"/>
    <x v="0"/>
    <x v="1"/>
    <x v="2"/>
  </r>
  <r>
    <n v="1584"/>
    <s v="Sneha"/>
    <x v="0"/>
    <n v="34"/>
    <x v="0"/>
    <s v="Sales Manager"/>
    <x v="1"/>
    <s v="2021-10-02"/>
    <n v="0"/>
    <n v="33159"/>
    <n v="3.1"/>
    <n v="97.8"/>
    <n v="10"/>
    <n v="52"/>
    <n v="5694"/>
    <s v="Ramesh"/>
    <x v="1"/>
    <x v="0"/>
    <x v="1"/>
    <x v="0"/>
  </r>
  <r>
    <n v="1585"/>
    <s v="Pooja"/>
    <x v="0"/>
    <n v="22"/>
    <x v="3"/>
    <s v="HR Executive"/>
    <x v="4"/>
    <s v="2024-04-21"/>
    <n v="9"/>
    <n v="77769"/>
    <n v="4.2"/>
    <n v="89.5"/>
    <n v="9"/>
    <n v="8"/>
    <n v="11981"/>
    <s v="Anitha"/>
    <x v="0"/>
    <x v="2"/>
    <x v="0"/>
    <x v="2"/>
  </r>
  <r>
    <n v="1586"/>
    <s v="Meena"/>
    <x v="0"/>
    <n v="35"/>
    <x v="1"/>
    <s v="Financial Analyst"/>
    <x v="4"/>
    <s v="2019-01-03"/>
    <n v="0"/>
    <n v="81550"/>
    <n v="3.4"/>
    <n v="90.9"/>
    <n v="1"/>
    <n v="48"/>
    <n v="3333"/>
    <s v="Amit"/>
    <x v="1"/>
    <x v="0"/>
    <x v="0"/>
    <x v="0"/>
  </r>
  <r>
    <n v="1587"/>
    <s v="Arjun"/>
    <x v="0"/>
    <n v="22"/>
    <x v="4"/>
    <s v="Marketing Executive"/>
    <x v="4"/>
    <s v="2022-03-02"/>
    <n v="4"/>
    <n v="81821"/>
    <n v="4.0999999999999996"/>
    <n v="91"/>
    <n v="25"/>
    <n v="40"/>
    <n v="10324"/>
    <s v="Ramesh"/>
    <x v="1"/>
    <x v="2"/>
    <x v="0"/>
    <x v="1"/>
  </r>
  <r>
    <n v="1588"/>
    <s v="Deepa"/>
    <x v="0"/>
    <n v="24"/>
    <x v="3"/>
    <s v="HR Manager"/>
    <x v="4"/>
    <s v="2020-10-24"/>
    <n v="1"/>
    <n v="33793"/>
    <n v="4.8"/>
    <n v="86.5"/>
    <n v="19"/>
    <n v="8"/>
    <n v="13150"/>
    <s v="Ramesh"/>
    <x v="1"/>
    <x v="3"/>
    <x v="1"/>
    <x v="0"/>
  </r>
  <r>
    <n v="1589"/>
    <s v="Priya"/>
    <x v="0"/>
    <n v="40"/>
    <x v="1"/>
    <s v="Accountant"/>
    <x v="3"/>
    <s v="2024-02-14"/>
    <n v="4"/>
    <n v="26251"/>
    <n v="4.9000000000000004"/>
    <n v="94"/>
    <n v="14"/>
    <n v="51"/>
    <n v="7952"/>
    <s v="Kavya"/>
    <x v="0"/>
    <x v="3"/>
    <x v="1"/>
    <x v="1"/>
  </r>
  <r>
    <n v="1590"/>
    <s v="Vijay"/>
    <x v="1"/>
    <n v="23"/>
    <x v="1"/>
    <s v="Accountant"/>
    <x v="2"/>
    <s v="2020-08-18"/>
    <n v="2"/>
    <n v="28916"/>
    <n v="2.7"/>
    <n v="87.4"/>
    <n v="2"/>
    <n v="54"/>
    <n v="12383"/>
    <s v="Ramesh"/>
    <x v="1"/>
    <x v="1"/>
    <x v="1"/>
    <x v="0"/>
  </r>
  <r>
    <n v="1591"/>
    <s v="Ajay"/>
    <x v="0"/>
    <n v="32"/>
    <x v="1"/>
    <s v="Financial Analyst"/>
    <x v="2"/>
    <s v="2019-12-29"/>
    <n v="7"/>
    <n v="32753"/>
    <n v="2.5"/>
    <n v="84.6"/>
    <n v="23"/>
    <n v="33"/>
    <n v="6973"/>
    <s v="Ramesh"/>
    <x v="0"/>
    <x v="1"/>
    <x v="1"/>
    <x v="2"/>
  </r>
  <r>
    <n v="1592"/>
    <s v="Ajay"/>
    <x v="1"/>
    <n v="36"/>
    <x v="2"/>
    <s v="Software Engineer"/>
    <x v="4"/>
    <s v="2020-08-21"/>
    <n v="9"/>
    <n v="85211"/>
    <n v="4.4000000000000004"/>
    <n v="89.2"/>
    <n v="4"/>
    <n v="43"/>
    <n v="12288"/>
    <s v="Ramesh"/>
    <x v="0"/>
    <x v="2"/>
    <x v="0"/>
    <x v="2"/>
  </r>
  <r>
    <n v="1593"/>
    <s v="Deepa"/>
    <x v="1"/>
    <n v="32"/>
    <x v="4"/>
    <s v="Marketing Executive"/>
    <x v="0"/>
    <s v="2022-04-27"/>
    <n v="1"/>
    <n v="73531"/>
    <n v="2.7"/>
    <n v="93.7"/>
    <n v="5"/>
    <n v="33"/>
    <n v="11634"/>
    <s v="Suresh"/>
    <x v="0"/>
    <x v="1"/>
    <x v="0"/>
    <x v="0"/>
  </r>
  <r>
    <n v="1594"/>
    <s v="Divya"/>
    <x v="0"/>
    <n v="44"/>
    <x v="4"/>
    <s v="SEO Analyst"/>
    <x v="0"/>
    <s v="2018-02-22"/>
    <n v="0"/>
    <n v="93538"/>
    <n v="2.6"/>
    <n v="87.7"/>
    <n v="21"/>
    <n v="9"/>
    <n v="4403"/>
    <s v="Suresh"/>
    <x v="0"/>
    <x v="1"/>
    <x v="0"/>
    <x v="0"/>
  </r>
  <r>
    <n v="1595"/>
    <s v="Divya"/>
    <x v="0"/>
    <n v="37"/>
    <x v="1"/>
    <s v="Accountant"/>
    <x v="2"/>
    <s v="2023-10-21"/>
    <n v="2"/>
    <n v="31694"/>
    <n v="3.6"/>
    <n v="88.1"/>
    <n v="23"/>
    <n v="30"/>
    <n v="6939"/>
    <s v="Amit"/>
    <x v="0"/>
    <x v="0"/>
    <x v="1"/>
    <x v="0"/>
  </r>
  <r>
    <n v="1596"/>
    <s v="Vijay"/>
    <x v="0"/>
    <n v="33"/>
    <x v="4"/>
    <s v="Marketing Executive"/>
    <x v="4"/>
    <s v="2018-01-05"/>
    <n v="9"/>
    <n v="88494"/>
    <n v="3.9"/>
    <n v="86.2"/>
    <n v="9"/>
    <n v="31"/>
    <n v="5264"/>
    <s v="Suresh"/>
    <x v="1"/>
    <x v="0"/>
    <x v="0"/>
    <x v="2"/>
  </r>
  <r>
    <n v="1597"/>
    <s v="Ajay"/>
    <x v="1"/>
    <n v="29"/>
    <x v="1"/>
    <s v="Financial Analyst"/>
    <x v="3"/>
    <s v="2018-03-13"/>
    <n v="1"/>
    <n v="44941"/>
    <n v="5"/>
    <n v="89.4"/>
    <n v="9"/>
    <n v="26"/>
    <n v="11024"/>
    <s v="Ramesh"/>
    <x v="1"/>
    <x v="3"/>
    <x v="1"/>
    <x v="0"/>
  </r>
  <r>
    <n v="1598"/>
    <s v="Harsha"/>
    <x v="1"/>
    <n v="42"/>
    <x v="2"/>
    <s v="Software Engineer"/>
    <x v="1"/>
    <s v="2020-11-12"/>
    <n v="9"/>
    <n v="78591"/>
    <n v="3"/>
    <n v="89.6"/>
    <n v="3"/>
    <n v="42"/>
    <n v="2229"/>
    <s v="Anitha"/>
    <x v="0"/>
    <x v="0"/>
    <x v="0"/>
    <x v="2"/>
  </r>
  <r>
    <n v="1599"/>
    <s v="Arjun"/>
    <x v="1"/>
    <n v="23"/>
    <x v="2"/>
    <s v="Software Engineer"/>
    <x v="5"/>
    <s v="2025-01-19"/>
    <n v="3"/>
    <m/>
    <n v="3.2"/>
    <n v="93.9"/>
    <n v="17"/>
    <n v="60"/>
    <n v="8918"/>
    <s v="Ramesh"/>
    <x v="1"/>
    <x v="0"/>
    <x v="1"/>
    <x v="1"/>
  </r>
  <r>
    <n v="1600"/>
    <s v="Harsha"/>
    <x v="0"/>
    <n v="25"/>
    <x v="1"/>
    <s v="Financial Analyst"/>
    <x v="2"/>
    <s v="2021-02-07"/>
    <n v="0"/>
    <n v="77791"/>
    <n v="2.8"/>
    <n v="92.2"/>
    <n v="2"/>
    <n v="12"/>
    <n v="3798"/>
    <s v="Amit"/>
    <x v="1"/>
    <x v="1"/>
    <x v="0"/>
    <x v="0"/>
  </r>
  <r>
    <n v="1601"/>
    <s v="Divya"/>
    <x v="0"/>
    <n v="23"/>
    <x v="2"/>
    <s v="Software Engineer"/>
    <x v="3"/>
    <s v="2022-04-12"/>
    <n v="7"/>
    <n v="36670"/>
    <n v="4.5999999999999996"/>
    <n v="98.8"/>
    <n v="14"/>
    <n v="25"/>
    <n v="4444"/>
    <s v="Ramesh"/>
    <x v="1"/>
    <x v="3"/>
    <x v="1"/>
    <x v="2"/>
  </r>
  <r>
    <n v="1602"/>
    <s v="Sai"/>
    <x v="1"/>
    <n v="36"/>
    <x v="2"/>
    <s v="Data Analyst"/>
    <x v="2"/>
    <s v="2018-10-11"/>
    <n v="0"/>
    <n v="74530"/>
    <n v="3.1"/>
    <n v="84.1"/>
    <n v="9"/>
    <n v="30"/>
    <n v="13369"/>
    <s v="Anitha"/>
    <x v="0"/>
    <x v="0"/>
    <x v="0"/>
    <x v="0"/>
  </r>
  <r>
    <n v="1603"/>
    <s v="Ravi"/>
    <x v="0"/>
    <n v="22"/>
    <x v="0"/>
    <s v="Sales Manager"/>
    <x v="1"/>
    <s v="2019-02-23"/>
    <n v="9"/>
    <n v="72218"/>
    <n v="3.7"/>
    <n v="95.8"/>
    <n v="23"/>
    <n v="37"/>
    <n v="7204"/>
    <s v="Amit"/>
    <x v="1"/>
    <x v="0"/>
    <x v="0"/>
    <x v="2"/>
  </r>
  <r>
    <n v="1604"/>
    <s v="Divya"/>
    <x v="0"/>
    <n v="36"/>
    <x v="2"/>
    <s v="Software Engineer"/>
    <x v="1"/>
    <s v="2021-07-25"/>
    <n v="8"/>
    <n v="51878"/>
    <n v="3"/>
    <n v="99.7"/>
    <n v="3"/>
    <n v="25"/>
    <n v="14177"/>
    <s v="Kavya"/>
    <x v="0"/>
    <x v="0"/>
    <x v="2"/>
    <x v="2"/>
  </r>
  <r>
    <n v="1605"/>
    <s v="Priya"/>
    <x v="0"/>
    <n v="31"/>
    <x v="0"/>
    <s v="Sales Executive"/>
    <x v="2"/>
    <s v="2023-01-27"/>
    <n v="10"/>
    <n v="77681"/>
    <n v="3.9"/>
    <n v="86.5"/>
    <n v="9"/>
    <n v="5"/>
    <n v="13385"/>
    <s v="Amit"/>
    <x v="0"/>
    <x v="0"/>
    <x v="0"/>
    <x v="2"/>
  </r>
  <r>
    <n v="1606"/>
    <s v="Nikhil"/>
    <x v="1"/>
    <n v="26"/>
    <x v="2"/>
    <s v="Data Analyst"/>
    <x v="1"/>
    <s v="2022-01-07"/>
    <n v="1"/>
    <n v="59254"/>
    <n v="2.8"/>
    <n v="97.6"/>
    <n v="7"/>
    <n v="23"/>
    <n v="12133"/>
    <s v="Kavya"/>
    <x v="1"/>
    <x v="1"/>
    <x v="2"/>
    <x v="0"/>
  </r>
  <r>
    <n v="1607"/>
    <s v="Arjun"/>
    <x v="1"/>
    <n v="26"/>
    <x v="3"/>
    <s v="HR Executive"/>
    <x v="3"/>
    <s v="2024-11-12"/>
    <n v="3"/>
    <n v="75033"/>
    <n v="4.4000000000000004"/>
    <n v="91.4"/>
    <n v="15"/>
    <n v="33"/>
    <n v="1164"/>
    <s v="Amit"/>
    <x v="1"/>
    <x v="2"/>
    <x v="0"/>
    <x v="1"/>
  </r>
  <r>
    <n v="1608"/>
    <s v="Divya"/>
    <x v="0"/>
    <n v="43"/>
    <x v="0"/>
    <s v="Sales Executive"/>
    <x v="0"/>
    <s v="2018-08-25"/>
    <n v="6"/>
    <n v="37087"/>
    <n v="3.7"/>
    <n v="92.8"/>
    <n v="19"/>
    <n v="28"/>
    <n v="7700"/>
    <s v="Ramesh"/>
    <x v="1"/>
    <x v="0"/>
    <x v="1"/>
    <x v="2"/>
  </r>
  <r>
    <n v="1609"/>
    <s v="Kiran"/>
    <x v="0"/>
    <n v="29"/>
    <x v="0"/>
    <s v="Sales Manager"/>
    <x v="1"/>
    <s v="2022-09-17"/>
    <n v="6"/>
    <n v="67091"/>
    <n v="3.7"/>
    <n v="99.2"/>
    <n v="20"/>
    <n v="36"/>
    <n v="1094"/>
    <s v="Kavya"/>
    <x v="0"/>
    <x v="0"/>
    <x v="2"/>
    <x v="2"/>
  </r>
  <r>
    <n v="1610"/>
    <s v="Harsha"/>
    <x v="0"/>
    <n v="28"/>
    <x v="1"/>
    <s v="Financial Analyst"/>
    <x v="2"/>
    <s v="2025-01-12"/>
    <n v="7"/>
    <n v="48277"/>
    <n v="3.3"/>
    <n v="96.8"/>
    <n v="3"/>
    <n v="10"/>
    <n v="2261"/>
    <s v="Kavya"/>
    <x v="0"/>
    <x v="0"/>
    <x v="1"/>
    <x v="2"/>
  </r>
  <r>
    <n v="1611"/>
    <s v="Priya"/>
    <x v="0"/>
    <n v="33"/>
    <x v="2"/>
    <s v="Data Analyst"/>
    <x v="4"/>
    <s v="2019-07-28"/>
    <n v="2"/>
    <n v="64018"/>
    <n v="2.6"/>
    <n v="96.7"/>
    <n v="4"/>
    <n v="60"/>
    <n v="9001"/>
    <s v="Amit"/>
    <x v="0"/>
    <x v="1"/>
    <x v="2"/>
    <x v="0"/>
  </r>
  <r>
    <n v="1612"/>
    <s v="Vijay"/>
    <x v="1"/>
    <n v="27"/>
    <x v="1"/>
    <s v="Financial Analyst"/>
    <x v="3"/>
    <s v="2019-06-21"/>
    <n v="0"/>
    <n v="46615"/>
    <n v="3.1"/>
    <n v="85.9"/>
    <n v="20"/>
    <n v="10"/>
    <n v="12199"/>
    <s v="Ramesh"/>
    <x v="0"/>
    <x v="0"/>
    <x v="1"/>
    <x v="0"/>
  </r>
  <r>
    <n v="1613"/>
    <s v="Pooja"/>
    <x v="0"/>
    <n v="35"/>
    <x v="1"/>
    <s v="Financial Analyst"/>
    <x v="4"/>
    <s v="2019-07-17"/>
    <n v="0"/>
    <n v="80297"/>
    <n v="3.6"/>
    <n v="90.2"/>
    <n v="14"/>
    <n v="48"/>
    <n v="11545"/>
    <s v="Ramesh"/>
    <x v="1"/>
    <x v="0"/>
    <x v="0"/>
    <x v="0"/>
  </r>
  <r>
    <n v="1614"/>
    <s v="Divya"/>
    <x v="0"/>
    <n v="34"/>
    <x v="1"/>
    <s v="Accountant"/>
    <x v="4"/>
    <s v="2019-08-21"/>
    <n v="0"/>
    <n v="43275"/>
    <n v="3.4"/>
    <n v="97.1"/>
    <n v="19"/>
    <n v="56"/>
    <n v="3490"/>
    <s v="Kavya"/>
    <x v="1"/>
    <x v="0"/>
    <x v="1"/>
    <x v="0"/>
  </r>
  <r>
    <n v="1615"/>
    <s v="Vijay"/>
    <x v="0"/>
    <n v="24"/>
    <x v="2"/>
    <s v="Data Analyst"/>
    <x v="4"/>
    <s v="2021-11-06"/>
    <n v="4"/>
    <n v="51694"/>
    <n v="2.5"/>
    <n v="98.6"/>
    <n v="8"/>
    <n v="14"/>
    <n v="9582"/>
    <s v="Kavya"/>
    <x v="1"/>
    <x v="1"/>
    <x v="2"/>
    <x v="1"/>
  </r>
  <r>
    <n v="1616"/>
    <s v="Divya"/>
    <x v="0"/>
    <n v="29"/>
    <x v="1"/>
    <s v="Accountant"/>
    <x v="0"/>
    <s v="2020-04-07"/>
    <n v="10"/>
    <n v="44509"/>
    <n v="5"/>
    <n v="88.2"/>
    <n v="3"/>
    <n v="44"/>
    <n v="5806"/>
    <s v="Kavya"/>
    <x v="0"/>
    <x v="3"/>
    <x v="1"/>
    <x v="2"/>
  </r>
  <r>
    <n v="1617"/>
    <s v="Ajay"/>
    <x v="0"/>
    <n v="28"/>
    <x v="1"/>
    <s v="Accountant"/>
    <x v="3"/>
    <s v="2018-02-24"/>
    <n v="8"/>
    <n v="60980"/>
    <n v="3.2"/>
    <n v="89.7"/>
    <n v="7"/>
    <n v="36"/>
    <n v="7273"/>
    <s v="Kavya"/>
    <x v="0"/>
    <x v="0"/>
    <x v="2"/>
    <x v="2"/>
  </r>
  <r>
    <n v="1618"/>
    <s v="Anu"/>
    <x v="1"/>
    <n v="24"/>
    <x v="3"/>
    <s v="HR Manager"/>
    <x v="4"/>
    <s v="2018-04-23"/>
    <n v="2"/>
    <n v="26776"/>
    <n v="3.2"/>
    <n v="90.1"/>
    <n v="11"/>
    <n v="57"/>
    <n v="12831"/>
    <s v="Kavya"/>
    <x v="0"/>
    <x v="0"/>
    <x v="1"/>
    <x v="0"/>
  </r>
  <r>
    <n v="1619"/>
    <s v="Vijay"/>
    <x v="0"/>
    <n v="43"/>
    <x v="1"/>
    <s v="Accountant"/>
    <x v="3"/>
    <s v="2019-08-15"/>
    <n v="4"/>
    <n v="58150"/>
    <n v="4.8"/>
    <n v="95.3"/>
    <n v="13"/>
    <n v="8"/>
    <n v="5864"/>
    <s v="Anitha"/>
    <x v="1"/>
    <x v="3"/>
    <x v="2"/>
    <x v="1"/>
  </r>
  <r>
    <n v="1620"/>
    <s v="Ajay"/>
    <x v="1"/>
    <n v="27"/>
    <x v="4"/>
    <s v="Marketing Executive"/>
    <x v="3"/>
    <s v="2021-03-11"/>
    <n v="3"/>
    <n v="70420"/>
    <n v="4.8"/>
    <n v="95.1"/>
    <n v="9"/>
    <n v="44"/>
    <n v="5646"/>
    <s v="Amit"/>
    <x v="1"/>
    <x v="3"/>
    <x v="0"/>
    <x v="1"/>
  </r>
  <r>
    <n v="1621"/>
    <s v="Sai"/>
    <x v="0"/>
    <n v="30"/>
    <x v="1"/>
    <s v="Accountant"/>
    <x v="4"/>
    <s v="2021-09-07"/>
    <n v="9"/>
    <n v="56224"/>
    <n v="2.8"/>
    <n v="91.3"/>
    <n v="20"/>
    <n v="54"/>
    <n v="9770"/>
    <s v="Anitha"/>
    <x v="0"/>
    <x v="1"/>
    <x v="2"/>
    <x v="2"/>
  </r>
  <r>
    <n v="1622"/>
    <s v="Deepa"/>
    <x v="1"/>
    <n v="39"/>
    <x v="2"/>
    <s v="Software Engineer"/>
    <x v="0"/>
    <s v="2022-04-04"/>
    <n v="9"/>
    <n v="90668"/>
    <n v="2.8"/>
    <n v="90.8"/>
    <n v="24"/>
    <n v="30"/>
    <n v="8005"/>
    <s v="Ramesh"/>
    <x v="1"/>
    <x v="1"/>
    <x v="0"/>
    <x v="2"/>
  </r>
  <r>
    <n v="1623"/>
    <s v="Rahul"/>
    <x v="1"/>
    <n v="42"/>
    <x v="2"/>
    <s v="Software Engineer"/>
    <x v="3"/>
    <s v="2019-07-24"/>
    <n v="4"/>
    <n v="59325"/>
    <n v="4.5"/>
    <n v="91.1"/>
    <n v="23"/>
    <n v="8"/>
    <n v="3078"/>
    <s v="Anitha"/>
    <x v="0"/>
    <x v="3"/>
    <x v="2"/>
    <x v="1"/>
  </r>
  <r>
    <n v="1624"/>
    <s v="Sonia"/>
    <x v="0"/>
    <n v="28"/>
    <x v="1"/>
    <s v="Financial Analyst"/>
    <x v="0"/>
    <s v="2022-07-20"/>
    <n v="1"/>
    <n v="94124"/>
    <n v="4.8"/>
    <n v="83.5"/>
    <n v="22"/>
    <n v="22"/>
    <n v="3016"/>
    <s v="Suresh"/>
    <x v="1"/>
    <x v="3"/>
    <x v="0"/>
    <x v="0"/>
  </r>
  <r>
    <n v="1625"/>
    <s v="Keerthi"/>
    <x v="1"/>
    <n v="45"/>
    <x v="2"/>
    <s v="Data Analyst"/>
    <x v="4"/>
    <s v="2020-08-11"/>
    <n v="8"/>
    <n v="59565"/>
    <n v="3.3"/>
    <n v="93.3"/>
    <n v="14"/>
    <n v="60"/>
    <n v="11439"/>
    <s v="Kavya"/>
    <x v="0"/>
    <x v="0"/>
    <x v="2"/>
    <x v="2"/>
  </r>
  <r>
    <n v="1626"/>
    <s v="Ravi"/>
    <x v="1"/>
    <n v="34"/>
    <x v="1"/>
    <s v="Financial Analyst"/>
    <x v="0"/>
    <s v="2021-01-26"/>
    <n v="9"/>
    <n v="29076"/>
    <n v="3.7"/>
    <n v="86.5"/>
    <n v="3"/>
    <n v="14"/>
    <n v="13558"/>
    <s v="Anitha"/>
    <x v="0"/>
    <x v="0"/>
    <x v="1"/>
    <x v="2"/>
  </r>
  <r>
    <n v="1627"/>
    <s v="Manoj"/>
    <x v="0"/>
    <n v="35"/>
    <x v="4"/>
    <s v="SEO Analyst"/>
    <x v="4"/>
    <s v="2020-01-10"/>
    <n v="5"/>
    <n v="79023"/>
    <n v="4.8"/>
    <n v="99.4"/>
    <n v="7"/>
    <n v="42"/>
    <n v="10614"/>
    <s v="Ramesh"/>
    <x v="0"/>
    <x v="3"/>
    <x v="0"/>
    <x v="1"/>
  </r>
  <r>
    <n v="1628"/>
    <s v="Priya"/>
    <x v="0"/>
    <n v="26"/>
    <x v="2"/>
    <s v="Senior Developer"/>
    <x v="1"/>
    <s v="2018-03-11"/>
    <n v="6"/>
    <n v="61860"/>
    <n v="3.6"/>
    <n v="85.2"/>
    <n v="17"/>
    <n v="19"/>
    <n v="6793"/>
    <s v="Ramesh"/>
    <x v="1"/>
    <x v="0"/>
    <x v="2"/>
    <x v="2"/>
  </r>
  <r>
    <n v="1629"/>
    <s v="Sai"/>
    <x v="1"/>
    <n v="42"/>
    <x v="0"/>
    <s v="Sales Manager"/>
    <x v="4"/>
    <s v="2020-02-26"/>
    <n v="8"/>
    <n v="88604"/>
    <n v="2.9"/>
    <n v="93.5"/>
    <n v="16"/>
    <n v="33"/>
    <n v="12841"/>
    <s v="Suresh"/>
    <x v="1"/>
    <x v="1"/>
    <x v="0"/>
    <x v="2"/>
  </r>
  <r>
    <n v="1630"/>
    <s v="Rahul"/>
    <x v="1"/>
    <n v="28"/>
    <x v="2"/>
    <s v="Software Engineer"/>
    <x v="0"/>
    <s v="2021-07-18"/>
    <n v="1"/>
    <n v="46125"/>
    <n v="4.2"/>
    <n v="99.5"/>
    <n v="9"/>
    <n v="21"/>
    <n v="8217"/>
    <s v="Kavya"/>
    <x v="0"/>
    <x v="2"/>
    <x v="1"/>
    <x v="0"/>
  </r>
  <r>
    <n v="1631"/>
    <s v="Nikhil"/>
    <x v="1"/>
    <n v="44"/>
    <x v="3"/>
    <s v="HR Executive"/>
    <x v="1"/>
    <s v="2022-09-12"/>
    <n v="7"/>
    <n v="86001"/>
    <n v="3.5"/>
    <n v="93.7"/>
    <n v="5"/>
    <n v="12"/>
    <n v="13021"/>
    <s v="Kavya"/>
    <x v="0"/>
    <x v="0"/>
    <x v="0"/>
    <x v="2"/>
  </r>
  <r>
    <n v="1632"/>
    <s v="Anu"/>
    <x v="0"/>
    <n v="37"/>
    <x v="2"/>
    <s v="Senior Developer"/>
    <x v="2"/>
    <s v="2020-08-09"/>
    <n v="5"/>
    <n v="28887"/>
    <n v="3.4"/>
    <n v="99.4"/>
    <n v="0"/>
    <n v="51"/>
    <n v="7573"/>
    <s v="Kavya"/>
    <x v="0"/>
    <x v="0"/>
    <x v="1"/>
    <x v="1"/>
  </r>
  <r>
    <n v="1633"/>
    <s v="Ajay"/>
    <x v="1"/>
    <n v="39"/>
    <x v="2"/>
    <s v="Software Engineer"/>
    <x v="1"/>
    <s v="2024-09-20"/>
    <n v="9"/>
    <n v="60530"/>
    <n v="3.9"/>
    <n v="99.4"/>
    <n v="13"/>
    <n v="52"/>
    <n v="3725"/>
    <s v="Anitha"/>
    <x v="0"/>
    <x v="0"/>
    <x v="2"/>
    <x v="2"/>
  </r>
  <r>
    <n v="1634"/>
    <s v="Vijay"/>
    <x v="1"/>
    <n v="28"/>
    <x v="0"/>
    <s v="Sales Manager"/>
    <x v="2"/>
    <s v="2024-05-05"/>
    <n v="1"/>
    <n v="93849"/>
    <n v="3"/>
    <n v="86.8"/>
    <n v="8"/>
    <n v="16"/>
    <n v="8863"/>
    <s v="Suresh"/>
    <x v="1"/>
    <x v="0"/>
    <x v="0"/>
    <x v="0"/>
  </r>
  <r>
    <n v="1635"/>
    <s v="Meena"/>
    <x v="0"/>
    <n v="39"/>
    <x v="3"/>
    <s v="HR Executive"/>
    <x v="2"/>
    <s v="2020-08-31"/>
    <n v="8"/>
    <n v="79725"/>
    <n v="2.7"/>
    <n v="90.3"/>
    <n v="16"/>
    <n v="13"/>
    <n v="6211"/>
    <s v="Kavya"/>
    <x v="0"/>
    <x v="1"/>
    <x v="0"/>
    <x v="2"/>
  </r>
  <r>
    <n v="1636"/>
    <s v="Sneha"/>
    <x v="1"/>
    <n v="40"/>
    <x v="4"/>
    <s v="Marketing Executive"/>
    <x v="3"/>
    <s v="2023-06-15"/>
    <n v="7"/>
    <n v="73842"/>
    <n v="2.8"/>
    <n v="97.3"/>
    <n v="17"/>
    <n v="50"/>
    <n v="5402"/>
    <s v="Suresh"/>
    <x v="1"/>
    <x v="1"/>
    <x v="0"/>
    <x v="2"/>
  </r>
  <r>
    <n v="1637"/>
    <s v="Kiran"/>
    <x v="1"/>
    <n v="35"/>
    <x v="4"/>
    <s v="Marketing Executive"/>
    <x v="4"/>
    <s v="2018-02-08"/>
    <n v="1"/>
    <n v="72925"/>
    <n v="3.8"/>
    <n v="97.4"/>
    <n v="17"/>
    <n v="15"/>
    <n v="7134"/>
    <s v="Suresh"/>
    <x v="1"/>
    <x v="0"/>
    <x v="0"/>
    <x v="0"/>
  </r>
  <r>
    <n v="1638"/>
    <s v="Kiran"/>
    <x v="0"/>
    <n v="37"/>
    <x v="4"/>
    <s v="Marketing Executive"/>
    <x v="3"/>
    <s v="2023-12-12"/>
    <n v="10"/>
    <n v="57970"/>
    <n v="3.9"/>
    <n v="84.8"/>
    <n v="3"/>
    <n v="44"/>
    <n v="4013"/>
    <s v="Amit"/>
    <x v="0"/>
    <x v="0"/>
    <x v="2"/>
    <x v="2"/>
  </r>
  <r>
    <n v="1639"/>
    <s v="Ajay"/>
    <x v="1"/>
    <n v="35"/>
    <x v="4"/>
    <s v="SEO Analyst"/>
    <x v="4"/>
    <s v="2022-08-16"/>
    <n v="9"/>
    <n v="47602"/>
    <n v="2.8"/>
    <n v="94"/>
    <n v="0"/>
    <n v="24"/>
    <n v="1927"/>
    <s v="Suresh"/>
    <x v="0"/>
    <x v="1"/>
    <x v="1"/>
    <x v="2"/>
  </r>
  <r>
    <n v="1640"/>
    <s v="Ravi"/>
    <x v="1"/>
    <n v="40"/>
    <x v="2"/>
    <s v="Data Analyst"/>
    <x v="4"/>
    <s v="2023-03-17"/>
    <n v="5"/>
    <n v="69027"/>
    <n v="4.3"/>
    <n v="90.2"/>
    <n v="19"/>
    <n v="48"/>
    <n v="11340"/>
    <s v="Anitha"/>
    <x v="0"/>
    <x v="2"/>
    <x v="2"/>
    <x v="1"/>
  </r>
  <r>
    <n v="1641"/>
    <s v="Ajay"/>
    <x v="0"/>
    <n v="24"/>
    <x v="1"/>
    <s v="Accountant"/>
    <x v="1"/>
    <s v="2024-10-17"/>
    <n v="1"/>
    <n v="84937"/>
    <n v="4.9000000000000004"/>
    <n v="83.4"/>
    <n v="1"/>
    <n v="41"/>
    <n v="1229"/>
    <s v="Kavya"/>
    <x v="0"/>
    <x v="3"/>
    <x v="0"/>
    <x v="0"/>
  </r>
  <r>
    <n v="1642"/>
    <s v="Vijay"/>
    <x v="1"/>
    <n v="27"/>
    <x v="4"/>
    <s v="SEO Analyst"/>
    <x v="2"/>
    <s v="2022-07-12"/>
    <n v="9"/>
    <n v="67996"/>
    <n v="3.3"/>
    <n v="83.6"/>
    <n v="8"/>
    <n v="57"/>
    <n v="12662"/>
    <s v="Ramesh"/>
    <x v="1"/>
    <x v="0"/>
    <x v="2"/>
    <x v="2"/>
  </r>
  <r>
    <n v="1643"/>
    <s v="Anu"/>
    <x v="0"/>
    <n v="27"/>
    <x v="3"/>
    <s v="HR Manager"/>
    <x v="0"/>
    <s v="2020-07-22"/>
    <n v="2"/>
    <n v="48221"/>
    <n v="2.9"/>
    <n v="85.5"/>
    <n v="21"/>
    <n v="36"/>
    <n v="3982"/>
    <s v="Ramesh"/>
    <x v="1"/>
    <x v="1"/>
    <x v="1"/>
    <x v="0"/>
  </r>
  <r>
    <n v="1644"/>
    <s v="Arjun"/>
    <x v="0"/>
    <n v="38"/>
    <x v="1"/>
    <s v="Financial Analyst"/>
    <x v="1"/>
    <s v="2021-10-25"/>
    <n v="3"/>
    <n v="51302"/>
    <n v="4.0999999999999996"/>
    <n v="90"/>
    <n v="19"/>
    <n v="21"/>
    <n v="6239"/>
    <s v="Ramesh"/>
    <x v="0"/>
    <x v="2"/>
    <x v="2"/>
    <x v="1"/>
  </r>
  <r>
    <n v="1645"/>
    <s v="Nikhil"/>
    <x v="0"/>
    <n v="39"/>
    <x v="0"/>
    <s v="Sales Manager"/>
    <x v="0"/>
    <s v="2020-10-17"/>
    <n v="3"/>
    <n v="70558"/>
    <n v="3.1"/>
    <n v="83.4"/>
    <n v="0"/>
    <n v="54"/>
    <n v="9488"/>
    <s v="Ramesh"/>
    <x v="1"/>
    <x v="0"/>
    <x v="0"/>
    <x v="1"/>
  </r>
  <r>
    <n v="1646"/>
    <s v="Nikhil"/>
    <x v="0"/>
    <n v="37"/>
    <x v="2"/>
    <s v="Senior Developer"/>
    <x v="0"/>
    <s v="2022-05-11"/>
    <n v="0"/>
    <n v="78976"/>
    <n v="3.7"/>
    <n v="94.5"/>
    <n v="25"/>
    <n v="29"/>
    <n v="11992"/>
    <s v="Ramesh"/>
    <x v="1"/>
    <x v="0"/>
    <x v="0"/>
    <x v="0"/>
  </r>
  <r>
    <n v="1647"/>
    <s v="Pooja"/>
    <x v="0"/>
    <n v="24"/>
    <x v="1"/>
    <s v="Accountant"/>
    <x v="0"/>
    <s v="2020-09-01"/>
    <n v="9"/>
    <n v="73578"/>
    <n v="4.5999999999999996"/>
    <n v="93.1"/>
    <n v="23"/>
    <n v="11"/>
    <n v="6622"/>
    <s v="Kavya"/>
    <x v="0"/>
    <x v="3"/>
    <x v="0"/>
    <x v="2"/>
  </r>
  <r>
    <n v="1648"/>
    <s v="Priya"/>
    <x v="0"/>
    <n v="22"/>
    <x v="4"/>
    <s v="Marketing Executive"/>
    <x v="2"/>
    <s v="2019-10-04"/>
    <n v="6"/>
    <n v="89122"/>
    <n v="4"/>
    <n v="99"/>
    <n v="12"/>
    <n v="42"/>
    <n v="5454"/>
    <s v="Ramesh"/>
    <x v="0"/>
    <x v="2"/>
    <x v="0"/>
    <x v="2"/>
  </r>
  <r>
    <n v="1649"/>
    <s v="Deepa"/>
    <x v="1"/>
    <n v="45"/>
    <x v="4"/>
    <s v="SEO Analyst"/>
    <x v="1"/>
    <s v="2025-04-07"/>
    <n v="1"/>
    <n v="87696"/>
    <n v="3.5"/>
    <n v="82.8"/>
    <n v="18"/>
    <n v="35"/>
    <n v="1194"/>
    <s v="Suresh"/>
    <x v="1"/>
    <x v="0"/>
    <x v="0"/>
    <x v="0"/>
  </r>
  <r>
    <n v="1650"/>
    <s v="Ravi"/>
    <x v="0"/>
    <n v="36"/>
    <x v="1"/>
    <s v="Accountant"/>
    <x v="4"/>
    <s v="2025-02-10"/>
    <n v="4"/>
    <n v="69123"/>
    <n v="3.4"/>
    <n v="93.6"/>
    <n v="19"/>
    <n v="32"/>
    <n v="7860"/>
    <s v="Ramesh"/>
    <x v="1"/>
    <x v="0"/>
    <x v="2"/>
    <x v="1"/>
  </r>
  <r>
    <n v="1651"/>
    <s v="Varun"/>
    <x v="1"/>
    <n v="23"/>
    <x v="2"/>
    <s v="Data Analyst"/>
    <x v="0"/>
    <s v="2020-03-12"/>
    <n v="4"/>
    <n v="59783"/>
    <n v="3.7"/>
    <n v="94.9"/>
    <n v="4"/>
    <n v="46"/>
    <n v="6711"/>
    <s v="Amit"/>
    <x v="1"/>
    <x v="0"/>
    <x v="2"/>
    <x v="1"/>
  </r>
  <r>
    <n v="1652"/>
    <s v="Vijay"/>
    <x v="0"/>
    <n v="43"/>
    <x v="3"/>
    <s v="HR Executive"/>
    <x v="4"/>
    <s v="2022-12-26"/>
    <n v="10"/>
    <n v="35764"/>
    <n v="4.2"/>
    <n v="93.7"/>
    <n v="13"/>
    <n v="8"/>
    <n v="9406"/>
    <s v="Amit"/>
    <x v="0"/>
    <x v="2"/>
    <x v="1"/>
    <x v="2"/>
  </r>
  <r>
    <n v="1653"/>
    <s v="Varun"/>
    <x v="1"/>
    <n v="28"/>
    <x v="4"/>
    <s v="Marketing Executive"/>
    <x v="3"/>
    <s v="2019-08-19"/>
    <n v="4"/>
    <n v="33064"/>
    <n v="4.8"/>
    <n v="82.1"/>
    <n v="11"/>
    <n v="31"/>
    <n v="12320"/>
    <s v="Suresh"/>
    <x v="0"/>
    <x v="3"/>
    <x v="1"/>
    <x v="1"/>
  </r>
  <r>
    <n v="1654"/>
    <s v="Rahul"/>
    <x v="0"/>
    <n v="35"/>
    <x v="2"/>
    <s v="Data Analyst"/>
    <x v="2"/>
    <s v="2019-10-22"/>
    <n v="6"/>
    <n v="88897"/>
    <n v="4.9000000000000004"/>
    <n v="99"/>
    <n v="19"/>
    <n v="39"/>
    <n v="8680"/>
    <s v="Amit"/>
    <x v="0"/>
    <x v="3"/>
    <x v="0"/>
    <x v="2"/>
  </r>
  <r>
    <n v="1655"/>
    <s v="Sneha"/>
    <x v="0"/>
    <n v="36"/>
    <x v="3"/>
    <s v="HR Executive"/>
    <x v="1"/>
    <s v="2022-05-20"/>
    <n v="4"/>
    <n v="36667"/>
    <n v="4.3"/>
    <n v="84.4"/>
    <n v="21"/>
    <n v="24"/>
    <n v="5168"/>
    <s v="Suresh"/>
    <x v="1"/>
    <x v="2"/>
    <x v="1"/>
    <x v="1"/>
  </r>
  <r>
    <n v="1656"/>
    <s v="Keerthi"/>
    <x v="0"/>
    <n v="31"/>
    <x v="3"/>
    <s v="HR Executive"/>
    <x v="4"/>
    <s v="2019-05-15"/>
    <n v="1"/>
    <n v="37683"/>
    <n v="4.5999999999999996"/>
    <n v="99.2"/>
    <n v="20"/>
    <n v="11"/>
    <n v="8528"/>
    <s v="Ramesh"/>
    <x v="1"/>
    <x v="3"/>
    <x v="1"/>
    <x v="0"/>
  </r>
  <r>
    <n v="1657"/>
    <s v="Harsha"/>
    <x v="0"/>
    <n v="42"/>
    <x v="1"/>
    <s v="Financial Analyst"/>
    <x v="2"/>
    <s v="2022-12-04"/>
    <n v="10"/>
    <n v="89234"/>
    <n v="3.7"/>
    <n v="91"/>
    <n v="12"/>
    <n v="58"/>
    <n v="13325"/>
    <s v="Amit"/>
    <x v="0"/>
    <x v="0"/>
    <x v="0"/>
    <x v="2"/>
  </r>
  <r>
    <n v="1658"/>
    <s v="Anu"/>
    <x v="0"/>
    <n v="36"/>
    <x v="3"/>
    <s v="HR Executive"/>
    <x v="3"/>
    <s v="2019-10-18"/>
    <n v="1"/>
    <n v="55762"/>
    <n v="4.4000000000000004"/>
    <n v="95.4"/>
    <n v="20"/>
    <n v="25"/>
    <n v="10607"/>
    <s v="Ramesh"/>
    <x v="0"/>
    <x v="2"/>
    <x v="2"/>
    <x v="0"/>
  </r>
  <r>
    <n v="1659"/>
    <s v="Sai"/>
    <x v="0"/>
    <n v="27"/>
    <x v="4"/>
    <s v="Marketing Executive"/>
    <x v="2"/>
    <s v="2018-09-05"/>
    <n v="7"/>
    <n v="81436"/>
    <n v="4.2"/>
    <n v="87.6"/>
    <n v="1"/>
    <n v="13"/>
    <n v="9207"/>
    <s v="Amit"/>
    <x v="1"/>
    <x v="2"/>
    <x v="0"/>
    <x v="2"/>
  </r>
  <r>
    <n v="1660"/>
    <s v="Divya"/>
    <x v="0"/>
    <n v="39"/>
    <x v="2"/>
    <s v="Software Engineer"/>
    <x v="3"/>
    <s v="2019-12-30"/>
    <n v="9"/>
    <n v="75151"/>
    <n v="4.2"/>
    <n v="89.2"/>
    <n v="5"/>
    <n v="45"/>
    <n v="5546"/>
    <s v="Amit"/>
    <x v="0"/>
    <x v="2"/>
    <x v="0"/>
    <x v="2"/>
  </r>
  <r>
    <n v="1661"/>
    <s v="Harsha"/>
    <x v="0"/>
    <n v="22"/>
    <x v="2"/>
    <s v="Data Analyst"/>
    <x v="2"/>
    <s v="2019-07-15"/>
    <n v="7"/>
    <n v="61976"/>
    <n v="4.2"/>
    <n v="82.8"/>
    <n v="5"/>
    <n v="33"/>
    <n v="13549"/>
    <s v="Amit"/>
    <x v="1"/>
    <x v="2"/>
    <x v="2"/>
    <x v="2"/>
  </r>
  <r>
    <n v="1662"/>
    <s v="Divya"/>
    <x v="1"/>
    <n v="33"/>
    <x v="2"/>
    <s v="Data Analyst"/>
    <x v="1"/>
    <s v="2019-08-13"/>
    <n v="3"/>
    <n v="70165"/>
    <n v="4"/>
    <n v="86.9"/>
    <n v="24"/>
    <n v="59"/>
    <n v="9897"/>
    <s v="Ramesh"/>
    <x v="0"/>
    <x v="2"/>
    <x v="0"/>
    <x v="1"/>
  </r>
  <r>
    <n v="1663"/>
    <s v="Deepa"/>
    <x v="0"/>
    <n v="32"/>
    <x v="3"/>
    <s v="HR Manager"/>
    <x v="4"/>
    <s v="2022-10-24"/>
    <n v="3"/>
    <n v="32784"/>
    <n v="3.8"/>
    <n v="91.9"/>
    <n v="0"/>
    <n v="47"/>
    <n v="13357"/>
    <s v="Ramesh"/>
    <x v="1"/>
    <x v="0"/>
    <x v="1"/>
    <x v="1"/>
  </r>
  <r>
    <n v="1664"/>
    <s v="Ravi"/>
    <x v="0"/>
    <n v="23"/>
    <x v="2"/>
    <s v="Software Engineer"/>
    <x v="1"/>
    <s v="2023-03-21"/>
    <n v="8"/>
    <n v="94698"/>
    <n v="2.6"/>
    <n v="83"/>
    <n v="5"/>
    <n v="7"/>
    <n v="13743"/>
    <s v="Ramesh"/>
    <x v="0"/>
    <x v="1"/>
    <x v="0"/>
    <x v="2"/>
  </r>
  <r>
    <n v="1665"/>
    <s v="Nikhil"/>
    <x v="1"/>
    <n v="25"/>
    <x v="0"/>
    <s v="Sales Executive"/>
    <x v="0"/>
    <s v="2024-04-11"/>
    <n v="8"/>
    <n v="43919"/>
    <n v="4.3"/>
    <n v="82.5"/>
    <n v="18"/>
    <n v="30"/>
    <n v="1569"/>
    <s v="Suresh"/>
    <x v="1"/>
    <x v="2"/>
    <x v="1"/>
    <x v="2"/>
  </r>
  <r>
    <n v="1666"/>
    <s v="Deepa"/>
    <x v="0"/>
    <n v="29"/>
    <x v="1"/>
    <s v="Financial Analyst"/>
    <x v="3"/>
    <s v="2023-08-24"/>
    <n v="3"/>
    <n v="64961"/>
    <n v="3.6"/>
    <n v="93.2"/>
    <n v="18"/>
    <n v="42"/>
    <n v="8991"/>
    <s v="Suresh"/>
    <x v="0"/>
    <x v="0"/>
    <x v="2"/>
    <x v="1"/>
  </r>
  <r>
    <n v="1667"/>
    <s v="Nikhil"/>
    <x v="1"/>
    <n v="30"/>
    <x v="0"/>
    <s v="Sales Manager"/>
    <x v="3"/>
    <s v="2021-11-03"/>
    <n v="0"/>
    <n v="87017"/>
    <n v="3.6"/>
    <n v="85"/>
    <n v="8"/>
    <n v="32"/>
    <n v="11809"/>
    <s v="Kavya"/>
    <x v="1"/>
    <x v="0"/>
    <x v="0"/>
    <x v="0"/>
  </r>
  <r>
    <n v="1668"/>
    <s v="Rahul"/>
    <x v="1"/>
    <n v="36"/>
    <x v="0"/>
    <s v="Sales Executive"/>
    <x v="0"/>
    <s v="2021-10-25"/>
    <n v="2"/>
    <n v="35931"/>
    <n v="4"/>
    <n v="84.5"/>
    <n v="20"/>
    <n v="55"/>
    <n v="9391"/>
    <s v="Suresh"/>
    <x v="1"/>
    <x v="2"/>
    <x v="1"/>
    <x v="0"/>
  </r>
  <r>
    <n v="1669"/>
    <s v="Meena"/>
    <x v="0"/>
    <n v="42"/>
    <x v="4"/>
    <s v="Marketing Executive"/>
    <x v="4"/>
    <s v="2023-07-10"/>
    <n v="6"/>
    <n v="50786"/>
    <n v="3.9"/>
    <n v="87.1"/>
    <n v="24"/>
    <n v="39"/>
    <n v="8751"/>
    <s v="Kavya"/>
    <x v="0"/>
    <x v="0"/>
    <x v="2"/>
    <x v="2"/>
  </r>
  <r>
    <n v="1670"/>
    <s v="Arjun"/>
    <x v="1"/>
    <n v="34"/>
    <x v="0"/>
    <s v="Sales Manager"/>
    <x v="0"/>
    <s v="2019-08-02"/>
    <n v="8"/>
    <n v="67673"/>
    <n v="2.8"/>
    <n v="94.2"/>
    <n v="23"/>
    <n v="24"/>
    <n v="14575"/>
    <s v="Amit"/>
    <x v="0"/>
    <x v="1"/>
    <x v="2"/>
    <x v="2"/>
  </r>
  <r>
    <n v="1671"/>
    <s v="Varun"/>
    <x v="0"/>
    <n v="27"/>
    <x v="2"/>
    <s v="Software Engineer"/>
    <x v="4"/>
    <s v="2023-06-30"/>
    <n v="1"/>
    <n v="72424"/>
    <n v="4.3"/>
    <n v="96.9"/>
    <n v="25"/>
    <n v="38"/>
    <n v="11718"/>
    <s v="Amit"/>
    <x v="1"/>
    <x v="2"/>
    <x v="0"/>
    <x v="0"/>
  </r>
  <r>
    <n v="1672"/>
    <s v="Varun"/>
    <x v="0"/>
    <n v="32"/>
    <x v="3"/>
    <s v="HR Manager"/>
    <x v="4"/>
    <s v="2019-09-23"/>
    <n v="8"/>
    <n v="54862"/>
    <n v="3.9"/>
    <n v="94"/>
    <n v="25"/>
    <n v="7"/>
    <n v="3724"/>
    <s v="Suresh"/>
    <x v="1"/>
    <x v="0"/>
    <x v="2"/>
    <x v="2"/>
  </r>
  <r>
    <n v="1673"/>
    <s v="Manoj"/>
    <x v="1"/>
    <n v="42"/>
    <x v="1"/>
    <s v="Accountant"/>
    <x v="3"/>
    <s v="2024-02-11"/>
    <n v="7"/>
    <n v="80194"/>
    <n v="3"/>
    <n v="99.3"/>
    <n v="12"/>
    <n v="40"/>
    <n v="7991"/>
    <s v="Anitha"/>
    <x v="0"/>
    <x v="0"/>
    <x v="0"/>
    <x v="2"/>
  </r>
  <r>
    <n v="1674"/>
    <s v="Priya"/>
    <x v="0"/>
    <n v="29"/>
    <x v="1"/>
    <s v="Accountant"/>
    <x v="2"/>
    <s v="2023-03-03"/>
    <n v="2"/>
    <n v="50955"/>
    <n v="2.8"/>
    <n v="94.6"/>
    <n v="21"/>
    <n v="58"/>
    <n v="12892"/>
    <s v="Kavya"/>
    <x v="0"/>
    <x v="1"/>
    <x v="2"/>
    <x v="0"/>
  </r>
  <r>
    <n v="1675"/>
    <s v="Arjun"/>
    <x v="0"/>
    <n v="39"/>
    <x v="1"/>
    <s v="Financial Analyst"/>
    <x v="2"/>
    <s v="2021-12-31"/>
    <n v="4"/>
    <n v="90511"/>
    <n v="4"/>
    <n v="97.4"/>
    <n v="19"/>
    <n v="16"/>
    <n v="14550"/>
    <s v="Amit"/>
    <x v="1"/>
    <x v="2"/>
    <x v="0"/>
    <x v="1"/>
  </r>
  <r>
    <n v="1676"/>
    <s v="Pooja"/>
    <x v="0"/>
    <n v="25"/>
    <x v="3"/>
    <s v="HR Executive"/>
    <x v="1"/>
    <s v="2018-12-06"/>
    <n v="7"/>
    <n v="40313"/>
    <n v="4"/>
    <n v="99.1"/>
    <n v="14"/>
    <n v="12"/>
    <n v="10975"/>
    <s v="Anitha"/>
    <x v="1"/>
    <x v="2"/>
    <x v="1"/>
    <x v="2"/>
  </r>
  <r>
    <n v="1677"/>
    <s v="Priya"/>
    <x v="0"/>
    <n v="28"/>
    <x v="1"/>
    <s v="Accountant"/>
    <x v="3"/>
    <s v="2021-01-29"/>
    <n v="0"/>
    <n v="74167"/>
    <n v="2.6"/>
    <n v="87.9"/>
    <n v="2"/>
    <n v="34"/>
    <n v="4943"/>
    <s v="Suresh"/>
    <x v="0"/>
    <x v="1"/>
    <x v="0"/>
    <x v="0"/>
  </r>
  <r>
    <n v="1678"/>
    <s v="Sneha"/>
    <x v="1"/>
    <n v="31"/>
    <x v="4"/>
    <s v="Marketing Executive"/>
    <x v="0"/>
    <s v="2021-08-17"/>
    <n v="6"/>
    <n v="46198"/>
    <n v="2.6"/>
    <n v="83.1"/>
    <n v="15"/>
    <n v="34"/>
    <n v="9388"/>
    <s v="Amit"/>
    <x v="0"/>
    <x v="1"/>
    <x v="1"/>
    <x v="2"/>
  </r>
  <r>
    <n v="1679"/>
    <s v="Divya"/>
    <x v="0"/>
    <n v="24"/>
    <x v="3"/>
    <s v="HR Executive"/>
    <x v="3"/>
    <s v="2023-09-07"/>
    <n v="6"/>
    <n v="31136"/>
    <n v="4.9000000000000004"/>
    <n v="94.4"/>
    <n v="12"/>
    <n v="39"/>
    <n v="3165"/>
    <s v="Suresh"/>
    <x v="1"/>
    <x v="3"/>
    <x v="1"/>
    <x v="2"/>
  </r>
  <r>
    <n v="1680"/>
    <s v="Anu"/>
    <x v="1"/>
    <n v="28"/>
    <x v="0"/>
    <s v="Sales Executive"/>
    <x v="0"/>
    <s v="2021-06-25"/>
    <n v="8"/>
    <n v="75011"/>
    <n v="3.3"/>
    <n v="89.9"/>
    <n v="15"/>
    <n v="52"/>
    <n v="14358"/>
    <s v="Anitha"/>
    <x v="0"/>
    <x v="0"/>
    <x v="0"/>
    <x v="2"/>
  </r>
  <r>
    <n v="1681"/>
    <s v="Ajay"/>
    <x v="1"/>
    <n v="22"/>
    <x v="3"/>
    <s v="HR Executive"/>
    <x v="4"/>
    <s v="2024-09-25"/>
    <n v="8"/>
    <n v="44982"/>
    <n v="4.2"/>
    <n v="83.8"/>
    <n v="9"/>
    <n v="18"/>
    <n v="4037"/>
    <s v="Suresh"/>
    <x v="0"/>
    <x v="2"/>
    <x v="1"/>
    <x v="2"/>
  </r>
  <r>
    <n v="1682"/>
    <s v="Divya"/>
    <x v="0"/>
    <n v="35"/>
    <x v="3"/>
    <s v="HR Executive"/>
    <x v="4"/>
    <s v="2023-03-15"/>
    <n v="0"/>
    <n v="92374"/>
    <n v="2.7"/>
    <n v="89.3"/>
    <n v="1"/>
    <n v="11"/>
    <n v="4453"/>
    <s v="Anitha"/>
    <x v="1"/>
    <x v="1"/>
    <x v="0"/>
    <x v="0"/>
  </r>
  <r>
    <n v="1683"/>
    <s v="Ajay"/>
    <x v="0"/>
    <n v="23"/>
    <x v="4"/>
    <s v="SEO Analyst"/>
    <x v="0"/>
    <s v="2021-02-18"/>
    <n v="10"/>
    <n v="79902"/>
    <n v="4.5999999999999996"/>
    <n v="86.8"/>
    <n v="25"/>
    <n v="7"/>
    <n v="12999"/>
    <s v="Amit"/>
    <x v="0"/>
    <x v="3"/>
    <x v="0"/>
    <x v="2"/>
  </r>
  <r>
    <n v="1684"/>
    <s v="Anu"/>
    <x v="1"/>
    <n v="38"/>
    <x v="0"/>
    <s v="Sales Manager"/>
    <x v="4"/>
    <s v="2020-10-04"/>
    <n v="6"/>
    <n v="67436"/>
    <n v="4.5"/>
    <n v="90.2"/>
    <n v="21"/>
    <n v="58"/>
    <n v="9462"/>
    <s v="Suresh"/>
    <x v="1"/>
    <x v="3"/>
    <x v="2"/>
    <x v="2"/>
  </r>
  <r>
    <n v="1685"/>
    <s v="Nikhil"/>
    <x v="0"/>
    <n v="25"/>
    <x v="4"/>
    <s v="SEO Analyst"/>
    <x v="2"/>
    <s v="2024-06-07"/>
    <n v="7"/>
    <n v="89012"/>
    <n v="4"/>
    <n v="93"/>
    <n v="17"/>
    <n v="52"/>
    <n v="7634"/>
    <s v="Anitha"/>
    <x v="0"/>
    <x v="2"/>
    <x v="0"/>
    <x v="2"/>
  </r>
  <r>
    <n v="1686"/>
    <s v="Ajay"/>
    <x v="0"/>
    <n v="22"/>
    <x v="2"/>
    <s v="Senior Developer"/>
    <x v="0"/>
    <s v="2022-11-20"/>
    <n v="1"/>
    <n v="42191"/>
    <n v="3.5"/>
    <n v="93.5"/>
    <n v="17"/>
    <n v="6"/>
    <n v="13378"/>
    <s v="Ramesh"/>
    <x v="1"/>
    <x v="0"/>
    <x v="1"/>
    <x v="0"/>
  </r>
  <r>
    <n v="1687"/>
    <s v="Nikhil"/>
    <x v="1"/>
    <n v="41"/>
    <x v="1"/>
    <s v="Financial Analyst"/>
    <x v="3"/>
    <s v="2021-10-23"/>
    <n v="7"/>
    <n v="51209"/>
    <n v="4.7"/>
    <n v="86.8"/>
    <n v="13"/>
    <n v="56"/>
    <n v="10104"/>
    <s v="Kavya"/>
    <x v="0"/>
    <x v="3"/>
    <x v="2"/>
    <x v="2"/>
  </r>
  <r>
    <n v="1688"/>
    <s v="Sonia"/>
    <x v="0"/>
    <n v="39"/>
    <x v="1"/>
    <s v="Financial Analyst"/>
    <x v="4"/>
    <s v="2022-10-02"/>
    <n v="6"/>
    <n v="55415"/>
    <n v="4.5999999999999996"/>
    <n v="87"/>
    <n v="21"/>
    <n v="30"/>
    <n v="12559"/>
    <s v="Kavya"/>
    <x v="1"/>
    <x v="3"/>
    <x v="2"/>
    <x v="2"/>
  </r>
  <r>
    <n v="1689"/>
    <s v="Sai"/>
    <x v="0"/>
    <n v="37"/>
    <x v="2"/>
    <s v="Data Analyst"/>
    <x v="4"/>
    <s v="2018-04-25"/>
    <n v="3"/>
    <n v="87570"/>
    <n v="3.3"/>
    <n v="92.9"/>
    <n v="2"/>
    <n v="54"/>
    <n v="12648"/>
    <s v="Amit"/>
    <x v="1"/>
    <x v="0"/>
    <x v="0"/>
    <x v="1"/>
  </r>
  <r>
    <n v="1690"/>
    <s v="Priya"/>
    <x v="0"/>
    <n v="39"/>
    <x v="3"/>
    <s v="HR Executive"/>
    <x v="4"/>
    <s v="2018-01-19"/>
    <n v="7"/>
    <n v="80316"/>
    <n v="4.2"/>
    <n v="93.1"/>
    <n v="20"/>
    <n v="36"/>
    <n v="14704"/>
    <s v="Amit"/>
    <x v="1"/>
    <x v="2"/>
    <x v="0"/>
    <x v="2"/>
  </r>
  <r>
    <n v="1691"/>
    <s v="Pooja"/>
    <x v="0"/>
    <n v="31"/>
    <x v="1"/>
    <s v="Financial Analyst"/>
    <x v="2"/>
    <s v="2022-01-26"/>
    <n v="7"/>
    <n v="34205"/>
    <n v="4.4000000000000004"/>
    <n v="89.8"/>
    <n v="5"/>
    <n v="47"/>
    <n v="7985"/>
    <s v="Ramesh"/>
    <x v="1"/>
    <x v="2"/>
    <x v="1"/>
    <x v="2"/>
  </r>
  <r>
    <n v="1692"/>
    <s v="Meena"/>
    <x v="0"/>
    <n v="26"/>
    <x v="1"/>
    <s v="Financial Analyst"/>
    <x v="0"/>
    <s v="2018-09-26"/>
    <n v="0"/>
    <n v="93240"/>
    <n v="4"/>
    <n v="95.4"/>
    <n v="0"/>
    <n v="59"/>
    <n v="10703"/>
    <s v="Suresh"/>
    <x v="0"/>
    <x v="2"/>
    <x v="0"/>
    <x v="0"/>
  </r>
  <r>
    <n v="1693"/>
    <s v="Ajay"/>
    <x v="0"/>
    <n v="24"/>
    <x v="1"/>
    <s v="Accountant"/>
    <x v="4"/>
    <s v="2020-07-10"/>
    <n v="4"/>
    <n v="94325"/>
    <n v="4.3"/>
    <n v="99.6"/>
    <n v="2"/>
    <n v="48"/>
    <n v="1486"/>
    <s v="Kavya"/>
    <x v="1"/>
    <x v="2"/>
    <x v="0"/>
    <x v="1"/>
  </r>
  <r>
    <n v="1694"/>
    <s v="Varun"/>
    <x v="1"/>
    <n v="30"/>
    <x v="0"/>
    <s v="Sales Manager"/>
    <x v="2"/>
    <s v="2018-10-13"/>
    <n v="5"/>
    <n v="64575"/>
    <n v="2.9"/>
    <n v="82.8"/>
    <n v="3"/>
    <n v="36"/>
    <n v="11246"/>
    <s v="Anitha"/>
    <x v="0"/>
    <x v="1"/>
    <x v="2"/>
    <x v="1"/>
  </r>
  <r>
    <n v="1695"/>
    <s v="Keerthi"/>
    <x v="0"/>
    <n v="42"/>
    <x v="1"/>
    <s v="Financial Analyst"/>
    <x v="3"/>
    <s v="2018-04-26"/>
    <n v="7"/>
    <n v="91896"/>
    <n v="3.5"/>
    <n v="83.5"/>
    <n v="17"/>
    <n v="22"/>
    <n v="6022"/>
    <s v="Ramesh"/>
    <x v="0"/>
    <x v="0"/>
    <x v="0"/>
    <x v="2"/>
  </r>
  <r>
    <n v="1696"/>
    <s v="Priya"/>
    <x v="0"/>
    <n v="40"/>
    <x v="3"/>
    <s v="HR Executive"/>
    <x v="4"/>
    <s v="2020-08-27"/>
    <n v="7"/>
    <n v="65826"/>
    <n v="3.6"/>
    <n v="84.5"/>
    <n v="18"/>
    <n v="44"/>
    <n v="11583"/>
    <s v="Amit"/>
    <x v="1"/>
    <x v="0"/>
    <x v="2"/>
    <x v="2"/>
  </r>
  <r>
    <n v="1697"/>
    <s v="Nikhil"/>
    <x v="0"/>
    <n v="33"/>
    <x v="2"/>
    <s v="Software Engineer"/>
    <x v="0"/>
    <s v="2021-01-26"/>
    <n v="7"/>
    <n v="67143"/>
    <n v="4.2"/>
    <n v="96.9"/>
    <n v="2"/>
    <n v="37"/>
    <n v="8609"/>
    <s v="Anitha"/>
    <x v="1"/>
    <x v="2"/>
    <x v="2"/>
    <x v="2"/>
  </r>
  <r>
    <n v="1698"/>
    <s v="Nikhil"/>
    <x v="1"/>
    <n v="43"/>
    <x v="2"/>
    <s v="Senior Developer"/>
    <x v="3"/>
    <s v="2019-01-23"/>
    <n v="6"/>
    <n v="26497"/>
    <n v="3.1"/>
    <n v="95.8"/>
    <n v="12"/>
    <n v="5"/>
    <n v="13871"/>
    <s v="Amit"/>
    <x v="0"/>
    <x v="0"/>
    <x v="1"/>
    <x v="2"/>
  </r>
  <r>
    <n v="1699"/>
    <s v="Sonia"/>
    <x v="0"/>
    <n v="25"/>
    <x v="2"/>
    <s v="Software Engineer"/>
    <x v="2"/>
    <s v="2024-11-03"/>
    <n v="9"/>
    <n v="60570"/>
    <n v="2.9"/>
    <n v="95.3"/>
    <n v="6"/>
    <n v="14"/>
    <n v="3092"/>
    <s v="Kavya"/>
    <x v="0"/>
    <x v="1"/>
    <x v="2"/>
    <x v="2"/>
  </r>
  <r>
    <n v="1700"/>
    <s v="Deepa"/>
    <x v="1"/>
    <n v="37"/>
    <x v="0"/>
    <s v="Sales Executive"/>
    <x v="2"/>
    <s v="2020-08-31"/>
    <n v="2"/>
    <n v="58459"/>
    <n v="3.3"/>
    <n v="96.3"/>
    <n v="16"/>
    <n v="56"/>
    <n v="1252"/>
    <s v="Suresh"/>
    <x v="1"/>
    <x v="0"/>
    <x v="2"/>
    <x v="0"/>
  </r>
  <r>
    <n v="1701"/>
    <s v="Ravi"/>
    <x v="1"/>
    <n v="39"/>
    <x v="2"/>
    <s v="Senior Developer"/>
    <x v="2"/>
    <s v="2022-08-07"/>
    <n v="6"/>
    <n v="86009"/>
    <n v="2.8"/>
    <n v="99.8"/>
    <n v="22"/>
    <n v="14"/>
    <n v="8998"/>
    <s v="Amit"/>
    <x v="1"/>
    <x v="1"/>
    <x v="0"/>
    <x v="2"/>
  </r>
  <r>
    <n v="1702"/>
    <s v="Anu"/>
    <x v="1"/>
    <n v="32"/>
    <x v="0"/>
    <s v="Sales Manager"/>
    <x v="3"/>
    <s v="2018-02-16"/>
    <n v="4"/>
    <n v="77724"/>
    <n v="4.5"/>
    <n v="95.9"/>
    <n v="20"/>
    <n v="20"/>
    <n v="12223"/>
    <s v="Ramesh"/>
    <x v="0"/>
    <x v="3"/>
    <x v="0"/>
    <x v="1"/>
  </r>
  <r>
    <n v="1703"/>
    <s v="Arjun"/>
    <x v="1"/>
    <n v="33"/>
    <x v="2"/>
    <s v="Data Analyst"/>
    <x v="0"/>
    <s v="2019-11-17"/>
    <n v="0"/>
    <n v="53019"/>
    <n v="3"/>
    <n v="97.4"/>
    <n v="13"/>
    <n v="39"/>
    <n v="2046"/>
    <s v="Amit"/>
    <x v="1"/>
    <x v="0"/>
    <x v="2"/>
    <x v="0"/>
  </r>
  <r>
    <n v="1704"/>
    <s v="Kiran"/>
    <x v="0"/>
    <n v="36"/>
    <x v="3"/>
    <s v="HR Executive"/>
    <x v="0"/>
    <s v="2024-03-02"/>
    <n v="8"/>
    <n v="76902"/>
    <n v="4.5999999999999996"/>
    <n v="85.2"/>
    <n v="4"/>
    <n v="10"/>
    <n v="6761"/>
    <s v="Amit"/>
    <x v="1"/>
    <x v="3"/>
    <x v="0"/>
    <x v="2"/>
  </r>
  <r>
    <n v="1705"/>
    <s v="Anu"/>
    <x v="0"/>
    <n v="39"/>
    <x v="2"/>
    <s v="Senior Developer"/>
    <x v="0"/>
    <s v="2024-07-03"/>
    <n v="6"/>
    <n v="54843"/>
    <n v="2.6"/>
    <n v="89.6"/>
    <n v="15"/>
    <n v="38"/>
    <n v="13185"/>
    <s v="Suresh"/>
    <x v="1"/>
    <x v="1"/>
    <x v="2"/>
    <x v="2"/>
  </r>
  <r>
    <n v="1706"/>
    <s v="Anu"/>
    <x v="0"/>
    <n v="40"/>
    <x v="0"/>
    <s v="Sales Manager"/>
    <x v="1"/>
    <s v="2024-11-12"/>
    <n v="5"/>
    <n v="43264"/>
    <n v="3.9"/>
    <n v="95.2"/>
    <n v="12"/>
    <n v="52"/>
    <n v="13618"/>
    <s v="Suresh"/>
    <x v="0"/>
    <x v="0"/>
    <x v="1"/>
    <x v="1"/>
  </r>
  <r>
    <n v="1707"/>
    <s v="Anu"/>
    <x v="0"/>
    <n v="43"/>
    <x v="2"/>
    <s v="Software Engineer"/>
    <x v="1"/>
    <s v="2024-04-26"/>
    <n v="5"/>
    <n v="88556"/>
    <n v="3.6"/>
    <n v="97.8"/>
    <n v="8"/>
    <n v="17"/>
    <n v="1060"/>
    <s v="Anitha"/>
    <x v="1"/>
    <x v="0"/>
    <x v="0"/>
    <x v="1"/>
  </r>
  <r>
    <n v="1708"/>
    <s v="Sneha"/>
    <x v="0"/>
    <n v="26"/>
    <x v="2"/>
    <s v="Senior Developer"/>
    <x v="0"/>
    <s v="2022-09-04"/>
    <n v="4"/>
    <n v="62683"/>
    <n v="4.7"/>
    <n v="94.2"/>
    <n v="25"/>
    <n v="57"/>
    <n v="1781"/>
    <s v="Ramesh"/>
    <x v="0"/>
    <x v="3"/>
    <x v="2"/>
    <x v="1"/>
  </r>
  <r>
    <n v="1709"/>
    <s v="Harsha"/>
    <x v="0"/>
    <n v="34"/>
    <x v="1"/>
    <s v="Financial Analyst"/>
    <x v="1"/>
    <s v="2024-05-15"/>
    <n v="4"/>
    <n v="85431"/>
    <n v="3.7"/>
    <n v="83.5"/>
    <n v="21"/>
    <n v="21"/>
    <n v="5266"/>
    <s v="Suresh"/>
    <x v="1"/>
    <x v="0"/>
    <x v="0"/>
    <x v="1"/>
  </r>
  <r>
    <n v="1710"/>
    <s v="Pooja"/>
    <x v="0"/>
    <n v="34"/>
    <x v="1"/>
    <s v="Financial Analyst"/>
    <x v="4"/>
    <s v="2021-03-29"/>
    <n v="1"/>
    <n v="38625"/>
    <n v="4.2"/>
    <n v="85.8"/>
    <n v="2"/>
    <n v="13"/>
    <n v="2082"/>
    <s v="Ramesh"/>
    <x v="0"/>
    <x v="2"/>
    <x v="1"/>
    <x v="0"/>
  </r>
  <r>
    <n v="1711"/>
    <s v="Keerthi"/>
    <x v="0"/>
    <n v="24"/>
    <x v="0"/>
    <s v="Sales Executive"/>
    <x v="3"/>
    <s v="2019-04-21"/>
    <n v="4"/>
    <n v="64575"/>
    <n v="3.3"/>
    <n v="98.9"/>
    <n v="17"/>
    <n v="39"/>
    <n v="6129"/>
    <s v="Amit"/>
    <x v="0"/>
    <x v="0"/>
    <x v="2"/>
    <x v="1"/>
  </r>
  <r>
    <n v="1712"/>
    <s v="Sonia"/>
    <x v="1"/>
    <n v="31"/>
    <x v="2"/>
    <s v="Data Analyst"/>
    <x v="2"/>
    <s v="2019-07-19"/>
    <n v="7"/>
    <n v="58077"/>
    <n v="3.7"/>
    <n v="94.8"/>
    <n v="9"/>
    <n v="31"/>
    <n v="7761"/>
    <s v="Kavya"/>
    <x v="0"/>
    <x v="0"/>
    <x v="2"/>
    <x v="2"/>
  </r>
  <r>
    <n v="1713"/>
    <s v="Sonia"/>
    <x v="0"/>
    <n v="32"/>
    <x v="4"/>
    <s v="Marketing Executive"/>
    <x v="3"/>
    <s v="2020-07-13"/>
    <n v="10"/>
    <n v="42066"/>
    <n v="4.4000000000000004"/>
    <n v="97.2"/>
    <n v="2"/>
    <n v="44"/>
    <n v="12597"/>
    <s v="Anitha"/>
    <x v="1"/>
    <x v="2"/>
    <x v="1"/>
    <x v="2"/>
  </r>
  <r>
    <n v="1714"/>
    <s v="Manoj"/>
    <x v="0"/>
    <n v="28"/>
    <x v="0"/>
    <s v="Sales Executive"/>
    <x v="0"/>
    <s v="2024-09-14"/>
    <n v="3"/>
    <n v="63007"/>
    <n v="4.5"/>
    <n v="85.6"/>
    <n v="20"/>
    <n v="38"/>
    <n v="1473"/>
    <s v="Suresh"/>
    <x v="1"/>
    <x v="3"/>
    <x v="2"/>
    <x v="1"/>
  </r>
  <r>
    <n v="1715"/>
    <s v="Vijay"/>
    <x v="0"/>
    <n v="34"/>
    <x v="4"/>
    <s v="SEO Analyst"/>
    <x v="0"/>
    <s v="2018-03-06"/>
    <n v="5"/>
    <n v="71423"/>
    <n v="3.7"/>
    <n v="90.7"/>
    <n v="10"/>
    <n v="53"/>
    <n v="3436"/>
    <s v="Anitha"/>
    <x v="0"/>
    <x v="0"/>
    <x v="0"/>
    <x v="1"/>
  </r>
  <r>
    <n v="1716"/>
    <s v="Varun"/>
    <x v="0"/>
    <n v="41"/>
    <x v="3"/>
    <s v="HR Manager"/>
    <x v="4"/>
    <s v="2020-10-19"/>
    <n v="4"/>
    <n v="94482"/>
    <n v="4.5"/>
    <n v="82.3"/>
    <n v="24"/>
    <n v="13"/>
    <n v="14800"/>
    <s v="Ramesh"/>
    <x v="1"/>
    <x v="3"/>
    <x v="0"/>
    <x v="1"/>
  </r>
  <r>
    <n v="1717"/>
    <s v="Harsha"/>
    <x v="0"/>
    <n v="30"/>
    <x v="4"/>
    <s v="Marketing Executive"/>
    <x v="4"/>
    <s v="2025-03-19"/>
    <n v="10"/>
    <n v="62931"/>
    <n v="3.1"/>
    <n v="98.9"/>
    <n v="8"/>
    <n v="46"/>
    <n v="1466"/>
    <s v="Suresh"/>
    <x v="0"/>
    <x v="0"/>
    <x v="2"/>
    <x v="2"/>
  </r>
  <r>
    <n v="1718"/>
    <s v="Divya"/>
    <x v="1"/>
    <n v="42"/>
    <x v="0"/>
    <s v="Sales Executive"/>
    <x v="1"/>
    <s v="2023-04-12"/>
    <n v="8"/>
    <n v="47495"/>
    <n v="4.0999999999999996"/>
    <n v="99.1"/>
    <n v="7"/>
    <n v="14"/>
    <n v="14190"/>
    <s v="Ramesh"/>
    <x v="0"/>
    <x v="2"/>
    <x v="1"/>
    <x v="2"/>
  </r>
  <r>
    <n v="1719"/>
    <s v="Pooja"/>
    <x v="1"/>
    <n v="28"/>
    <x v="2"/>
    <s v="Software Engineer"/>
    <x v="4"/>
    <s v="2019-12-17"/>
    <n v="5"/>
    <n v="35162"/>
    <n v="3.7"/>
    <n v="98.3"/>
    <n v="5"/>
    <n v="55"/>
    <n v="7450"/>
    <s v="Amit"/>
    <x v="1"/>
    <x v="0"/>
    <x v="1"/>
    <x v="1"/>
  </r>
  <r>
    <n v="1720"/>
    <s v="Anu"/>
    <x v="0"/>
    <n v="23"/>
    <x v="1"/>
    <s v="Accountant"/>
    <x v="3"/>
    <s v="2024-02-24"/>
    <n v="6"/>
    <n v="46433"/>
    <n v="3"/>
    <n v="99.1"/>
    <n v="0"/>
    <n v="6"/>
    <n v="4875"/>
    <s v="Amit"/>
    <x v="1"/>
    <x v="0"/>
    <x v="1"/>
    <x v="2"/>
  </r>
  <r>
    <n v="1721"/>
    <s v="Sneha"/>
    <x v="1"/>
    <n v="41"/>
    <x v="1"/>
    <s v="Accountant"/>
    <x v="2"/>
    <s v="2022-05-23"/>
    <n v="7"/>
    <n v="71646"/>
    <n v="4.7"/>
    <n v="86.6"/>
    <n v="14"/>
    <n v="7"/>
    <n v="9767"/>
    <s v="Kavya"/>
    <x v="1"/>
    <x v="3"/>
    <x v="0"/>
    <x v="2"/>
  </r>
  <r>
    <n v="1722"/>
    <s v="Harsha"/>
    <x v="1"/>
    <n v="26"/>
    <x v="2"/>
    <s v="Data Analyst"/>
    <x v="0"/>
    <s v="2019-05-20"/>
    <n v="1"/>
    <n v="80725"/>
    <n v="2.8"/>
    <n v="96.2"/>
    <n v="18"/>
    <n v="21"/>
    <n v="6887"/>
    <s v="Amit"/>
    <x v="1"/>
    <x v="1"/>
    <x v="0"/>
    <x v="0"/>
  </r>
  <r>
    <n v="1723"/>
    <s v="Pooja"/>
    <x v="1"/>
    <n v="45"/>
    <x v="2"/>
    <s v="Software Engineer"/>
    <x v="0"/>
    <s v="2021-08-15"/>
    <n v="5"/>
    <n v="85223"/>
    <n v="4.8"/>
    <n v="97.3"/>
    <n v="5"/>
    <n v="20"/>
    <n v="14008"/>
    <s v="Anitha"/>
    <x v="0"/>
    <x v="3"/>
    <x v="0"/>
    <x v="1"/>
  </r>
  <r>
    <n v="1724"/>
    <s v="Rahul"/>
    <x v="0"/>
    <n v="30"/>
    <x v="1"/>
    <s v="Accountant"/>
    <x v="0"/>
    <s v="2023-01-29"/>
    <n v="10"/>
    <n v="81973"/>
    <n v="3.7"/>
    <n v="90.7"/>
    <n v="19"/>
    <n v="60"/>
    <n v="6935"/>
    <s v="Suresh"/>
    <x v="0"/>
    <x v="0"/>
    <x v="0"/>
    <x v="2"/>
  </r>
  <r>
    <n v="1725"/>
    <s v="Keerthi"/>
    <x v="0"/>
    <n v="40"/>
    <x v="4"/>
    <s v="SEO Analyst"/>
    <x v="0"/>
    <s v="2021-09-04"/>
    <n v="0"/>
    <n v="47802"/>
    <n v="3.7"/>
    <n v="95.2"/>
    <n v="22"/>
    <n v="39"/>
    <n v="11548"/>
    <s v="Anitha"/>
    <x v="1"/>
    <x v="0"/>
    <x v="1"/>
    <x v="0"/>
  </r>
  <r>
    <n v="1726"/>
    <s v="Sai"/>
    <x v="0"/>
    <n v="31"/>
    <x v="3"/>
    <s v="HR Executive"/>
    <x v="4"/>
    <s v="2020-05-03"/>
    <n v="10"/>
    <n v="84056"/>
    <n v="4.5999999999999996"/>
    <n v="86.7"/>
    <n v="25"/>
    <n v="34"/>
    <n v="10546"/>
    <s v="Suresh"/>
    <x v="1"/>
    <x v="3"/>
    <x v="0"/>
    <x v="2"/>
  </r>
  <r>
    <n v="1727"/>
    <s v="Pooja"/>
    <x v="1"/>
    <n v="43"/>
    <x v="3"/>
    <s v="HR Executive"/>
    <x v="4"/>
    <s v="2022-05-16"/>
    <n v="10"/>
    <n v="28540"/>
    <n v="3.6"/>
    <n v="84.8"/>
    <n v="22"/>
    <n v="26"/>
    <n v="11680"/>
    <s v="Amit"/>
    <x v="1"/>
    <x v="0"/>
    <x v="1"/>
    <x v="2"/>
  </r>
  <r>
    <n v="1728"/>
    <s v="Pooja"/>
    <x v="1"/>
    <n v="34"/>
    <x v="3"/>
    <s v="HR Manager"/>
    <x v="3"/>
    <s v="2023-11-24"/>
    <n v="8"/>
    <n v="76202"/>
    <n v="3.2"/>
    <n v="99.1"/>
    <n v="1"/>
    <n v="43"/>
    <n v="14349"/>
    <s v="Kavya"/>
    <x v="0"/>
    <x v="0"/>
    <x v="0"/>
    <x v="2"/>
  </r>
  <r>
    <n v="1729"/>
    <s v="Vijay"/>
    <x v="1"/>
    <n v="34"/>
    <x v="4"/>
    <s v="SEO Analyst"/>
    <x v="1"/>
    <s v="2019-10-10"/>
    <n v="7"/>
    <n v="52463"/>
    <n v="3.1"/>
    <n v="91.6"/>
    <n v="14"/>
    <n v="44"/>
    <n v="14125"/>
    <s v="Amit"/>
    <x v="1"/>
    <x v="0"/>
    <x v="2"/>
    <x v="2"/>
  </r>
  <r>
    <n v="1730"/>
    <s v="Varun"/>
    <x v="1"/>
    <n v="22"/>
    <x v="0"/>
    <s v="Sales Executive"/>
    <x v="4"/>
    <s v="2020-07-23"/>
    <n v="8"/>
    <n v="78770"/>
    <n v="3.1"/>
    <n v="93"/>
    <n v="10"/>
    <n v="5"/>
    <n v="2165"/>
    <s v="Suresh"/>
    <x v="0"/>
    <x v="0"/>
    <x v="0"/>
    <x v="2"/>
  </r>
  <r>
    <n v="1731"/>
    <s v="Pooja"/>
    <x v="1"/>
    <n v="41"/>
    <x v="3"/>
    <s v="HR Manager"/>
    <x v="1"/>
    <s v="2024-12-20"/>
    <n v="6"/>
    <n v="49391"/>
    <n v="3.1"/>
    <n v="93.2"/>
    <n v="20"/>
    <n v="23"/>
    <n v="6348"/>
    <s v="Kavya"/>
    <x v="1"/>
    <x v="0"/>
    <x v="1"/>
    <x v="2"/>
  </r>
  <r>
    <n v="1732"/>
    <s v="Deepa"/>
    <x v="0"/>
    <n v="43"/>
    <x v="0"/>
    <s v="Sales Manager"/>
    <x v="3"/>
    <s v="2022-07-26"/>
    <n v="3"/>
    <n v="25377"/>
    <n v="3.7"/>
    <n v="93.1"/>
    <n v="20"/>
    <n v="24"/>
    <n v="12483"/>
    <s v="Amit"/>
    <x v="1"/>
    <x v="0"/>
    <x v="1"/>
    <x v="1"/>
  </r>
  <r>
    <n v="1733"/>
    <s v="Ajay"/>
    <x v="0"/>
    <n v="24"/>
    <x v="2"/>
    <s v="Software Engineer"/>
    <x v="2"/>
    <s v="2022-11-25"/>
    <n v="2"/>
    <n v="70551"/>
    <n v="4.0999999999999996"/>
    <n v="98"/>
    <n v="24"/>
    <n v="43"/>
    <n v="5201"/>
    <s v="Kavya"/>
    <x v="0"/>
    <x v="2"/>
    <x v="0"/>
    <x v="0"/>
  </r>
  <r>
    <n v="1734"/>
    <s v="Keerthi"/>
    <x v="1"/>
    <n v="36"/>
    <x v="0"/>
    <s v="Sales Manager"/>
    <x v="0"/>
    <s v="2023-12-30"/>
    <n v="10"/>
    <n v="61050"/>
    <n v="4.8"/>
    <n v="84.6"/>
    <n v="0"/>
    <n v="16"/>
    <n v="13354"/>
    <s v="Suresh"/>
    <x v="0"/>
    <x v="3"/>
    <x v="2"/>
    <x v="2"/>
  </r>
  <r>
    <n v="1735"/>
    <s v="Nikhil"/>
    <x v="0"/>
    <n v="35"/>
    <x v="3"/>
    <s v="HR Executive"/>
    <x v="1"/>
    <s v="2022-05-31"/>
    <n v="5"/>
    <n v="92615"/>
    <n v="2.9"/>
    <n v="89.5"/>
    <n v="6"/>
    <n v="57"/>
    <n v="5804"/>
    <s v="Kavya"/>
    <x v="1"/>
    <x v="1"/>
    <x v="0"/>
    <x v="1"/>
  </r>
  <r>
    <n v="1736"/>
    <s v="Keerthi"/>
    <x v="0"/>
    <n v="44"/>
    <x v="1"/>
    <s v="Financial Analyst"/>
    <x v="2"/>
    <s v="2018-07-15"/>
    <n v="2"/>
    <n v="53736"/>
    <n v="3.1"/>
    <n v="86.4"/>
    <n v="11"/>
    <n v="9"/>
    <n v="8854"/>
    <s v="Amit"/>
    <x v="0"/>
    <x v="0"/>
    <x v="2"/>
    <x v="0"/>
  </r>
  <r>
    <n v="1737"/>
    <s v="Kiran"/>
    <x v="1"/>
    <n v="39"/>
    <x v="4"/>
    <s v="SEO Analyst"/>
    <x v="0"/>
    <s v="2019-12-20"/>
    <n v="2"/>
    <n v="45191"/>
    <n v="4.5999999999999996"/>
    <n v="92"/>
    <n v="25"/>
    <n v="14"/>
    <n v="10818"/>
    <s v="Anitha"/>
    <x v="0"/>
    <x v="3"/>
    <x v="1"/>
    <x v="0"/>
  </r>
  <r>
    <n v="1738"/>
    <s v="Ajay"/>
    <x v="0"/>
    <n v="26"/>
    <x v="3"/>
    <s v="HR Executive"/>
    <x v="0"/>
    <s v="2023-10-04"/>
    <n v="6"/>
    <n v="52360"/>
    <n v="3.6"/>
    <n v="90.5"/>
    <n v="8"/>
    <n v="12"/>
    <n v="8579"/>
    <s v="Ramesh"/>
    <x v="1"/>
    <x v="0"/>
    <x v="2"/>
    <x v="2"/>
  </r>
  <r>
    <n v="1739"/>
    <s v="Divya"/>
    <x v="1"/>
    <n v="23"/>
    <x v="2"/>
    <s v="Senior Developer"/>
    <x v="0"/>
    <s v="2022-07-20"/>
    <n v="1"/>
    <n v="66668"/>
    <n v="3.4"/>
    <n v="95.4"/>
    <n v="22"/>
    <n v="11"/>
    <n v="3289"/>
    <s v="Ramesh"/>
    <x v="1"/>
    <x v="0"/>
    <x v="2"/>
    <x v="0"/>
  </r>
  <r>
    <n v="1740"/>
    <s v="Ravi"/>
    <x v="0"/>
    <n v="24"/>
    <x v="0"/>
    <s v="Sales Executive"/>
    <x v="0"/>
    <s v="2018-12-25"/>
    <n v="4"/>
    <n v="27832"/>
    <n v="3.7"/>
    <n v="94.8"/>
    <n v="14"/>
    <n v="15"/>
    <n v="1442"/>
    <s v="Kavya"/>
    <x v="1"/>
    <x v="0"/>
    <x v="1"/>
    <x v="1"/>
  </r>
  <r>
    <n v="1741"/>
    <s v="Varun"/>
    <x v="1"/>
    <n v="24"/>
    <x v="0"/>
    <s v="Sales Executive"/>
    <x v="4"/>
    <s v="2024-07-06"/>
    <n v="9"/>
    <n v="77848"/>
    <n v="4.2"/>
    <n v="89.6"/>
    <n v="13"/>
    <n v="30"/>
    <n v="3693"/>
    <s v="Anitha"/>
    <x v="0"/>
    <x v="2"/>
    <x v="0"/>
    <x v="2"/>
  </r>
  <r>
    <n v="1742"/>
    <s v="Harsha"/>
    <x v="0"/>
    <n v="39"/>
    <x v="4"/>
    <s v="SEO Analyst"/>
    <x v="3"/>
    <s v="2020-01-15"/>
    <n v="7"/>
    <n v="27398"/>
    <n v="3.6"/>
    <n v="82.5"/>
    <n v="19"/>
    <n v="42"/>
    <n v="8585"/>
    <s v="Ramesh"/>
    <x v="0"/>
    <x v="0"/>
    <x v="1"/>
    <x v="2"/>
  </r>
  <r>
    <n v="1743"/>
    <s v="Priya"/>
    <x v="1"/>
    <n v="27"/>
    <x v="0"/>
    <s v="Sales Executive"/>
    <x v="4"/>
    <s v="2019-10-08"/>
    <n v="6"/>
    <n v="71636"/>
    <n v="4.8"/>
    <n v="92.6"/>
    <n v="17"/>
    <n v="53"/>
    <n v="5660"/>
    <s v="Suresh"/>
    <x v="0"/>
    <x v="3"/>
    <x v="0"/>
    <x v="2"/>
  </r>
  <r>
    <n v="1744"/>
    <s v="Kiran"/>
    <x v="0"/>
    <n v="39"/>
    <x v="4"/>
    <s v="Marketing Executive"/>
    <x v="0"/>
    <s v="2022-04-29"/>
    <n v="8"/>
    <n v="45559"/>
    <n v="2.7"/>
    <n v="93.3"/>
    <n v="5"/>
    <n v="37"/>
    <n v="14654"/>
    <s v="Anitha"/>
    <x v="1"/>
    <x v="1"/>
    <x v="1"/>
    <x v="2"/>
  </r>
  <r>
    <n v="1745"/>
    <s v="Harsha"/>
    <x v="1"/>
    <n v="41"/>
    <x v="3"/>
    <s v="HR Manager"/>
    <x v="3"/>
    <s v="2019-01-06"/>
    <n v="1"/>
    <n v="71755"/>
    <n v="3.7"/>
    <n v="91.9"/>
    <n v="3"/>
    <n v="21"/>
    <n v="6837"/>
    <s v="Kavya"/>
    <x v="1"/>
    <x v="0"/>
    <x v="0"/>
    <x v="0"/>
  </r>
  <r>
    <n v="1746"/>
    <s v="Sai"/>
    <x v="1"/>
    <n v="32"/>
    <x v="1"/>
    <s v="Financial Analyst"/>
    <x v="1"/>
    <s v="2020-06-21"/>
    <n v="6"/>
    <n v="37219"/>
    <n v="3.2"/>
    <n v="86.6"/>
    <n v="4"/>
    <n v="19"/>
    <n v="1025"/>
    <s v="Suresh"/>
    <x v="0"/>
    <x v="0"/>
    <x v="1"/>
    <x v="2"/>
  </r>
  <r>
    <n v="1747"/>
    <s v="Deepa"/>
    <x v="1"/>
    <n v="24"/>
    <x v="2"/>
    <s v="Senior Developer"/>
    <x v="3"/>
    <s v="2021-02-12"/>
    <n v="5"/>
    <n v="47979"/>
    <n v="3.6"/>
    <n v="83.5"/>
    <n v="13"/>
    <n v="11"/>
    <n v="7239"/>
    <s v="Ramesh"/>
    <x v="0"/>
    <x v="0"/>
    <x v="1"/>
    <x v="1"/>
  </r>
  <r>
    <n v="1748"/>
    <s v="Sonia"/>
    <x v="0"/>
    <n v="29"/>
    <x v="0"/>
    <s v="Sales Manager"/>
    <x v="1"/>
    <s v="2024-07-17"/>
    <n v="0"/>
    <n v="64588"/>
    <n v="3.8"/>
    <n v="84"/>
    <n v="0"/>
    <n v="59"/>
    <n v="5067"/>
    <s v="Anitha"/>
    <x v="1"/>
    <x v="0"/>
    <x v="2"/>
    <x v="0"/>
  </r>
  <r>
    <n v="1749"/>
    <s v="Keerthi"/>
    <x v="1"/>
    <n v="32"/>
    <x v="1"/>
    <s v="Accountant"/>
    <x v="2"/>
    <s v="2018-05-28"/>
    <n v="8"/>
    <m/>
    <n v="4.5999999999999996"/>
    <n v="93.5"/>
    <n v="12"/>
    <n v="34"/>
    <n v="8049"/>
    <s v="Amit"/>
    <x v="0"/>
    <x v="3"/>
    <x v="1"/>
    <x v="2"/>
  </r>
  <r>
    <n v="1750"/>
    <s v="Priya"/>
    <x v="0"/>
    <n v="43"/>
    <x v="2"/>
    <s v="Software Engineer"/>
    <x v="0"/>
    <s v="2021-09-26"/>
    <n v="2"/>
    <n v="43288"/>
    <n v="2.6"/>
    <n v="84.6"/>
    <n v="8"/>
    <n v="31"/>
    <n v="4721"/>
    <s v="Amit"/>
    <x v="0"/>
    <x v="1"/>
    <x v="1"/>
    <x v="0"/>
  </r>
  <r>
    <n v="1751"/>
    <s v="Ajay"/>
    <x v="0"/>
    <n v="40"/>
    <x v="0"/>
    <s v="Sales Executive"/>
    <x v="2"/>
    <s v="2023-06-28"/>
    <n v="8"/>
    <n v="51123"/>
    <n v="3.4"/>
    <n v="93.9"/>
    <n v="4"/>
    <n v="32"/>
    <n v="9581"/>
    <s v="Ramesh"/>
    <x v="1"/>
    <x v="0"/>
    <x v="2"/>
    <x v="2"/>
  </r>
  <r>
    <n v="1752"/>
    <s v="Pooja"/>
    <x v="1"/>
    <n v="34"/>
    <x v="3"/>
    <s v="HR Manager"/>
    <x v="0"/>
    <s v="2020-11-29"/>
    <n v="10"/>
    <n v="25957"/>
    <n v="3.3"/>
    <n v="90.9"/>
    <n v="1"/>
    <n v="10"/>
    <n v="10629"/>
    <s v="Kavya"/>
    <x v="1"/>
    <x v="0"/>
    <x v="1"/>
    <x v="2"/>
  </r>
  <r>
    <n v="1753"/>
    <s v="Priya"/>
    <x v="1"/>
    <n v="45"/>
    <x v="0"/>
    <s v="Sales Executive"/>
    <x v="4"/>
    <s v="2019-11-09"/>
    <n v="7"/>
    <n v="79904"/>
    <n v="2.9"/>
    <n v="93.6"/>
    <n v="3"/>
    <n v="13"/>
    <n v="2884"/>
    <s v="Ramesh"/>
    <x v="1"/>
    <x v="1"/>
    <x v="0"/>
    <x v="2"/>
  </r>
  <r>
    <n v="1754"/>
    <s v="Nikhil"/>
    <x v="1"/>
    <n v="38"/>
    <x v="1"/>
    <s v="Accountant"/>
    <x v="3"/>
    <s v="2022-11-03"/>
    <n v="1"/>
    <n v="85637"/>
    <n v="3.1"/>
    <n v="98.5"/>
    <n v="22"/>
    <n v="10"/>
    <n v="12460"/>
    <s v="Kavya"/>
    <x v="0"/>
    <x v="0"/>
    <x v="0"/>
    <x v="0"/>
  </r>
  <r>
    <n v="1755"/>
    <s v="Nikhil"/>
    <x v="0"/>
    <n v="29"/>
    <x v="2"/>
    <s v="Software Engineer"/>
    <x v="0"/>
    <s v="2018-11-07"/>
    <n v="6"/>
    <n v="81954"/>
    <n v="2.9"/>
    <n v="90.8"/>
    <n v="7"/>
    <n v="21"/>
    <n v="5930"/>
    <s v="Amit"/>
    <x v="1"/>
    <x v="1"/>
    <x v="0"/>
    <x v="2"/>
  </r>
  <r>
    <n v="1756"/>
    <s v="Ajay"/>
    <x v="0"/>
    <n v="40"/>
    <x v="2"/>
    <s v="Data Analyst"/>
    <x v="3"/>
    <s v="2018-10-08"/>
    <n v="6"/>
    <n v="94790"/>
    <n v="4.7"/>
    <n v="98.3"/>
    <n v="19"/>
    <n v="22"/>
    <n v="10565"/>
    <s v="Kavya"/>
    <x v="1"/>
    <x v="3"/>
    <x v="0"/>
    <x v="2"/>
  </r>
  <r>
    <n v="1757"/>
    <s v="Ajay"/>
    <x v="0"/>
    <n v="27"/>
    <x v="4"/>
    <s v="SEO Analyst"/>
    <x v="3"/>
    <s v="2025-02-23"/>
    <n v="4"/>
    <n v="61775"/>
    <n v="3.1"/>
    <n v="94.6"/>
    <n v="1"/>
    <n v="13"/>
    <n v="3201"/>
    <s v="Amit"/>
    <x v="0"/>
    <x v="0"/>
    <x v="2"/>
    <x v="1"/>
  </r>
  <r>
    <n v="1758"/>
    <s v="Nikhil"/>
    <x v="0"/>
    <n v="29"/>
    <x v="3"/>
    <s v="HR Manager"/>
    <x v="2"/>
    <s v="2020-07-26"/>
    <n v="1"/>
    <n v="35480"/>
    <n v="3.4"/>
    <n v="99.1"/>
    <n v="14"/>
    <n v="57"/>
    <n v="4105"/>
    <s v="Kavya"/>
    <x v="1"/>
    <x v="0"/>
    <x v="1"/>
    <x v="0"/>
  </r>
  <r>
    <n v="1759"/>
    <s v="Pooja"/>
    <x v="0"/>
    <n v="41"/>
    <x v="2"/>
    <s v="Senior Developer"/>
    <x v="0"/>
    <s v="2025-02-20"/>
    <n v="4"/>
    <n v="84100"/>
    <n v="3.2"/>
    <n v="83.9"/>
    <n v="13"/>
    <n v="35"/>
    <n v="7463"/>
    <s v="Anitha"/>
    <x v="1"/>
    <x v="0"/>
    <x v="0"/>
    <x v="1"/>
  </r>
  <r>
    <n v="1760"/>
    <s v="Kiran"/>
    <x v="0"/>
    <n v="26"/>
    <x v="3"/>
    <s v="HR Executive"/>
    <x v="0"/>
    <s v="2023-11-18"/>
    <n v="10"/>
    <n v="43748"/>
    <n v="4.0999999999999996"/>
    <n v="87.2"/>
    <n v="1"/>
    <n v="59"/>
    <n v="2008"/>
    <s v="Amit"/>
    <x v="1"/>
    <x v="2"/>
    <x v="1"/>
    <x v="2"/>
  </r>
  <r>
    <n v="1761"/>
    <s v="Deepa"/>
    <x v="0"/>
    <n v="34"/>
    <x v="4"/>
    <s v="Marketing Executive"/>
    <x v="0"/>
    <s v="2020-04-30"/>
    <n v="8"/>
    <n v="76855"/>
    <n v="4.9000000000000004"/>
    <n v="90.3"/>
    <n v="21"/>
    <n v="21"/>
    <n v="3161"/>
    <s v="Kavya"/>
    <x v="1"/>
    <x v="3"/>
    <x v="0"/>
    <x v="2"/>
  </r>
  <r>
    <n v="1762"/>
    <s v="Manoj"/>
    <x v="0"/>
    <n v="35"/>
    <x v="0"/>
    <s v="Sales Manager"/>
    <x v="1"/>
    <s v="2019-05-15"/>
    <n v="1"/>
    <n v="67403"/>
    <n v="3.5"/>
    <n v="98.5"/>
    <n v="3"/>
    <n v="18"/>
    <n v="14223"/>
    <s v="Kavya"/>
    <x v="1"/>
    <x v="0"/>
    <x v="2"/>
    <x v="0"/>
  </r>
  <r>
    <n v="1763"/>
    <s v="Keerthi"/>
    <x v="0"/>
    <n v="43"/>
    <x v="2"/>
    <s v="Data Analyst"/>
    <x v="2"/>
    <s v="2022-10-17"/>
    <n v="2"/>
    <n v="57742"/>
    <n v="2.9"/>
    <n v="88.1"/>
    <n v="5"/>
    <n v="35"/>
    <n v="2747"/>
    <s v="Suresh"/>
    <x v="1"/>
    <x v="1"/>
    <x v="2"/>
    <x v="0"/>
  </r>
  <r>
    <n v="1764"/>
    <s v="Pooja"/>
    <x v="1"/>
    <n v="44"/>
    <x v="3"/>
    <s v="HR Executive"/>
    <x v="1"/>
    <s v="2024-12-22"/>
    <n v="3"/>
    <n v="70561"/>
    <n v="3.7"/>
    <n v="82.7"/>
    <n v="4"/>
    <n v="24"/>
    <n v="12835"/>
    <s v="Kavya"/>
    <x v="1"/>
    <x v="0"/>
    <x v="0"/>
    <x v="1"/>
  </r>
  <r>
    <n v="1765"/>
    <s v="Sneha"/>
    <x v="1"/>
    <n v="35"/>
    <x v="4"/>
    <s v="Marketing Executive"/>
    <x v="1"/>
    <s v="2019-06-25"/>
    <n v="3"/>
    <n v="83669"/>
    <n v="3.7"/>
    <n v="84.1"/>
    <n v="14"/>
    <n v="33"/>
    <n v="4931"/>
    <s v="Ramesh"/>
    <x v="1"/>
    <x v="0"/>
    <x v="0"/>
    <x v="1"/>
  </r>
  <r>
    <n v="1766"/>
    <s v="Sneha"/>
    <x v="0"/>
    <n v="28"/>
    <x v="0"/>
    <s v="Sales Manager"/>
    <x v="1"/>
    <s v="2019-02-12"/>
    <n v="5"/>
    <n v="35343"/>
    <n v="2.6"/>
    <n v="83.1"/>
    <n v="5"/>
    <n v="21"/>
    <n v="12560"/>
    <s v="Kavya"/>
    <x v="1"/>
    <x v="1"/>
    <x v="1"/>
    <x v="1"/>
  </r>
  <r>
    <n v="1767"/>
    <s v="Ajay"/>
    <x v="1"/>
    <n v="37"/>
    <x v="3"/>
    <s v="HR Manager"/>
    <x v="1"/>
    <s v="2020-09-27"/>
    <n v="9"/>
    <n v="43369"/>
    <n v="3.4"/>
    <n v="82.6"/>
    <n v="2"/>
    <n v="27"/>
    <n v="12931"/>
    <s v="Kavya"/>
    <x v="1"/>
    <x v="0"/>
    <x v="1"/>
    <x v="2"/>
  </r>
  <r>
    <n v="1768"/>
    <s v="Priya"/>
    <x v="0"/>
    <n v="27"/>
    <x v="1"/>
    <s v="Accountant"/>
    <x v="4"/>
    <s v="2018-08-16"/>
    <n v="4"/>
    <n v="57372"/>
    <n v="2.8"/>
    <n v="99.9"/>
    <n v="3"/>
    <n v="56"/>
    <n v="14730"/>
    <s v="Suresh"/>
    <x v="1"/>
    <x v="1"/>
    <x v="2"/>
    <x v="1"/>
  </r>
  <r>
    <n v="1769"/>
    <s v="Meena"/>
    <x v="0"/>
    <n v="45"/>
    <x v="3"/>
    <s v="HR Manager"/>
    <x v="2"/>
    <s v="2018-05-10"/>
    <n v="6"/>
    <n v="45954"/>
    <n v="4.4000000000000004"/>
    <n v="97"/>
    <n v="16"/>
    <n v="56"/>
    <n v="10058"/>
    <s v="Anitha"/>
    <x v="1"/>
    <x v="2"/>
    <x v="1"/>
    <x v="2"/>
  </r>
  <r>
    <n v="1770"/>
    <s v="Nikhil"/>
    <x v="0"/>
    <n v="27"/>
    <x v="1"/>
    <s v="Accountant"/>
    <x v="4"/>
    <s v="2019-10-16"/>
    <n v="2"/>
    <n v="33332"/>
    <n v="3.3"/>
    <n v="93.2"/>
    <n v="3"/>
    <n v="24"/>
    <n v="6468"/>
    <s v="Anitha"/>
    <x v="1"/>
    <x v="0"/>
    <x v="1"/>
    <x v="0"/>
  </r>
  <r>
    <n v="1771"/>
    <s v="Vijay"/>
    <x v="0"/>
    <n v="39"/>
    <x v="0"/>
    <s v="Sales Manager"/>
    <x v="1"/>
    <s v="2019-01-15"/>
    <n v="3"/>
    <n v="43504"/>
    <n v="2.5"/>
    <n v="86"/>
    <n v="18"/>
    <n v="20"/>
    <n v="5323"/>
    <s v="Amit"/>
    <x v="1"/>
    <x v="1"/>
    <x v="1"/>
    <x v="1"/>
  </r>
  <r>
    <n v="1772"/>
    <s v="Rahul"/>
    <x v="1"/>
    <n v="26"/>
    <x v="3"/>
    <s v="HR Executive"/>
    <x v="0"/>
    <s v="2021-03-26"/>
    <n v="7"/>
    <n v="64806"/>
    <n v="2.6"/>
    <n v="86.5"/>
    <n v="12"/>
    <n v="15"/>
    <n v="14661"/>
    <s v="Kavya"/>
    <x v="1"/>
    <x v="1"/>
    <x v="2"/>
    <x v="2"/>
  </r>
  <r>
    <n v="1773"/>
    <s v="Meena"/>
    <x v="1"/>
    <n v="38"/>
    <x v="0"/>
    <s v="Sales Manager"/>
    <x v="3"/>
    <s v="2018-11-22"/>
    <n v="4"/>
    <n v="93134"/>
    <n v="4.4000000000000004"/>
    <n v="87.4"/>
    <n v="23"/>
    <n v="39"/>
    <n v="2799"/>
    <s v="Kavya"/>
    <x v="1"/>
    <x v="2"/>
    <x v="0"/>
    <x v="1"/>
  </r>
  <r>
    <n v="1774"/>
    <s v="Meena"/>
    <x v="1"/>
    <n v="42"/>
    <x v="4"/>
    <s v="SEO Analyst"/>
    <x v="0"/>
    <s v="2023-08-10"/>
    <n v="4"/>
    <n v="33680"/>
    <n v="4.8"/>
    <n v="91.5"/>
    <n v="19"/>
    <n v="5"/>
    <n v="13738"/>
    <s v="Anitha"/>
    <x v="0"/>
    <x v="3"/>
    <x v="1"/>
    <x v="1"/>
  </r>
  <r>
    <n v="1775"/>
    <s v="Sneha"/>
    <x v="0"/>
    <n v="23"/>
    <x v="0"/>
    <s v="Sales Executive"/>
    <x v="0"/>
    <s v="2024-02-10"/>
    <n v="2"/>
    <n v="91817"/>
    <n v="3.3"/>
    <n v="85"/>
    <n v="4"/>
    <n v="29"/>
    <n v="2036"/>
    <s v="Ramesh"/>
    <x v="0"/>
    <x v="0"/>
    <x v="0"/>
    <x v="0"/>
  </r>
  <r>
    <n v="1776"/>
    <s v="Anu"/>
    <x v="0"/>
    <n v="24"/>
    <x v="3"/>
    <s v="HR Manager"/>
    <x v="3"/>
    <s v="2021-07-18"/>
    <n v="9"/>
    <n v="39441"/>
    <n v="4.7"/>
    <n v="84.1"/>
    <n v="16"/>
    <n v="55"/>
    <n v="11089"/>
    <s v="Ramesh"/>
    <x v="0"/>
    <x v="3"/>
    <x v="1"/>
    <x v="2"/>
  </r>
  <r>
    <n v="1777"/>
    <s v="Manoj"/>
    <x v="1"/>
    <n v="40"/>
    <x v="4"/>
    <s v="SEO Analyst"/>
    <x v="4"/>
    <s v="2022-04-26"/>
    <n v="7"/>
    <n v="77106"/>
    <n v="4.2"/>
    <n v="95.8"/>
    <n v="4"/>
    <n v="48"/>
    <n v="11180"/>
    <s v="Suresh"/>
    <x v="0"/>
    <x v="2"/>
    <x v="0"/>
    <x v="2"/>
  </r>
  <r>
    <n v="1778"/>
    <s v="Anu"/>
    <x v="1"/>
    <n v="37"/>
    <x v="4"/>
    <s v="SEO Analyst"/>
    <x v="4"/>
    <s v="2025-03-14"/>
    <n v="5"/>
    <n v="87044"/>
    <n v="4.5"/>
    <n v="92.4"/>
    <n v="14"/>
    <n v="53"/>
    <n v="5910"/>
    <s v="Ramesh"/>
    <x v="0"/>
    <x v="3"/>
    <x v="0"/>
    <x v="1"/>
  </r>
  <r>
    <n v="1779"/>
    <s v="Vijay"/>
    <x v="0"/>
    <n v="25"/>
    <x v="1"/>
    <s v="Financial Analyst"/>
    <x v="4"/>
    <s v="2021-07-12"/>
    <n v="9"/>
    <n v="49064"/>
    <n v="4"/>
    <n v="90.6"/>
    <n v="12"/>
    <n v="33"/>
    <n v="7044"/>
    <s v="Suresh"/>
    <x v="0"/>
    <x v="2"/>
    <x v="1"/>
    <x v="2"/>
  </r>
  <r>
    <n v="1780"/>
    <s v="Varun"/>
    <x v="1"/>
    <n v="44"/>
    <x v="3"/>
    <s v="HR Executive"/>
    <x v="0"/>
    <s v="2018-06-07"/>
    <n v="8"/>
    <n v="57365"/>
    <n v="2.6"/>
    <n v="95.9"/>
    <n v="15"/>
    <n v="42"/>
    <n v="7195"/>
    <s v="Kavya"/>
    <x v="1"/>
    <x v="1"/>
    <x v="2"/>
    <x v="2"/>
  </r>
  <r>
    <n v="1781"/>
    <s v="Nikhil"/>
    <x v="1"/>
    <n v="27"/>
    <x v="2"/>
    <s v="Senior Developer"/>
    <x v="2"/>
    <s v="2025-04-15"/>
    <n v="5"/>
    <n v="32218"/>
    <n v="2.8"/>
    <n v="91.4"/>
    <n v="15"/>
    <n v="28"/>
    <n v="3538"/>
    <s v="Kavya"/>
    <x v="0"/>
    <x v="1"/>
    <x v="1"/>
    <x v="1"/>
  </r>
  <r>
    <n v="1782"/>
    <s v="Rahul"/>
    <x v="1"/>
    <n v="34"/>
    <x v="0"/>
    <s v="Sales Manager"/>
    <x v="1"/>
    <s v="2025-05-12"/>
    <n v="5"/>
    <n v="90381"/>
    <n v="2.6"/>
    <n v="92.7"/>
    <n v="18"/>
    <n v="47"/>
    <n v="4374"/>
    <s v="Kavya"/>
    <x v="1"/>
    <x v="1"/>
    <x v="0"/>
    <x v="1"/>
  </r>
  <r>
    <n v="1783"/>
    <s v="Harsha"/>
    <x v="0"/>
    <n v="44"/>
    <x v="4"/>
    <s v="Marketing Executive"/>
    <x v="2"/>
    <s v="2018-06-26"/>
    <n v="2"/>
    <n v="86648"/>
    <n v="4.8"/>
    <n v="82"/>
    <n v="16"/>
    <n v="31"/>
    <n v="10845"/>
    <s v="Ramesh"/>
    <x v="1"/>
    <x v="3"/>
    <x v="0"/>
    <x v="0"/>
  </r>
  <r>
    <n v="1784"/>
    <s v="Varun"/>
    <x v="1"/>
    <n v="40"/>
    <x v="2"/>
    <s v="Senior Developer"/>
    <x v="4"/>
    <s v="2019-01-22"/>
    <n v="5"/>
    <n v="78277"/>
    <n v="2.7"/>
    <n v="96.4"/>
    <n v="20"/>
    <n v="42"/>
    <n v="2660"/>
    <s v="Suresh"/>
    <x v="1"/>
    <x v="1"/>
    <x v="0"/>
    <x v="1"/>
  </r>
  <r>
    <n v="1785"/>
    <s v="Nikhil"/>
    <x v="0"/>
    <n v="33"/>
    <x v="3"/>
    <s v="HR Executive"/>
    <x v="1"/>
    <s v="2018-05-29"/>
    <n v="6"/>
    <n v="56978"/>
    <n v="4.3"/>
    <n v="82.2"/>
    <n v="3"/>
    <n v="24"/>
    <n v="7426"/>
    <s v="Amit"/>
    <x v="1"/>
    <x v="2"/>
    <x v="2"/>
    <x v="2"/>
  </r>
  <r>
    <n v="1786"/>
    <s v="Pooja"/>
    <x v="0"/>
    <n v="37"/>
    <x v="1"/>
    <s v="Accountant"/>
    <x v="4"/>
    <s v="2019-01-20"/>
    <n v="6"/>
    <n v="65224"/>
    <n v="4.3"/>
    <n v="89.1"/>
    <n v="1"/>
    <n v="40"/>
    <n v="4297"/>
    <s v="Suresh"/>
    <x v="0"/>
    <x v="2"/>
    <x v="2"/>
    <x v="2"/>
  </r>
  <r>
    <n v="1787"/>
    <s v="Rahul"/>
    <x v="0"/>
    <n v="26"/>
    <x v="0"/>
    <s v="Sales Manager"/>
    <x v="2"/>
    <s v="2019-09-05"/>
    <n v="1"/>
    <n v="41441"/>
    <n v="4.0999999999999996"/>
    <n v="95.5"/>
    <n v="9"/>
    <n v="41"/>
    <n v="12093"/>
    <s v="Kavya"/>
    <x v="1"/>
    <x v="2"/>
    <x v="1"/>
    <x v="0"/>
  </r>
  <r>
    <n v="1788"/>
    <s v="Manoj"/>
    <x v="0"/>
    <n v="44"/>
    <x v="0"/>
    <s v="Sales Executive"/>
    <x v="0"/>
    <s v="2020-05-06"/>
    <n v="8"/>
    <n v="69085"/>
    <n v="2.5"/>
    <n v="83.6"/>
    <n v="18"/>
    <n v="31"/>
    <n v="3606"/>
    <s v="Suresh"/>
    <x v="1"/>
    <x v="1"/>
    <x v="2"/>
    <x v="2"/>
  </r>
  <r>
    <n v="1789"/>
    <s v="Sonia"/>
    <x v="0"/>
    <n v="42"/>
    <x v="3"/>
    <s v="HR Manager"/>
    <x v="4"/>
    <s v="2018-11-16"/>
    <n v="1"/>
    <n v="29199"/>
    <n v="4.9000000000000004"/>
    <n v="92.6"/>
    <n v="17"/>
    <n v="45"/>
    <n v="3754"/>
    <s v="Suresh"/>
    <x v="0"/>
    <x v="3"/>
    <x v="1"/>
    <x v="0"/>
  </r>
  <r>
    <n v="1790"/>
    <s v="Sneha"/>
    <x v="1"/>
    <n v="34"/>
    <x v="1"/>
    <s v="Accountant"/>
    <x v="4"/>
    <s v="2022-04-10"/>
    <n v="0"/>
    <n v="30991"/>
    <n v="4.2"/>
    <n v="88.9"/>
    <n v="3"/>
    <n v="58"/>
    <n v="5088"/>
    <s v="Suresh"/>
    <x v="0"/>
    <x v="2"/>
    <x v="1"/>
    <x v="0"/>
  </r>
  <r>
    <n v="1791"/>
    <s v="Anu"/>
    <x v="0"/>
    <n v="27"/>
    <x v="4"/>
    <s v="SEO Analyst"/>
    <x v="2"/>
    <s v="2019-05-22"/>
    <n v="5"/>
    <n v="26859"/>
    <n v="2.7"/>
    <n v="97.4"/>
    <n v="20"/>
    <n v="53"/>
    <n v="12322"/>
    <s v="Anitha"/>
    <x v="0"/>
    <x v="1"/>
    <x v="1"/>
    <x v="1"/>
  </r>
  <r>
    <n v="1792"/>
    <s v="Manoj"/>
    <x v="1"/>
    <n v="23"/>
    <x v="1"/>
    <s v="Accountant"/>
    <x v="3"/>
    <s v="2020-03-11"/>
    <n v="2"/>
    <n v="30228"/>
    <n v="4.9000000000000004"/>
    <n v="84.6"/>
    <n v="20"/>
    <n v="5"/>
    <n v="7044"/>
    <s v="Kavya"/>
    <x v="1"/>
    <x v="3"/>
    <x v="1"/>
    <x v="0"/>
  </r>
  <r>
    <n v="1793"/>
    <s v="Arjun"/>
    <x v="1"/>
    <n v="39"/>
    <x v="3"/>
    <s v="HR Executive"/>
    <x v="1"/>
    <s v="2018-03-30"/>
    <n v="10"/>
    <n v="34025"/>
    <n v="2.5"/>
    <n v="83"/>
    <n v="15"/>
    <n v="30"/>
    <n v="6903"/>
    <s v="Ramesh"/>
    <x v="0"/>
    <x v="1"/>
    <x v="1"/>
    <x v="2"/>
  </r>
  <r>
    <n v="1794"/>
    <s v="Priya"/>
    <x v="1"/>
    <n v="34"/>
    <x v="4"/>
    <s v="SEO Analyst"/>
    <x v="1"/>
    <s v="2019-12-14"/>
    <n v="10"/>
    <n v="83790"/>
    <n v="3.6"/>
    <n v="93.6"/>
    <n v="22"/>
    <n v="15"/>
    <n v="1269"/>
    <s v="Kavya"/>
    <x v="0"/>
    <x v="0"/>
    <x v="0"/>
    <x v="2"/>
  </r>
  <r>
    <n v="1795"/>
    <s v="Kiran"/>
    <x v="0"/>
    <n v="25"/>
    <x v="4"/>
    <s v="Marketing Executive"/>
    <x v="1"/>
    <s v="2023-11-14"/>
    <n v="10"/>
    <n v="41922"/>
    <n v="3.7"/>
    <n v="87.3"/>
    <n v="22"/>
    <n v="18"/>
    <n v="10658"/>
    <s v="Ramesh"/>
    <x v="0"/>
    <x v="0"/>
    <x v="1"/>
    <x v="2"/>
  </r>
  <r>
    <n v="1796"/>
    <s v="Manoj"/>
    <x v="1"/>
    <n v="41"/>
    <x v="3"/>
    <s v="HR Manager"/>
    <x v="3"/>
    <s v="2021-04-03"/>
    <n v="3"/>
    <n v="72136"/>
    <n v="3.7"/>
    <n v="88.8"/>
    <n v="6"/>
    <n v="52"/>
    <n v="3226"/>
    <s v="Anitha"/>
    <x v="1"/>
    <x v="0"/>
    <x v="0"/>
    <x v="1"/>
  </r>
  <r>
    <n v="1797"/>
    <s v="Sonia"/>
    <x v="1"/>
    <n v="39"/>
    <x v="0"/>
    <s v="Sales Executive"/>
    <x v="0"/>
    <s v="2018-09-09"/>
    <n v="0"/>
    <n v="85901"/>
    <n v="4.5"/>
    <n v="88.6"/>
    <n v="17"/>
    <n v="56"/>
    <n v="14679"/>
    <s v="Suresh"/>
    <x v="0"/>
    <x v="3"/>
    <x v="0"/>
    <x v="0"/>
  </r>
  <r>
    <n v="1798"/>
    <s v="Divya"/>
    <x v="1"/>
    <n v="24"/>
    <x v="2"/>
    <s v="Data Analyst"/>
    <x v="4"/>
    <s v="2019-02-15"/>
    <n v="8"/>
    <n v="92439"/>
    <n v="4.9000000000000004"/>
    <n v="96.6"/>
    <n v="22"/>
    <n v="41"/>
    <n v="11031"/>
    <s v="Anitha"/>
    <x v="1"/>
    <x v="3"/>
    <x v="0"/>
    <x v="2"/>
  </r>
  <r>
    <n v="1799"/>
    <s v="Keerthi"/>
    <x v="0"/>
    <n v="26"/>
    <x v="4"/>
    <s v="SEO Analyst"/>
    <x v="5"/>
    <s v="2022-07-22"/>
    <n v="7"/>
    <n v="63058"/>
    <n v="3.1"/>
    <n v="90.3"/>
    <n v="7"/>
    <n v="7"/>
    <n v="5036"/>
    <s v="Anitha"/>
    <x v="0"/>
    <x v="0"/>
    <x v="2"/>
    <x v="2"/>
  </r>
  <r>
    <n v="1800"/>
    <s v="Keerthi"/>
    <x v="1"/>
    <n v="41"/>
    <x v="1"/>
    <s v="Accountant"/>
    <x v="1"/>
    <s v="2024-11-30"/>
    <n v="7"/>
    <n v="57975"/>
    <n v="3"/>
    <n v="87.5"/>
    <n v="17"/>
    <n v="46"/>
    <n v="6916"/>
    <s v="Amit"/>
    <x v="1"/>
    <x v="0"/>
    <x v="2"/>
    <x v="2"/>
  </r>
  <r>
    <n v="1801"/>
    <s v="Sai"/>
    <x v="0"/>
    <n v="38"/>
    <x v="4"/>
    <s v="SEO Analyst"/>
    <x v="2"/>
    <s v="2022-08-10"/>
    <n v="10"/>
    <n v="47533"/>
    <n v="4.0999999999999996"/>
    <n v="99.6"/>
    <n v="17"/>
    <n v="52"/>
    <n v="9846"/>
    <s v="Ramesh"/>
    <x v="0"/>
    <x v="2"/>
    <x v="1"/>
    <x v="2"/>
  </r>
  <r>
    <n v="1802"/>
    <s v="Vijay"/>
    <x v="1"/>
    <n v="43"/>
    <x v="0"/>
    <s v="Sales Executive"/>
    <x v="2"/>
    <s v="2023-08-11"/>
    <n v="0"/>
    <n v="52943"/>
    <n v="4.4000000000000004"/>
    <n v="88.2"/>
    <n v="11"/>
    <n v="5"/>
    <n v="1815"/>
    <s v="Ramesh"/>
    <x v="1"/>
    <x v="2"/>
    <x v="2"/>
    <x v="0"/>
  </r>
  <r>
    <n v="1803"/>
    <s v="Varun"/>
    <x v="1"/>
    <n v="29"/>
    <x v="1"/>
    <s v="Financial Analyst"/>
    <x v="3"/>
    <s v="2020-05-13"/>
    <n v="7"/>
    <n v="45344"/>
    <n v="2.9"/>
    <n v="95.3"/>
    <n v="2"/>
    <n v="60"/>
    <n v="8779"/>
    <s v="Kavya"/>
    <x v="0"/>
    <x v="1"/>
    <x v="1"/>
    <x v="2"/>
  </r>
  <r>
    <n v="1804"/>
    <s v="Anu"/>
    <x v="0"/>
    <n v="26"/>
    <x v="4"/>
    <s v="SEO Analyst"/>
    <x v="4"/>
    <s v="2021-04-13"/>
    <n v="1"/>
    <n v="28228"/>
    <n v="3.3"/>
    <n v="94.7"/>
    <n v="20"/>
    <n v="45"/>
    <n v="4318"/>
    <s v="Ramesh"/>
    <x v="1"/>
    <x v="0"/>
    <x v="1"/>
    <x v="0"/>
  </r>
  <r>
    <n v="1805"/>
    <s v="Sai"/>
    <x v="0"/>
    <n v="28"/>
    <x v="0"/>
    <s v="Sales Executive"/>
    <x v="1"/>
    <s v="2020-11-02"/>
    <n v="5"/>
    <n v="29415"/>
    <n v="4.0999999999999996"/>
    <n v="89.6"/>
    <n v="19"/>
    <n v="49"/>
    <n v="3030"/>
    <s v="Suresh"/>
    <x v="0"/>
    <x v="2"/>
    <x v="1"/>
    <x v="1"/>
  </r>
  <r>
    <n v="1806"/>
    <s v="Pooja"/>
    <x v="1"/>
    <n v="30"/>
    <x v="3"/>
    <s v="HR Executive"/>
    <x v="2"/>
    <s v="2023-12-25"/>
    <n v="5"/>
    <n v="54602"/>
    <n v="3.7"/>
    <n v="84.2"/>
    <n v="12"/>
    <n v="12"/>
    <n v="4770"/>
    <s v="Ramesh"/>
    <x v="1"/>
    <x v="0"/>
    <x v="2"/>
    <x v="1"/>
  </r>
  <r>
    <n v="1807"/>
    <s v="Anu"/>
    <x v="0"/>
    <n v="41"/>
    <x v="0"/>
    <s v="Sales Executive"/>
    <x v="0"/>
    <s v="2021-02-14"/>
    <n v="2"/>
    <n v="55225"/>
    <n v="4.7"/>
    <n v="87.7"/>
    <n v="11"/>
    <n v="20"/>
    <n v="6935"/>
    <s v="Ramesh"/>
    <x v="1"/>
    <x v="3"/>
    <x v="2"/>
    <x v="0"/>
  </r>
  <r>
    <n v="1808"/>
    <s v="Rahul"/>
    <x v="0"/>
    <n v="29"/>
    <x v="0"/>
    <s v="Sales Manager"/>
    <x v="2"/>
    <s v="2019-05-26"/>
    <n v="2"/>
    <n v="73433"/>
    <n v="3.7"/>
    <n v="87.5"/>
    <n v="7"/>
    <n v="47"/>
    <n v="11335"/>
    <s v="Ramesh"/>
    <x v="0"/>
    <x v="0"/>
    <x v="0"/>
    <x v="0"/>
  </r>
  <r>
    <n v="1809"/>
    <s v="Ravi"/>
    <x v="1"/>
    <n v="44"/>
    <x v="2"/>
    <s v="Software Engineer"/>
    <x v="0"/>
    <s v="2024-04-13"/>
    <n v="2"/>
    <n v="67572"/>
    <n v="3.9"/>
    <n v="90.4"/>
    <n v="17"/>
    <n v="6"/>
    <n v="3980"/>
    <s v="Anitha"/>
    <x v="0"/>
    <x v="0"/>
    <x v="2"/>
    <x v="0"/>
  </r>
  <r>
    <n v="1810"/>
    <s v="Manoj"/>
    <x v="1"/>
    <n v="41"/>
    <x v="2"/>
    <s v="Data Analyst"/>
    <x v="2"/>
    <s v="2024-07-10"/>
    <n v="3"/>
    <n v="43986"/>
    <n v="4.0999999999999996"/>
    <n v="88.5"/>
    <n v="25"/>
    <n v="42"/>
    <n v="8446"/>
    <s v="Kavya"/>
    <x v="1"/>
    <x v="2"/>
    <x v="1"/>
    <x v="1"/>
  </r>
  <r>
    <n v="1811"/>
    <s v="Ravi"/>
    <x v="0"/>
    <n v="44"/>
    <x v="3"/>
    <s v="HR Manager"/>
    <x v="4"/>
    <s v="2024-03-23"/>
    <n v="3"/>
    <n v="41703"/>
    <n v="4.3"/>
    <n v="82.5"/>
    <n v="23"/>
    <n v="27"/>
    <n v="11987"/>
    <s v="Suresh"/>
    <x v="0"/>
    <x v="2"/>
    <x v="1"/>
    <x v="1"/>
  </r>
  <r>
    <n v="1812"/>
    <s v="Keerthi"/>
    <x v="1"/>
    <n v="44"/>
    <x v="2"/>
    <s v="Senior Developer"/>
    <x v="2"/>
    <s v="2021-11-09"/>
    <n v="8"/>
    <n v="61278"/>
    <n v="3.6"/>
    <n v="99.8"/>
    <n v="19"/>
    <n v="55"/>
    <n v="10054"/>
    <s v="Amit"/>
    <x v="1"/>
    <x v="0"/>
    <x v="2"/>
    <x v="2"/>
  </r>
  <r>
    <n v="1813"/>
    <s v="Priya"/>
    <x v="0"/>
    <n v="40"/>
    <x v="0"/>
    <s v="Sales Manager"/>
    <x v="4"/>
    <s v="2024-12-01"/>
    <n v="3"/>
    <n v="85153"/>
    <n v="4.0999999999999996"/>
    <n v="85.8"/>
    <n v="7"/>
    <n v="30"/>
    <n v="11696"/>
    <s v="Amit"/>
    <x v="1"/>
    <x v="2"/>
    <x v="0"/>
    <x v="1"/>
  </r>
  <r>
    <n v="1814"/>
    <s v="Ajay"/>
    <x v="0"/>
    <n v="27"/>
    <x v="3"/>
    <s v="HR Executive"/>
    <x v="4"/>
    <s v="2021-02-27"/>
    <n v="6"/>
    <n v="28862"/>
    <n v="3.1"/>
    <n v="87.5"/>
    <n v="19"/>
    <n v="47"/>
    <n v="2738"/>
    <s v="Ramesh"/>
    <x v="1"/>
    <x v="0"/>
    <x v="1"/>
    <x v="2"/>
  </r>
  <r>
    <n v="1815"/>
    <s v="Vijay"/>
    <x v="1"/>
    <n v="38"/>
    <x v="0"/>
    <s v="Sales Executive"/>
    <x v="1"/>
    <s v="2025-04-20"/>
    <n v="3"/>
    <n v="37586"/>
    <n v="2.6"/>
    <n v="95.8"/>
    <n v="0"/>
    <n v="35"/>
    <n v="4331"/>
    <s v="Kavya"/>
    <x v="0"/>
    <x v="1"/>
    <x v="1"/>
    <x v="1"/>
  </r>
  <r>
    <n v="1816"/>
    <s v="Ajay"/>
    <x v="0"/>
    <n v="26"/>
    <x v="2"/>
    <s v="Data Analyst"/>
    <x v="2"/>
    <s v="2020-12-10"/>
    <n v="0"/>
    <n v="26795"/>
    <n v="4.3"/>
    <n v="87.8"/>
    <n v="19"/>
    <n v="53"/>
    <n v="14654"/>
    <s v="Suresh"/>
    <x v="1"/>
    <x v="2"/>
    <x v="1"/>
    <x v="0"/>
  </r>
  <r>
    <n v="1817"/>
    <s v="Divya"/>
    <x v="0"/>
    <n v="29"/>
    <x v="1"/>
    <s v="Financial Analyst"/>
    <x v="3"/>
    <s v="2023-03-30"/>
    <n v="6"/>
    <n v="38665"/>
    <n v="3.1"/>
    <n v="85.3"/>
    <n v="6"/>
    <n v="41"/>
    <n v="10652"/>
    <s v="Amit"/>
    <x v="1"/>
    <x v="0"/>
    <x v="1"/>
    <x v="2"/>
  </r>
  <r>
    <n v="1818"/>
    <s v="Meena"/>
    <x v="0"/>
    <n v="24"/>
    <x v="3"/>
    <s v="HR Executive"/>
    <x v="4"/>
    <s v="2018-11-23"/>
    <n v="1"/>
    <n v="63350"/>
    <n v="2.6"/>
    <n v="88"/>
    <n v="11"/>
    <n v="30"/>
    <n v="9838"/>
    <s v="Ramesh"/>
    <x v="1"/>
    <x v="1"/>
    <x v="2"/>
    <x v="0"/>
  </r>
  <r>
    <n v="1819"/>
    <s v="Kiran"/>
    <x v="1"/>
    <n v="23"/>
    <x v="4"/>
    <s v="Marketing Executive"/>
    <x v="4"/>
    <s v="2018-03-29"/>
    <n v="7"/>
    <n v="69733"/>
    <n v="4.0999999999999996"/>
    <n v="91"/>
    <n v="25"/>
    <n v="12"/>
    <n v="10266"/>
    <s v="Ramesh"/>
    <x v="1"/>
    <x v="2"/>
    <x v="2"/>
    <x v="2"/>
  </r>
  <r>
    <n v="1820"/>
    <s v="Divya"/>
    <x v="0"/>
    <n v="25"/>
    <x v="2"/>
    <s v="Senior Developer"/>
    <x v="2"/>
    <s v="2018-11-04"/>
    <n v="1"/>
    <n v="59221"/>
    <n v="3.8"/>
    <n v="96.3"/>
    <n v="12"/>
    <n v="16"/>
    <n v="14491"/>
    <s v="Ramesh"/>
    <x v="1"/>
    <x v="0"/>
    <x v="2"/>
    <x v="0"/>
  </r>
  <r>
    <n v="1821"/>
    <s v="Nikhil"/>
    <x v="1"/>
    <n v="35"/>
    <x v="4"/>
    <s v="Marketing Executive"/>
    <x v="0"/>
    <s v="2019-07-25"/>
    <n v="5"/>
    <n v="28648"/>
    <n v="4.3"/>
    <n v="95"/>
    <n v="3"/>
    <n v="49"/>
    <n v="3355"/>
    <s v="Ramesh"/>
    <x v="1"/>
    <x v="2"/>
    <x v="1"/>
    <x v="1"/>
  </r>
  <r>
    <n v="1822"/>
    <s v="Kiran"/>
    <x v="0"/>
    <n v="32"/>
    <x v="4"/>
    <s v="SEO Analyst"/>
    <x v="2"/>
    <s v="2021-10-24"/>
    <n v="4"/>
    <n v="79896"/>
    <n v="3"/>
    <n v="87.6"/>
    <n v="9"/>
    <n v="28"/>
    <n v="1359"/>
    <s v="Suresh"/>
    <x v="0"/>
    <x v="0"/>
    <x v="0"/>
    <x v="1"/>
  </r>
  <r>
    <n v="1823"/>
    <s v="Deepa"/>
    <x v="1"/>
    <n v="45"/>
    <x v="0"/>
    <s v="Sales Executive"/>
    <x v="2"/>
    <s v="2021-01-03"/>
    <n v="4"/>
    <n v="48007"/>
    <n v="4.2"/>
    <n v="94.8"/>
    <n v="21"/>
    <n v="45"/>
    <n v="7484"/>
    <s v="Ramesh"/>
    <x v="0"/>
    <x v="2"/>
    <x v="1"/>
    <x v="1"/>
  </r>
  <r>
    <n v="1824"/>
    <s v="Ajay"/>
    <x v="1"/>
    <n v="40"/>
    <x v="3"/>
    <s v="HR Executive"/>
    <x v="4"/>
    <s v="2019-09-06"/>
    <n v="9"/>
    <n v="87095"/>
    <n v="3.8"/>
    <n v="95.2"/>
    <n v="6"/>
    <n v="34"/>
    <n v="1854"/>
    <s v="Suresh"/>
    <x v="1"/>
    <x v="0"/>
    <x v="0"/>
    <x v="2"/>
  </r>
  <r>
    <n v="1825"/>
    <s v="Harsha"/>
    <x v="1"/>
    <n v="23"/>
    <x v="1"/>
    <s v="Financial Analyst"/>
    <x v="0"/>
    <s v="2021-04-05"/>
    <n v="7"/>
    <n v="67225"/>
    <n v="3.6"/>
    <n v="96.1"/>
    <n v="4"/>
    <n v="6"/>
    <n v="6641"/>
    <s v="Amit"/>
    <x v="0"/>
    <x v="0"/>
    <x v="2"/>
    <x v="2"/>
  </r>
  <r>
    <n v="1826"/>
    <s v="Varun"/>
    <x v="0"/>
    <n v="28"/>
    <x v="4"/>
    <s v="Marketing Executive"/>
    <x v="0"/>
    <s v="2018-07-31"/>
    <n v="7"/>
    <n v="57339"/>
    <n v="4.9000000000000004"/>
    <n v="89.2"/>
    <n v="2"/>
    <n v="16"/>
    <n v="3321"/>
    <s v="Suresh"/>
    <x v="0"/>
    <x v="3"/>
    <x v="2"/>
    <x v="2"/>
  </r>
  <r>
    <n v="1827"/>
    <s v="Keerthi"/>
    <x v="1"/>
    <n v="35"/>
    <x v="3"/>
    <s v="HR Executive"/>
    <x v="3"/>
    <s v="2025-03-23"/>
    <n v="7"/>
    <n v="52804"/>
    <n v="4.9000000000000004"/>
    <n v="87.3"/>
    <n v="0"/>
    <n v="31"/>
    <n v="2064"/>
    <s v="Ramesh"/>
    <x v="0"/>
    <x v="3"/>
    <x v="2"/>
    <x v="2"/>
  </r>
  <r>
    <n v="1828"/>
    <s v="Ajay"/>
    <x v="1"/>
    <n v="31"/>
    <x v="1"/>
    <s v="Financial Analyst"/>
    <x v="2"/>
    <s v="2018-02-13"/>
    <n v="9"/>
    <n v="45374"/>
    <n v="2.7"/>
    <n v="89.1"/>
    <n v="19"/>
    <n v="41"/>
    <n v="11195"/>
    <s v="Kavya"/>
    <x v="1"/>
    <x v="1"/>
    <x v="1"/>
    <x v="2"/>
  </r>
  <r>
    <n v="1829"/>
    <s v="Nikhil"/>
    <x v="0"/>
    <n v="41"/>
    <x v="0"/>
    <s v="Sales Executive"/>
    <x v="4"/>
    <s v="2018-01-07"/>
    <n v="9"/>
    <n v="39745"/>
    <n v="3.3"/>
    <n v="85.3"/>
    <n v="11"/>
    <n v="59"/>
    <n v="8586"/>
    <s v="Kavya"/>
    <x v="0"/>
    <x v="0"/>
    <x v="1"/>
    <x v="2"/>
  </r>
  <r>
    <n v="1830"/>
    <s v="Deepa"/>
    <x v="1"/>
    <n v="22"/>
    <x v="4"/>
    <s v="Marketing Executive"/>
    <x v="2"/>
    <s v="2020-03-15"/>
    <n v="9"/>
    <n v="28516"/>
    <n v="4.7"/>
    <n v="96.3"/>
    <n v="17"/>
    <n v="24"/>
    <n v="3567"/>
    <s v="Suresh"/>
    <x v="0"/>
    <x v="3"/>
    <x v="1"/>
    <x v="2"/>
  </r>
  <r>
    <n v="1831"/>
    <s v="Harsha"/>
    <x v="1"/>
    <n v="36"/>
    <x v="4"/>
    <s v="SEO Analyst"/>
    <x v="0"/>
    <s v="2020-06-17"/>
    <n v="2"/>
    <n v="68903"/>
    <n v="4.4000000000000004"/>
    <n v="94.3"/>
    <n v="19"/>
    <n v="60"/>
    <n v="7804"/>
    <s v="Suresh"/>
    <x v="1"/>
    <x v="2"/>
    <x v="2"/>
    <x v="0"/>
  </r>
  <r>
    <n v="1832"/>
    <s v="Arjun"/>
    <x v="1"/>
    <n v="38"/>
    <x v="1"/>
    <s v="Accountant"/>
    <x v="1"/>
    <s v="2020-02-03"/>
    <n v="6"/>
    <n v="87599"/>
    <n v="3.8"/>
    <n v="97.4"/>
    <n v="11"/>
    <n v="32"/>
    <n v="10773"/>
    <s v="Anitha"/>
    <x v="0"/>
    <x v="0"/>
    <x v="0"/>
    <x v="2"/>
  </r>
  <r>
    <n v="1833"/>
    <s v="Arjun"/>
    <x v="1"/>
    <n v="24"/>
    <x v="3"/>
    <s v="HR Manager"/>
    <x v="4"/>
    <s v="2020-02-08"/>
    <n v="5"/>
    <n v="82592"/>
    <n v="3.2"/>
    <n v="87.7"/>
    <n v="17"/>
    <n v="57"/>
    <n v="12907"/>
    <s v="Ramesh"/>
    <x v="1"/>
    <x v="0"/>
    <x v="0"/>
    <x v="1"/>
  </r>
  <r>
    <n v="1834"/>
    <s v="Divya"/>
    <x v="0"/>
    <n v="42"/>
    <x v="2"/>
    <s v="Software Engineer"/>
    <x v="0"/>
    <s v="2023-03-17"/>
    <n v="2"/>
    <n v="41728"/>
    <n v="3.4"/>
    <n v="94.4"/>
    <n v="3"/>
    <n v="41"/>
    <n v="5455"/>
    <s v="Amit"/>
    <x v="0"/>
    <x v="0"/>
    <x v="1"/>
    <x v="0"/>
  </r>
  <r>
    <n v="1835"/>
    <s v="Sneha"/>
    <x v="1"/>
    <n v="30"/>
    <x v="2"/>
    <s v="Software Engineer"/>
    <x v="0"/>
    <s v="2022-07-23"/>
    <n v="4"/>
    <n v="77777"/>
    <n v="2.6"/>
    <n v="90.2"/>
    <n v="25"/>
    <n v="50"/>
    <n v="9090"/>
    <s v="Ramesh"/>
    <x v="0"/>
    <x v="1"/>
    <x v="0"/>
    <x v="1"/>
  </r>
  <r>
    <n v="1836"/>
    <s v="Divya"/>
    <x v="1"/>
    <n v="45"/>
    <x v="2"/>
    <s v="Software Engineer"/>
    <x v="4"/>
    <s v="2020-07-17"/>
    <n v="2"/>
    <n v="42957"/>
    <n v="2.6"/>
    <n v="97.1"/>
    <n v="0"/>
    <n v="56"/>
    <n v="5038"/>
    <s v="Kavya"/>
    <x v="1"/>
    <x v="1"/>
    <x v="1"/>
    <x v="0"/>
  </r>
  <r>
    <n v="1837"/>
    <s v="Varun"/>
    <x v="0"/>
    <n v="27"/>
    <x v="4"/>
    <s v="SEO Analyst"/>
    <x v="4"/>
    <s v="2024-05-19"/>
    <n v="3"/>
    <n v="47143"/>
    <n v="4.2"/>
    <n v="92.1"/>
    <n v="13"/>
    <n v="59"/>
    <n v="9354"/>
    <s v="Suresh"/>
    <x v="1"/>
    <x v="2"/>
    <x v="1"/>
    <x v="1"/>
  </r>
  <r>
    <n v="1838"/>
    <s v="Vijay"/>
    <x v="0"/>
    <n v="42"/>
    <x v="0"/>
    <s v="Sales Manager"/>
    <x v="0"/>
    <s v="2018-08-12"/>
    <n v="3"/>
    <n v="88056"/>
    <n v="4.0999999999999996"/>
    <n v="95.1"/>
    <n v="23"/>
    <n v="60"/>
    <n v="14583"/>
    <s v="Suresh"/>
    <x v="1"/>
    <x v="2"/>
    <x v="0"/>
    <x v="1"/>
  </r>
  <r>
    <n v="1839"/>
    <s v="Vijay"/>
    <x v="0"/>
    <n v="34"/>
    <x v="1"/>
    <s v="Accountant"/>
    <x v="0"/>
    <s v="2020-04-12"/>
    <n v="0"/>
    <n v="45891"/>
    <n v="3.1"/>
    <n v="93"/>
    <n v="22"/>
    <n v="42"/>
    <n v="8272"/>
    <s v="Amit"/>
    <x v="0"/>
    <x v="0"/>
    <x v="1"/>
    <x v="0"/>
  </r>
  <r>
    <n v="1840"/>
    <s v="Harsha"/>
    <x v="1"/>
    <n v="39"/>
    <x v="1"/>
    <s v="Accountant"/>
    <x v="3"/>
    <s v="2022-10-08"/>
    <n v="9"/>
    <n v="80672"/>
    <n v="2.7"/>
    <n v="98.5"/>
    <n v="14"/>
    <n v="23"/>
    <n v="5626"/>
    <s v="Suresh"/>
    <x v="1"/>
    <x v="1"/>
    <x v="0"/>
    <x v="2"/>
  </r>
  <r>
    <n v="1841"/>
    <s v="Deepa"/>
    <x v="0"/>
    <n v="40"/>
    <x v="1"/>
    <s v="Accountant"/>
    <x v="0"/>
    <s v="2022-10-15"/>
    <n v="8"/>
    <n v="93429"/>
    <n v="3.2"/>
    <n v="94.8"/>
    <n v="4"/>
    <n v="45"/>
    <n v="9286"/>
    <s v="Ramesh"/>
    <x v="1"/>
    <x v="0"/>
    <x v="0"/>
    <x v="2"/>
  </r>
  <r>
    <n v="1842"/>
    <s v="Meena"/>
    <x v="0"/>
    <n v="35"/>
    <x v="1"/>
    <s v="Financial Analyst"/>
    <x v="0"/>
    <s v="2018-03-25"/>
    <n v="0"/>
    <n v="66842"/>
    <n v="4.9000000000000004"/>
    <n v="88.3"/>
    <n v="3"/>
    <n v="44"/>
    <n v="4309"/>
    <s v="Anitha"/>
    <x v="0"/>
    <x v="3"/>
    <x v="2"/>
    <x v="0"/>
  </r>
  <r>
    <n v="1843"/>
    <s v="Keerthi"/>
    <x v="1"/>
    <n v="44"/>
    <x v="1"/>
    <s v="Financial Analyst"/>
    <x v="0"/>
    <s v="2018-04-05"/>
    <n v="10"/>
    <n v="67329"/>
    <n v="4"/>
    <n v="83.3"/>
    <n v="1"/>
    <n v="15"/>
    <n v="8269"/>
    <s v="Amit"/>
    <x v="0"/>
    <x v="2"/>
    <x v="2"/>
    <x v="2"/>
  </r>
  <r>
    <n v="1844"/>
    <s v="Priya"/>
    <x v="1"/>
    <n v="24"/>
    <x v="2"/>
    <s v="Data Analyst"/>
    <x v="3"/>
    <s v="2020-12-18"/>
    <n v="6"/>
    <n v="37353"/>
    <n v="3.1"/>
    <n v="94"/>
    <n v="11"/>
    <n v="10"/>
    <n v="14128"/>
    <s v="Suresh"/>
    <x v="1"/>
    <x v="0"/>
    <x v="1"/>
    <x v="2"/>
  </r>
  <r>
    <n v="1845"/>
    <s v="Sai"/>
    <x v="0"/>
    <n v="23"/>
    <x v="3"/>
    <s v="HR Manager"/>
    <x v="4"/>
    <s v="2023-12-14"/>
    <n v="3"/>
    <n v="60754"/>
    <n v="3.5"/>
    <n v="83.3"/>
    <n v="0"/>
    <n v="50"/>
    <n v="14137"/>
    <s v="Kavya"/>
    <x v="1"/>
    <x v="0"/>
    <x v="2"/>
    <x v="1"/>
  </r>
  <r>
    <n v="1846"/>
    <s v="Ajay"/>
    <x v="0"/>
    <n v="33"/>
    <x v="3"/>
    <s v="HR Manager"/>
    <x v="0"/>
    <s v="2022-05-13"/>
    <n v="3"/>
    <n v="81658"/>
    <n v="3.6"/>
    <n v="88.4"/>
    <n v="10"/>
    <n v="29"/>
    <n v="6031"/>
    <s v="Suresh"/>
    <x v="0"/>
    <x v="0"/>
    <x v="0"/>
    <x v="1"/>
  </r>
  <r>
    <n v="1847"/>
    <s v="Arjun"/>
    <x v="0"/>
    <n v="32"/>
    <x v="3"/>
    <s v="HR Manager"/>
    <x v="1"/>
    <s v="2018-01-30"/>
    <n v="0"/>
    <n v="40106"/>
    <n v="4"/>
    <n v="95.1"/>
    <n v="5"/>
    <n v="18"/>
    <n v="2226"/>
    <s v="Amit"/>
    <x v="0"/>
    <x v="2"/>
    <x v="1"/>
    <x v="0"/>
  </r>
  <r>
    <n v="1848"/>
    <s v="Ajay"/>
    <x v="0"/>
    <n v="37"/>
    <x v="2"/>
    <s v="Data Analyst"/>
    <x v="0"/>
    <s v="2023-01-29"/>
    <n v="3"/>
    <n v="65902"/>
    <n v="3.8"/>
    <n v="98.1"/>
    <n v="14"/>
    <n v="29"/>
    <n v="7811"/>
    <s v="Ramesh"/>
    <x v="0"/>
    <x v="0"/>
    <x v="2"/>
    <x v="1"/>
  </r>
  <r>
    <n v="1849"/>
    <s v="Divya"/>
    <x v="0"/>
    <n v="26"/>
    <x v="1"/>
    <s v="Accountant"/>
    <x v="4"/>
    <s v="2025-02-12"/>
    <n v="2"/>
    <n v="44981"/>
    <n v="3.4"/>
    <n v="86.8"/>
    <n v="8"/>
    <n v="29"/>
    <n v="5388"/>
    <s v="Anitha"/>
    <x v="1"/>
    <x v="0"/>
    <x v="1"/>
    <x v="0"/>
  </r>
  <r>
    <n v="1850"/>
    <s v="Meena"/>
    <x v="0"/>
    <n v="36"/>
    <x v="0"/>
    <s v="Sales Executive"/>
    <x v="4"/>
    <s v="2022-12-30"/>
    <n v="4"/>
    <n v="41393"/>
    <n v="4.0999999999999996"/>
    <n v="83.8"/>
    <n v="9"/>
    <n v="33"/>
    <n v="12777"/>
    <s v="Ramesh"/>
    <x v="0"/>
    <x v="2"/>
    <x v="1"/>
    <x v="1"/>
  </r>
  <r>
    <n v="1851"/>
    <s v="Ravi"/>
    <x v="1"/>
    <n v="36"/>
    <x v="1"/>
    <s v="Accountant"/>
    <x v="2"/>
    <s v="2023-11-19"/>
    <n v="10"/>
    <n v="37907"/>
    <n v="3.2"/>
    <n v="83.2"/>
    <n v="13"/>
    <n v="54"/>
    <n v="3908"/>
    <s v="Ramesh"/>
    <x v="1"/>
    <x v="0"/>
    <x v="1"/>
    <x v="2"/>
  </r>
  <r>
    <n v="1852"/>
    <s v="Sneha"/>
    <x v="0"/>
    <n v="22"/>
    <x v="0"/>
    <s v="Sales Manager"/>
    <x v="4"/>
    <s v="2020-02-07"/>
    <n v="2"/>
    <n v="69571"/>
    <n v="4.4000000000000004"/>
    <n v="86.5"/>
    <n v="5"/>
    <n v="5"/>
    <n v="5282"/>
    <s v="Amit"/>
    <x v="1"/>
    <x v="2"/>
    <x v="2"/>
    <x v="0"/>
  </r>
  <r>
    <n v="1853"/>
    <s v="Priya"/>
    <x v="0"/>
    <n v="25"/>
    <x v="4"/>
    <s v="Marketing Executive"/>
    <x v="3"/>
    <s v="2020-05-30"/>
    <n v="6"/>
    <n v="52044"/>
    <n v="5"/>
    <n v="83.3"/>
    <n v="22"/>
    <n v="49"/>
    <n v="3363"/>
    <s v="Ramesh"/>
    <x v="1"/>
    <x v="3"/>
    <x v="2"/>
    <x v="2"/>
  </r>
  <r>
    <n v="1854"/>
    <s v="Sneha"/>
    <x v="1"/>
    <n v="26"/>
    <x v="3"/>
    <s v="HR Manager"/>
    <x v="2"/>
    <s v="2024-09-02"/>
    <n v="6"/>
    <n v="86383"/>
    <n v="4.8"/>
    <n v="88.1"/>
    <n v="12"/>
    <n v="42"/>
    <n v="4052"/>
    <s v="Suresh"/>
    <x v="1"/>
    <x v="3"/>
    <x v="0"/>
    <x v="2"/>
  </r>
  <r>
    <n v="1855"/>
    <s v="Kiran"/>
    <x v="0"/>
    <n v="43"/>
    <x v="4"/>
    <s v="SEO Analyst"/>
    <x v="1"/>
    <s v="2023-03-19"/>
    <n v="6"/>
    <n v="60184"/>
    <n v="2.5"/>
    <n v="93.5"/>
    <n v="12"/>
    <n v="38"/>
    <n v="12038"/>
    <s v="Amit"/>
    <x v="0"/>
    <x v="1"/>
    <x v="2"/>
    <x v="2"/>
  </r>
  <r>
    <n v="1856"/>
    <s v="Sonia"/>
    <x v="1"/>
    <n v="34"/>
    <x v="1"/>
    <s v="Accountant"/>
    <x v="0"/>
    <s v="2022-06-17"/>
    <n v="2"/>
    <n v="80478"/>
    <n v="4.3"/>
    <n v="82.3"/>
    <n v="21"/>
    <n v="26"/>
    <n v="6873"/>
    <s v="Amit"/>
    <x v="1"/>
    <x v="2"/>
    <x v="0"/>
    <x v="0"/>
  </r>
  <r>
    <n v="1857"/>
    <s v="Divya"/>
    <x v="0"/>
    <n v="39"/>
    <x v="4"/>
    <s v="Marketing Executive"/>
    <x v="2"/>
    <s v="2018-01-18"/>
    <n v="10"/>
    <n v="41448"/>
    <n v="4.4000000000000004"/>
    <n v="94.4"/>
    <n v="13"/>
    <n v="25"/>
    <n v="4010"/>
    <s v="Kavya"/>
    <x v="1"/>
    <x v="2"/>
    <x v="1"/>
    <x v="2"/>
  </r>
  <r>
    <n v="1858"/>
    <s v="Priya"/>
    <x v="0"/>
    <n v="31"/>
    <x v="4"/>
    <s v="SEO Analyst"/>
    <x v="3"/>
    <s v="2019-06-08"/>
    <n v="3"/>
    <n v="85099"/>
    <n v="3.3"/>
    <n v="82.3"/>
    <n v="17"/>
    <n v="33"/>
    <n v="9658"/>
    <s v="Ramesh"/>
    <x v="1"/>
    <x v="0"/>
    <x v="0"/>
    <x v="1"/>
  </r>
  <r>
    <n v="1859"/>
    <s v="Kiran"/>
    <x v="0"/>
    <n v="31"/>
    <x v="2"/>
    <s v="Senior Developer"/>
    <x v="1"/>
    <s v="2023-11-17"/>
    <n v="8"/>
    <n v="52199"/>
    <n v="4.4000000000000004"/>
    <n v="99.1"/>
    <n v="24"/>
    <n v="19"/>
    <n v="5501"/>
    <s v="Ramesh"/>
    <x v="0"/>
    <x v="2"/>
    <x v="2"/>
    <x v="2"/>
  </r>
  <r>
    <n v="1860"/>
    <s v="Divya"/>
    <x v="0"/>
    <n v="25"/>
    <x v="4"/>
    <s v="Marketing Executive"/>
    <x v="3"/>
    <s v="2020-02-18"/>
    <n v="0"/>
    <n v="53337"/>
    <n v="2.7"/>
    <n v="91"/>
    <n v="18"/>
    <n v="56"/>
    <n v="1778"/>
    <s v="Kavya"/>
    <x v="1"/>
    <x v="1"/>
    <x v="2"/>
    <x v="0"/>
  </r>
  <r>
    <n v="1861"/>
    <s v="Arjun"/>
    <x v="0"/>
    <n v="32"/>
    <x v="4"/>
    <s v="Marketing Executive"/>
    <x v="1"/>
    <s v="2018-08-14"/>
    <n v="0"/>
    <n v="76062"/>
    <n v="4.3"/>
    <n v="98.1"/>
    <n v="17"/>
    <n v="14"/>
    <n v="7776"/>
    <s v="Amit"/>
    <x v="0"/>
    <x v="2"/>
    <x v="0"/>
    <x v="0"/>
  </r>
  <r>
    <n v="1862"/>
    <s v="Sneha"/>
    <x v="0"/>
    <n v="28"/>
    <x v="1"/>
    <s v="Financial Analyst"/>
    <x v="2"/>
    <s v="2024-11-15"/>
    <n v="9"/>
    <n v="85209"/>
    <n v="5"/>
    <n v="93.3"/>
    <n v="25"/>
    <n v="28"/>
    <n v="5824"/>
    <s v="Amit"/>
    <x v="0"/>
    <x v="3"/>
    <x v="0"/>
    <x v="2"/>
  </r>
  <r>
    <n v="1863"/>
    <s v="Nikhil"/>
    <x v="1"/>
    <n v="29"/>
    <x v="4"/>
    <s v="SEO Analyst"/>
    <x v="0"/>
    <s v="2022-08-13"/>
    <n v="7"/>
    <n v="66248"/>
    <n v="4.3"/>
    <n v="92.1"/>
    <n v="12"/>
    <n v="22"/>
    <n v="12779"/>
    <s v="Kavya"/>
    <x v="1"/>
    <x v="2"/>
    <x v="2"/>
    <x v="2"/>
  </r>
  <r>
    <n v="1864"/>
    <s v="Ajay"/>
    <x v="1"/>
    <n v="27"/>
    <x v="2"/>
    <s v="Software Engineer"/>
    <x v="2"/>
    <s v="2018-02-12"/>
    <n v="7"/>
    <n v="74775"/>
    <n v="4.5999999999999996"/>
    <n v="93.3"/>
    <n v="6"/>
    <n v="59"/>
    <n v="7445"/>
    <s v="Suresh"/>
    <x v="0"/>
    <x v="3"/>
    <x v="0"/>
    <x v="2"/>
  </r>
  <r>
    <n v="1865"/>
    <s v="Sai"/>
    <x v="1"/>
    <n v="31"/>
    <x v="2"/>
    <s v="Data Analyst"/>
    <x v="2"/>
    <s v="2021-07-12"/>
    <n v="5"/>
    <n v="26002"/>
    <n v="3.5"/>
    <n v="91.4"/>
    <n v="19"/>
    <n v="41"/>
    <n v="10729"/>
    <s v="Amit"/>
    <x v="1"/>
    <x v="0"/>
    <x v="1"/>
    <x v="1"/>
  </r>
  <r>
    <n v="1866"/>
    <s v="Meena"/>
    <x v="0"/>
    <n v="45"/>
    <x v="4"/>
    <s v="Marketing Executive"/>
    <x v="3"/>
    <s v="2018-07-11"/>
    <n v="4"/>
    <n v="40785"/>
    <n v="4.9000000000000004"/>
    <n v="85"/>
    <n v="4"/>
    <n v="48"/>
    <n v="11864"/>
    <s v="Kavya"/>
    <x v="0"/>
    <x v="3"/>
    <x v="1"/>
    <x v="1"/>
  </r>
  <r>
    <n v="1867"/>
    <s v="Anu"/>
    <x v="1"/>
    <n v="43"/>
    <x v="4"/>
    <s v="SEO Analyst"/>
    <x v="2"/>
    <s v="2023-12-02"/>
    <n v="6"/>
    <n v="85268"/>
    <n v="3.6"/>
    <n v="89.8"/>
    <n v="10"/>
    <n v="60"/>
    <n v="13180"/>
    <s v="Suresh"/>
    <x v="1"/>
    <x v="0"/>
    <x v="0"/>
    <x v="2"/>
  </r>
  <r>
    <n v="1868"/>
    <s v="Varun"/>
    <x v="0"/>
    <n v="37"/>
    <x v="4"/>
    <s v="SEO Analyst"/>
    <x v="1"/>
    <s v="2018-11-11"/>
    <n v="6"/>
    <n v="40681"/>
    <n v="3.5"/>
    <n v="93.1"/>
    <n v="16"/>
    <n v="34"/>
    <n v="11649"/>
    <s v="Anitha"/>
    <x v="1"/>
    <x v="0"/>
    <x v="1"/>
    <x v="2"/>
  </r>
  <r>
    <n v="1869"/>
    <s v="Harsha"/>
    <x v="1"/>
    <n v="28"/>
    <x v="1"/>
    <s v="Financial Analyst"/>
    <x v="2"/>
    <s v="2018-12-28"/>
    <n v="0"/>
    <n v="83333"/>
    <n v="4.7"/>
    <n v="88.3"/>
    <n v="10"/>
    <n v="45"/>
    <n v="4210"/>
    <s v="Kavya"/>
    <x v="1"/>
    <x v="3"/>
    <x v="0"/>
    <x v="0"/>
  </r>
  <r>
    <n v="1870"/>
    <s v="Sai"/>
    <x v="0"/>
    <n v="34"/>
    <x v="0"/>
    <s v="Sales Executive"/>
    <x v="1"/>
    <s v="2023-06-09"/>
    <n v="5"/>
    <n v="38045"/>
    <n v="4.4000000000000004"/>
    <n v="89.4"/>
    <n v="22"/>
    <n v="12"/>
    <n v="6977"/>
    <s v="Amit"/>
    <x v="0"/>
    <x v="2"/>
    <x v="1"/>
    <x v="1"/>
  </r>
  <r>
    <n v="1871"/>
    <s v="Ravi"/>
    <x v="0"/>
    <n v="27"/>
    <x v="0"/>
    <s v="Sales Manager"/>
    <x v="0"/>
    <s v="2022-09-25"/>
    <n v="2"/>
    <n v="80815"/>
    <n v="2.6"/>
    <n v="89.9"/>
    <n v="2"/>
    <n v="21"/>
    <n v="14191"/>
    <s v="Ramesh"/>
    <x v="0"/>
    <x v="1"/>
    <x v="0"/>
    <x v="0"/>
  </r>
  <r>
    <n v="1872"/>
    <s v="Harsha"/>
    <x v="1"/>
    <n v="45"/>
    <x v="4"/>
    <s v="SEO Analyst"/>
    <x v="0"/>
    <s v="2019-06-16"/>
    <n v="9"/>
    <n v="75947"/>
    <n v="5"/>
    <n v="94.8"/>
    <n v="25"/>
    <n v="37"/>
    <n v="8730"/>
    <s v="Suresh"/>
    <x v="0"/>
    <x v="3"/>
    <x v="0"/>
    <x v="2"/>
  </r>
  <r>
    <n v="1873"/>
    <s v="Arjun"/>
    <x v="0"/>
    <n v="31"/>
    <x v="4"/>
    <s v="Marketing Executive"/>
    <x v="3"/>
    <s v="2023-05-19"/>
    <n v="1"/>
    <n v="27736"/>
    <n v="4.0999999999999996"/>
    <n v="99.1"/>
    <n v="3"/>
    <n v="15"/>
    <n v="12061"/>
    <s v="Anitha"/>
    <x v="1"/>
    <x v="2"/>
    <x v="1"/>
    <x v="0"/>
  </r>
  <r>
    <n v="1874"/>
    <s v="Priya"/>
    <x v="0"/>
    <n v="22"/>
    <x v="4"/>
    <s v="Marketing Executive"/>
    <x v="3"/>
    <s v="2024-08-12"/>
    <n v="0"/>
    <n v="71379"/>
    <n v="2.6"/>
    <n v="83.2"/>
    <n v="22"/>
    <n v="55"/>
    <n v="10530"/>
    <s v="Ramesh"/>
    <x v="0"/>
    <x v="1"/>
    <x v="0"/>
    <x v="0"/>
  </r>
  <r>
    <n v="1875"/>
    <s v="Vijay"/>
    <x v="1"/>
    <n v="44"/>
    <x v="0"/>
    <s v="Sales Executive"/>
    <x v="2"/>
    <s v="2025-02-26"/>
    <n v="4"/>
    <n v="35899"/>
    <n v="4"/>
    <n v="95.2"/>
    <n v="14"/>
    <n v="38"/>
    <n v="7458"/>
    <s v="Amit"/>
    <x v="1"/>
    <x v="2"/>
    <x v="1"/>
    <x v="1"/>
  </r>
  <r>
    <n v="1876"/>
    <s v="Keerthi"/>
    <x v="0"/>
    <n v="39"/>
    <x v="4"/>
    <s v="Marketing Executive"/>
    <x v="3"/>
    <s v="2022-11-09"/>
    <n v="7"/>
    <n v="93114"/>
    <n v="3.3"/>
    <n v="93.5"/>
    <n v="2"/>
    <n v="5"/>
    <n v="9231"/>
    <s v="Ramesh"/>
    <x v="1"/>
    <x v="0"/>
    <x v="0"/>
    <x v="2"/>
  </r>
  <r>
    <n v="1877"/>
    <s v="Ravi"/>
    <x v="1"/>
    <n v="29"/>
    <x v="2"/>
    <s v="Senior Developer"/>
    <x v="4"/>
    <s v="2024-05-15"/>
    <n v="1"/>
    <n v="40163"/>
    <n v="4.2"/>
    <n v="83.3"/>
    <n v="11"/>
    <n v="46"/>
    <n v="9265"/>
    <s v="Amit"/>
    <x v="0"/>
    <x v="2"/>
    <x v="1"/>
    <x v="0"/>
  </r>
  <r>
    <n v="1878"/>
    <s v="Deepa"/>
    <x v="1"/>
    <n v="32"/>
    <x v="0"/>
    <s v="Sales Executive"/>
    <x v="1"/>
    <s v="2020-11-17"/>
    <n v="8"/>
    <n v="35680"/>
    <n v="4.4000000000000004"/>
    <n v="89.1"/>
    <n v="4"/>
    <n v="28"/>
    <n v="10345"/>
    <s v="Ramesh"/>
    <x v="0"/>
    <x v="2"/>
    <x v="1"/>
    <x v="2"/>
  </r>
  <r>
    <n v="1879"/>
    <s v="Anu"/>
    <x v="1"/>
    <n v="28"/>
    <x v="1"/>
    <s v="Accountant"/>
    <x v="0"/>
    <s v="2019-08-09"/>
    <n v="0"/>
    <n v="66878"/>
    <n v="3.8"/>
    <n v="93.6"/>
    <n v="12"/>
    <n v="12"/>
    <n v="9966"/>
    <s v="Ramesh"/>
    <x v="0"/>
    <x v="0"/>
    <x v="2"/>
    <x v="0"/>
  </r>
  <r>
    <n v="1880"/>
    <s v="Manoj"/>
    <x v="1"/>
    <n v="26"/>
    <x v="4"/>
    <s v="Marketing Executive"/>
    <x v="1"/>
    <s v="2021-12-05"/>
    <n v="7"/>
    <n v="32089"/>
    <n v="3.9"/>
    <n v="85.7"/>
    <n v="23"/>
    <n v="39"/>
    <n v="4992"/>
    <s v="Kavya"/>
    <x v="1"/>
    <x v="0"/>
    <x v="1"/>
    <x v="2"/>
  </r>
  <r>
    <n v="1881"/>
    <s v="Priya"/>
    <x v="0"/>
    <n v="31"/>
    <x v="4"/>
    <s v="SEO Analyst"/>
    <x v="3"/>
    <s v="2022-05-06"/>
    <n v="9"/>
    <n v="90402"/>
    <n v="2.8"/>
    <n v="94.8"/>
    <n v="13"/>
    <n v="47"/>
    <n v="13445"/>
    <s v="Anitha"/>
    <x v="1"/>
    <x v="1"/>
    <x v="0"/>
    <x v="2"/>
  </r>
  <r>
    <n v="1882"/>
    <s v="Nikhil"/>
    <x v="0"/>
    <n v="37"/>
    <x v="4"/>
    <s v="Marketing Executive"/>
    <x v="2"/>
    <s v="2025-02-17"/>
    <n v="9"/>
    <n v="42628"/>
    <n v="3"/>
    <n v="97.3"/>
    <n v="13"/>
    <n v="45"/>
    <n v="9205"/>
    <s v="Anitha"/>
    <x v="0"/>
    <x v="0"/>
    <x v="1"/>
    <x v="2"/>
  </r>
  <r>
    <n v="1883"/>
    <s v="Nikhil"/>
    <x v="0"/>
    <n v="33"/>
    <x v="1"/>
    <s v="Financial Analyst"/>
    <x v="2"/>
    <s v="2020-01-15"/>
    <n v="1"/>
    <n v="33843"/>
    <n v="3.8"/>
    <n v="93"/>
    <n v="19"/>
    <n v="36"/>
    <n v="1328"/>
    <s v="Ramesh"/>
    <x v="1"/>
    <x v="0"/>
    <x v="1"/>
    <x v="0"/>
  </r>
  <r>
    <n v="1884"/>
    <s v="Priya"/>
    <x v="0"/>
    <n v="27"/>
    <x v="1"/>
    <s v="Accountant"/>
    <x v="4"/>
    <s v="2022-09-22"/>
    <n v="8"/>
    <n v="42046"/>
    <n v="4.2"/>
    <n v="91"/>
    <n v="20"/>
    <n v="9"/>
    <n v="9057"/>
    <s v="Amit"/>
    <x v="0"/>
    <x v="2"/>
    <x v="1"/>
    <x v="2"/>
  </r>
  <r>
    <n v="1885"/>
    <s v="Kiran"/>
    <x v="1"/>
    <n v="32"/>
    <x v="3"/>
    <s v="HR Executive"/>
    <x v="0"/>
    <s v="2021-07-25"/>
    <n v="0"/>
    <n v="75334"/>
    <n v="3.6"/>
    <n v="85.2"/>
    <n v="3"/>
    <n v="18"/>
    <n v="11811"/>
    <s v="Anitha"/>
    <x v="1"/>
    <x v="0"/>
    <x v="0"/>
    <x v="0"/>
  </r>
  <r>
    <n v="1886"/>
    <s v="Divya"/>
    <x v="1"/>
    <n v="38"/>
    <x v="1"/>
    <s v="Accountant"/>
    <x v="2"/>
    <s v="2020-09-25"/>
    <n v="8"/>
    <n v="50966"/>
    <n v="2.5"/>
    <n v="97.3"/>
    <n v="20"/>
    <n v="5"/>
    <n v="5726"/>
    <s v="Kavya"/>
    <x v="0"/>
    <x v="1"/>
    <x v="2"/>
    <x v="2"/>
  </r>
  <r>
    <n v="1887"/>
    <s v="Sai"/>
    <x v="1"/>
    <n v="35"/>
    <x v="4"/>
    <s v="SEO Analyst"/>
    <x v="3"/>
    <s v="2024-04-12"/>
    <n v="6"/>
    <n v="52179"/>
    <n v="4.0999999999999996"/>
    <n v="86.2"/>
    <n v="10"/>
    <n v="5"/>
    <n v="6913"/>
    <s v="Amit"/>
    <x v="0"/>
    <x v="2"/>
    <x v="2"/>
    <x v="2"/>
  </r>
  <r>
    <n v="1888"/>
    <s v="Ajay"/>
    <x v="1"/>
    <n v="27"/>
    <x v="1"/>
    <s v="Financial Analyst"/>
    <x v="0"/>
    <s v="2021-05-05"/>
    <n v="2"/>
    <n v="62898"/>
    <n v="3"/>
    <n v="97.6"/>
    <n v="23"/>
    <n v="18"/>
    <n v="6233"/>
    <s v="Suresh"/>
    <x v="1"/>
    <x v="0"/>
    <x v="2"/>
    <x v="0"/>
  </r>
  <r>
    <n v="1889"/>
    <s v="Kiran"/>
    <x v="1"/>
    <n v="36"/>
    <x v="4"/>
    <s v="Marketing Executive"/>
    <x v="3"/>
    <s v="2022-03-21"/>
    <n v="8"/>
    <n v="84703"/>
    <n v="3.2"/>
    <n v="86.9"/>
    <n v="4"/>
    <n v="52"/>
    <n v="14583"/>
    <s v="Amit"/>
    <x v="1"/>
    <x v="0"/>
    <x v="0"/>
    <x v="2"/>
  </r>
  <r>
    <n v="1890"/>
    <s v="Ravi"/>
    <x v="0"/>
    <n v="24"/>
    <x v="0"/>
    <s v="Sales Manager"/>
    <x v="2"/>
    <s v="2019-06-18"/>
    <n v="9"/>
    <n v="31517"/>
    <n v="2.7"/>
    <n v="98.7"/>
    <n v="14"/>
    <n v="28"/>
    <n v="14049"/>
    <s v="Amit"/>
    <x v="1"/>
    <x v="1"/>
    <x v="1"/>
    <x v="2"/>
  </r>
  <r>
    <n v="1891"/>
    <s v="Nikhil"/>
    <x v="1"/>
    <n v="34"/>
    <x v="4"/>
    <s v="Marketing Executive"/>
    <x v="0"/>
    <s v="2024-08-06"/>
    <n v="0"/>
    <n v="94086"/>
    <n v="4.4000000000000004"/>
    <n v="89"/>
    <n v="18"/>
    <n v="58"/>
    <n v="12969"/>
    <s v="Amit"/>
    <x v="1"/>
    <x v="2"/>
    <x v="0"/>
    <x v="0"/>
  </r>
  <r>
    <n v="1892"/>
    <s v="Divya"/>
    <x v="0"/>
    <n v="27"/>
    <x v="0"/>
    <s v="Sales Manager"/>
    <x v="1"/>
    <s v="2022-06-30"/>
    <n v="7"/>
    <n v="48659"/>
    <n v="3.1"/>
    <n v="100"/>
    <n v="8"/>
    <n v="58"/>
    <n v="5817"/>
    <s v="Suresh"/>
    <x v="1"/>
    <x v="0"/>
    <x v="1"/>
    <x v="2"/>
  </r>
  <r>
    <n v="1893"/>
    <s v="Ajay"/>
    <x v="0"/>
    <n v="41"/>
    <x v="3"/>
    <s v="HR Executive"/>
    <x v="0"/>
    <s v="2021-10-29"/>
    <n v="8"/>
    <n v="73463"/>
    <n v="4.9000000000000004"/>
    <n v="87.4"/>
    <n v="17"/>
    <n v="37"/>
    <n v="10132"/>
    <s v="Suresh"/>
    <x v="0"/>
    <x v="3"/>
    <x v="0"/>
    <x v="2"/>
  </r>
  <r>
    <n v="1894"/>
    <s v="Arjun"/>
    <x v="1"/>
    <n v="35"/>
    <x v="4"/>
    <s v="Marketing Executive"/>
    <x v="4"/>
    <s v="2023-03-04"/>
    <n v="6"/>
    <n v="57475"/>
    <n v="3.1"/>
    <n v="92.7"/>
    <n v="20"/>
    <n v="28"/>
    <n v="14001"/>
    <s v="Amit"/>
    <x v="1"/>
    <x v="0"/>
    <x v="2"/>
    <x v="2"/>
  </r>
  <r>
    <n v="1895"/>
    <s v="Ajay"/>
    <x v="0"/>
    <n v="33"/>
    <x v="4"/>
    <s v="SEO Analyst"/>
    <x v="0"/>
    <s v="2018-03-17"/>
    <n v="9"/>
    <n v="93883"/>
    <n v="3.1"/>
    <n v="93.9"/>
    <n v="3"/>
    <n v="53"/>
    <n v="11782"/>
    <s v="Ramesh"/>
    <x v="1"/>
    <x v="0"/>
    <x v="0"/>
    <x v="2"/>
  </r>
  <r>
    <n v="1896"/>
    <s v="Ravi"/>
    <x v="1"/>
    <n v="39"/>
    <x v="1"/>
    <s v="Accountant"/>
    <x v="1"/>
    <s v="2019-09-13"/>
    <n v="9"/>
    <n v="62416"/>
    <n v="4.0999999999999996"/>
    <n v="89.5"/>
    <n v="5"/>
    <n v="35"/>
    <n v="7341"/>
    <s v="Ramesh"/>
    <x v="0"/>
    <x v="2"/>
    <x v="2"/>
    <x v="2"/>
  </r>
  <r>
    <n v="1897"/>
    <s v="Rahul"/>
    <x v="0"/>
    <n v="38"/>
    <x v="0"/>
    <s v="Sales Manager"/>
    <x v="2"/>
    <s v="2018-09-03"/>
    <n v="9"/>
    <n v="76750"/>
    <n v="4.5999999999999996"/>
    <n v="88.9"/>
    <n v="6"/>
    <n v="32"/>
    <n v="1840"/>
    <s v="Ramesh"/>
    <x v="0"/>
    <x v="3"/>
    <x v="0"/>
    <x v="2"/>
  </r>
  <r>
    <n v="1898"/>
    <s v="Arjun"/>
    <x v="1"/>
    <n v="41"/>
    <x v="1"/>
    <s v="Financial Analyst"/>
    <x v="3"/>
    <s v="2020-05-28"/>
    <n v="4"/>
    <n v="90767"/>
    <n v="2.7"/>
    <n v="90.1"/>
    <n v="22"/>
    <n v="44"/>
    <n v="6388"/>
    <s v="Suresh"/>
    <x v="1"/>
    <x v="1"/>
    <x v="0"/>
    <x v="1"/>
  </r>
  <r>
    <n v="1899"/>
    <s v="Kiran"/>
    <x v="1"/>
    <n v="42"/>
    <x v="3"/>
    <s v="HR Manager"/>
    <x v="0"/>
    <s v="2020-12-28"/>
    <n v="3"/>
    <m/>
    <n v="4.9000000000000004"/>
    <n v="98.9"/>
    <n v="0"/>
    <n v="46"/>
    <n v="2594"/>
    <s v="Kavya"/>
    <x v="0"/>
    <x v="3"/>
    <x v="1"/>
    <x v="1"/>
  </r>
  <r>
    <n v="1900"/>
    <s v="Pooja"/>
    <x v="0"/>
    <n v="34"/>
    <x v="0"/>
    <s v="Sales Executive"/>
    <x v="4"/>
    <s v="2020-08-12"/>
    <n v="5"/>
    <n v="48647"/>
    <n v="2.9"/>
    <n v="89.1"/>
    <n v="11"/>
    <n v="41"/>
    <n v="4895"/>
    <s v="Kavya"/>
    <x v="0"/>
    <x v="1"/>
    <x v="1"/>
    <x v="1"/>
  </r>
  <r>
    <n v="1901"/>
    <s v="Nikhil"/>
    <x v="1"/>
    <n v="33"/>
    <x v="4"/>
    <s v="Marketing Executive"/>
    <x v="2"/>
    <s v="2022-02-02"/>
    <n v="2"/>
    <n v="71210"/>
    <n v="3.7"/>
    <n v="86"/>
    <n v="0"/>
    <n v="7"/>
    <n v="1882"/>
    <s v="Suresh"/>
    <x v="0"/>
    <x v="0"/>
    <x v="0"/>
    <x v="0"/>
  </r>
  <r>
    <n v="1902"/>
    <s v="Sneha"/>
    <x v="1"/>
    <n v="26"/>
    <x v="4"/>
    <s v="Marketing Executive"/>
    <x v="1"/>
    <s v="2020-08-23"/>
    <n v="10"/>
    <n v="76535"/>
    <n v="4"/>
    <n v="94.5"/>
    <n v="21"/>
    <n v="32"/>
    <n v="1994"/>
    <s v="Amit"/>
    <x v="0"/>
    <x v="2"/>
    <x v="0"/>
    <x v="2"/>
  </r>
  <r>
    <n v="1903"/>
    <s v="Meena"/>
    <x v="0"/>
    <n v="44"/>
    <x v="1"/>
    <s v="Financial Analyst"/>
    <x v="1"/>
    <s v="2019-10-23"/>
    <n v="2"/>
    <n v="59585"/>
    <n v="3.9"/>
    <n v="95.5"/>
    <n v="24"/>
    <n v="24"/>
    <n v="13067"/>
    <s v="Amit"/>
    <x v="0"/>
    <x v="0"/>
    <x v="2"/>
    <x v="0"/>
  </r>
  <r>
    <n v="1904"/>
    <s v="Keerthi"/>
    <x v="0"/>
    <n v="37"/>
    <x v="0"/>
    <s v="Sales Executive"/>
    <x v="0"/>
    <s v="2023-10-13"/>
    <n v="7"/>
    <n v="78894"/>
    <n v="4.4000000000000004"/>
    <n v="95.9"/>
    <n v="6"/>
    <n v="14"/>
    <n v="8568"/>
    <s v="Ramesh"/>
    <x v="1"/>
    <x v="2"/>
    <x v="0"/>
    <x v="2"/>
  </r>
  <r>
    <n v="1905"/>
    <s v="Sai"/>
    <x v="0"/>
    <n v="31"/>
    <x v="0"/>
    <s v="Sales Manager"/>
    <x v="2"/>
    <s v="2020-08-18"/>
    <n v="4"/>
    <n v="61526"/>
    <n v="2.9"/>
    <n v="99.6"/>
    <n v="20"/>
    <n v="18"/>
    <n v="1710"/>
    <s v="Amit"/>
    <x v="0"/>
    <x v="1"/>
    <x v="2"/>
    <x v="1"/>
  </r>
  <r>
    <n v="1906"/>
    <s v="Manoj"/>
    <x v="1"/>
    <n v="39"/>
    <x v="0"/>
    <s v="Sales Manager"/>
    <x v="1"/>
    <s v="2022-03-07"/>
    <n v="0"/>
    <n v="72173"/>
    <n v="4.5999999999999996"/>
    <n v="82.2"/>
    <n v="21"/>
    <n v="22"/>
    <n v="12450"/>
    <s v="Anitha"/>
    <x v="0"/>
    <x v="3"/>
    <x v="0"/>
    <x v="0"/>
  </r>
  <r>
    <n v="1907"/>
    <s v="Deepa"/>
    <x v="1"/>
    <n v="36"/>
    <x v="4"/>
    <s v="Marketing Executive"/>
    <x v="4"/>
    <s v="2021-01-29"/>
    <n v="2"/>
    <n v="35824"/>
    <n v="3.3"/>
    <n v="95"/>
    <n v="2"/>
    <n v="12"/>
    <n v="1466"/>
    <s v="Amit"/>
    <x v="0"/>
    <x v="0"/>
    <x v="1"/>
    <x v="0"/>
  </r>
  <r>
    <n v="1908"/>
    <s v="Keerthi"/>
    <x v="0"/>
    <n v="26"/>
    <x v="4"/>
    <s v="SEO Analyst"/>
    <x v="0"/>
    <s v="2023-04-03"/>
    <n v="7"/>
    <n v="36467"/>
    <n v="2.8"/>
    <n v="83.7"/>
    <n v="9"/>
    <n v="39"/>
    <n v="6198"/>
    <s v="Amit"/>
    <x v="0"/>
    <x v="1"/>
    <x v="1"/>
    <x v="2"/>
  </r>
  <r>
    <n v="1909"/>
    <s v="Rahul"/>
    <x v="1"/>
    <n v="40"/>
    <x v="2"/>
    <s v="Data Analyst"/>
    <x v="0"/>
    <s v="2020-07-11"/>
    <n v="0"/>
    <n v="83568"/>
    <n v="4.7"/>
    <n v="99.8"/>
    <n v="0"/>
    <n v="24"/>
    <n v="7958"/>
    <s v="Kavya"/>
    <x v="0"/>
    <x v="3"/>
    <x v="0"/>
    <x v="0"/>
  </r>
  <r>
    <n v="1910"/>
    <s v="Vijay"/>
    <x v="0"/>
    <n v="40"/>
    <x v="3"/>
    <s v="HR Manager"/>
    <x v="2"/>
    <s v="2020-12-06"/>
    <n v="10"/>
    <n v="66087"/>
    <n v="3.4"/>
    <n v="95.4"/>
    <n v="2"/>
    <n v="19"/>
    <n v="9203"/>
    <s v="Amit"/>
    <x v="0"/>
    <x v="0"/>
    <x v="2"/>
    <x v="2"/>
  </r>
  <r>
    <n v="1911"/>
    <s v="Sonia"/>
    <x v="1"/>
    <n v="26"/>
    <x v="1"/>
    <s v="Accountant"/>
    <x v="0"/>
    <s v="2020-11-09"/>
    <n v="4"/>
    <n v="68146"/>
    <n v="4.0999999999999996"/>
    <n v="85.2"/>
    <n v="0"/>
    <n v="48"/>
    <n v="5193"/>
    <s v="Kavya"/>
    <x v="0"/>
    <x v="2"/>
    <x v="2"/>
    <x v="1"/>
  </r>
  <r>
    <n v="1912"/>
    <s v="Sai"/>
    <x v="0"/>
    <n v="35"/>
    <x v="4"/>
    <s v="SEO Analyst"/>
    <x v="0"/>
    <s v="2021-04-17"/>
    <n v="4"/>
    <n v="45698"/>
    <n v="4.5"/>
    <n v="98"/>
    <n v="8"/>
    <n v="58"/>
    <n v="9476"/>
    <s v="Anitha"/>
    <x v="0"/>
    <x v="3"/>
    <x v="1"/>
    <x v="1"/>
  </r>
  <r>
    <n v="1913"/>
    <s v="Ravi"/>
    <x v="1"/>
    <n v="34"/>
    <x v="3"/>
    <s v="HR Manager"/>
    <x v="3"/>
    <s v="2019-06-26"/>
    <n v="0"/>
    <n v="40317"/>
    <n v="4.5"/>
    <n v="89.1"/>
    <n v="4"/>
    <n v="5"/>
    <n v="13363"/>
    <s v="Anitha"/>
    <x v="0"/>
    <x v="3"/>
    <x v="1"/>
    <x v="0"/>
  </r>
  <r>
    <n v="1914"/>
    <s v="Varun"/>
    <x v="1"/>
    <n v="35"/>
    <x v="1"/>
    <s v="Financial Analyst"/>
    <x v="1"/>
    <s v="2019-04-18"/>
    <n v="2"/>
    <n v="87123"/>
    <n v="2.9"/>
    <n v="83.9"/>
    <n v="12"/>
    <n v="56"/>
    <n v="4066"/>
    <s v="Ramesh"/>
    <x v="1"/>
    <x v="1"/>
    <x v="0"/>
    <x v="0"/>
  </r>
  <r>
    <n v="1915"/>
    <s v="Ajay"/>
    <x v="0"/>
    <n v="42"/>
    <x v="4"/>
    <s v="SEO Analyst"/>
    <x v="0"/>
    <s v="2018-07-25"/>
    <n v="4"/>
    <n v="82070"/>
    <n v="4.7"/>
    <n v="98.2"/>
    <n v="12"/>
    <n v="49"/>
    <n v="5093"/>
    <s v="Anitha"/>
    <x v="1"/>
    <x v="3"/>
    <x v="0"/>
    <x v="1"/>
  </r>
  <r>
    <n v="1916"/>
    <s v="Vijay"/>
    <x v="0"/>
    <n v="42"/>
    <x v="1"/>
    <s v="Financial Analyst"/>
    <x v="3"/>
    <s v="2024-07-30"/>
    <n v="7"/>
    <n v="51899"/>
    <n v="2.7"/>
    <n v="95.4"/>
    <n v="0"/>
    <n v="42"/>
    <n v="11369"/>
    <s v="Anitha"/>
    <x v="0"/>
    <x v="1"/>
    <x v="2"/>
    <x v="2"/>
  </r>
  <r>
    <n v="1917"/>
    <s v="Kiran"/>
    <x v="0"/>
    <n v="33"/>
    <x v="2"/>
    <s v="Software Engineer"/>
    <x v="1"/>
    <s v="2022-09-10"/>
    <n v="0"/>
    <n v="55531"/>
    <n v="3.1"/>
    <n v="83.9"/>
    <n v="15"/>
    <n v="16"/>
    <n v="7185"/>
    <s v="Amit"/>
    <x v="1"/>
    <x v="0"/>
    <x v="2"/>
    <x v="0"/>
  </r>
  <r>
    <n v="1918"/>
    <s v="Harsha"/>
    <x v="0"/>
    <n v="30"/>
    <x v="0"/>
    <s v="Sales Manager"/>
    <x v="4"/>
    <s v="2020-05-05"/>
    <n v="8"/>
    <n v="44894"/>
    <n v="4.8"/>
    <n v="82.1"/>
    <n v="13"/>
    <n v="20"/>
    <n v="4392"/>
    <s v="Amit"/>
    <x v="0"/>
    <x v="3"/>
    <x v="1"/>
    <x v="2"/>
  </r>
  <r>
    <n v="1919"/>
    <s v="Deepa"/>
    <x v="1"/>
    <n v="36"/>
    <x v="3"/>
    <s v="HR Executive"/>
    <x v="2"/>
    <s v="2024-07-31"/>
    <n v="10"/>
    <n v="36194"/>
    <n v="3.8"/>
    <n v="89.4"/>
    <n v="13"/>
    <n v="21"/>
    <n v="14296"/>
    <s v="Amit"/>
    <x v="0"/>
    <x v="0"/>
    <x v="1"/>
    <x v="2"/>
  </r>
  <r>
    <n v="1920"/>
    <s v="Arjun"/>
    <x v="0"/>
    <n v="32"/>
    <x v="2"/>
    <s v="Senior Developer"/>
    <x v="4"/>
    <s v="2018-07-06"/>
    <n v="2"/>
    <n v="40941"/>
    <n v="3.1"/>
    <n v="95.8"/>
    <n v="0"/>
    <n v="24"/>
    <n v="1823"/>
    <s v="Ramesh"/>
    <x v="1"/>
    <x v="0"/>
    <x v="1"/>
    <x v="0"/>
  </r>
  <r>
    <n v="1921"/>
    <s v="Rahul"/>
    <x v="1"/>
    <n v="31"/>
    <x v="1"/>
    <s v="Accountant"/>
    <x v="3"/>
    <s v="2022-06-19"/>
    <n v="10"/>
    <n v="87764"/>
    <n v="2.7"/>
    <n v="88.2"/>
    <n v="2"/>
    <n v="55"/>
    <n v="9217"/>
    <s v="Ramesh"/>
    <x v="1"/>
    <x v="1"/>
    <x v="0"/>
    <x v="2"/>
  </r>
  <r>
    <n v="1922"/>
    <s v="Priya"/>
    <x v="1"/>
    <n v="23"/>
    <x v="4"/>
    <s v="SEO Analyst"/>
    <x v="2"/>
    <s v="2018-04-24"/>
    <n v="4"/>
    <n v="89022"/>
    <n v="4.0999999999999996"/>
    <n v="83.1"/>
    <n v="9"/>
    <n v="46"/>
    <n v="9423"/>
    <s v="Anitha"/>
    <x v="0"/>
    <x v="2"/>
    <x v="0"/>
    <x v="1"/>
  </r>
  <r>
    <n v="1923"/>
    <s v="Anu"/>
    <x v="1"/>
    <n v="28"/>
    <x v="1"/>
    <s v="Accountant"/>
    <x v="1"/>
    <s v="2020-10-21"/>
    <n v="7"/>
    <n v="68114"/>
    <n v="2.6"/>
    <n v="87.1"/>
    <n v="23"/>
    <n v="44"/>
    <n v="12693"/>
    <s v="Ramesh"/>
    <x v="0"/>
    <x v="1"/>
    <x v="2"/>
    <x v="2"/>
  </r>
  <r>
    <n v="1924"/>
    <s v="Meena"/>
    <x v="0"/>
    <n v="44"/>
    <x v="4"/>
    <s v="SEO Analyst"/>
    <x v="3"/>
    <s v="2023-02-21"/>
    <n v="4"/>
    <n v="34434"/>
    <n v="3.9"/>
    <n v="99.6"/>
    <n v="5"/>
    <n v="36"/>
    <n v="9654"/>
    <s v="Amit"/>
    <x v="0"/>
    <x v="0"/>
    <x v="1"/>
    <x v="1"/>
  </r>
  <r>
    <n v="1925"/>
    <s v="Rahul"/>
    <x v="0"/>
    <n v="42"/>
    <x v="1"/>
    <s v="Financial Analyst"/>
    <x v="2"/>
    <s v="2021-01-15"/>
    <n v="2"/>
    <n v="67653"/>
    <n v="4.5999999999999996"/>
    <n v="83.8"/>
    <n v="11"/>
    <n v="35"/>
    <n v="2659"/>
    <s v="Kavya"/>
    <x v="1"/>
    <x v="3"/>
    <x v="2"/>
    <x v="0"/>
  </r>
  <r>
    <n v="1926"/>
    <s v="Rahul"/>
    <x v="1"/>
    <n v="26"/>
    <x v="1"/>
    <s v="Financial Analyst"/>
    <x v="1"/>
    <s v="2020-08-04"/>
    <n v="6"/>
    <n v="60272"/>
    <n v="3.8"/>
    <n v="94.1"/>
    <n v="17"/>
    <n v="46"/>
    <n v="8886"/>
    <s v="Anitha"/>
    <x v="0"/>
    <x v="0"/>
    <x v="2"/>
    <x v="2"/>
  </r>
  <r>
    <n v="1927"/>
    <s v="Sonia"/>
    <x v="1"/>
    <n v="23"/>
    <x v="0"/>
    <s v="Sales Manager"/>
    <x v="1"/>
    <s v="2023-08-25"/>
    <n v="6"/>
    <n v="69831"/>
    <n v="4.8"/>
    <n v="86.9"/>
    <n v="11"/>
    <n v="31"/>
    <n v="3194"/>
    <s v="Suresh"/>
    <x v="1"/>
    <x v="3"/>
    <x v="2"/>
    <x v="2"/>
  </r>
  <r>
    <n v="1928"/>
    <s v="Varun"/>
    <x v="1"/>
    <n v="43"/>
    <x v="3"/>
    <s v="HR Executive"/>
    <x v="3"/>
    <s v="2020-08-15"/>
    <n v="6"/>
    <n v="58607"/>
    <n v="2.9"/>
    <n v="97.5"/>
    <n v="14"/>
    <n v="50"/>
    <n v="10288"/>
    <s v="Amit"/>
    <x v="0"/>
    <x v="1"/>
    <x v="2"/>
    <x v="2"/>
  </r>
  <r>
    <n v="1929"/>
    <s v="Sonia"/>
    <x v="0"/>
    <n v="32"/>
    <x v="0"/>
    <s v="Sales Manager"/>
    <x v="2"/>
    <s v="2019-02-09"/>
    <n v="0"/>
    <n v="38632"/>
    <n v="3.2"/>
    <n v="83"/>
    <n v="5"/>
    <n v="37"/>
    <n v="14434"/>
    <s v="Kavya"/>
    <x v="1"/>
    <x v="0"/>
    <x v="1"/>
    <x v="0"/>
  </r>
  <r>
    <n v="1930"/>
    <s v="Manoj"/>
    <x v="0"/>
    <n v="40"/>
    <x v="3"/>
    <s v="HR Manager"/>
    <x v="4"/>
    <s v="2021-07-12"/>
    <n v="0"/>
    <n v="56756"/>
    <n v="2.8"/>
    <n v="97.2"/>
    <n v="4"/>
    <n v="37"/>
    <n v="10852"/>
    <s v="Anitha"/>
    <x v="1"/>
    <x v="1"/>
    <x v="2"/>
    <x v="0"/>
  </r>
  <r>
    <n v="1931"/>
    <s v="Divya"/>
    <x v="1"/>
    <n v="35"/>
    <x v="0"/>
    <s v="Sales Executive"/>
    <x v="3"/>
    <s v="2018-08-21"/>
    <n v="2"/>
    <n v="54920"/>
    <n v="3.7"/>
    <n v="95.4"/>
    <n v="15"/>
    <n v="32"/>
    <n v="9049"/>
    <s v="Kavya"/>
    <x v="0"/>
    <x v="0"/>
    <x v="2"/>
    <x v="0"/>
  </r>
  <r>
    <n v="1932"/>
    <s v="Sai"/>
    <x v="0"/>
    <n v="39"/>
    <x v="4"/>
    <s v="SEO Analyst"/>
    <x v="1"/>
    <s v="2018-12-25"/>
    <n v="2"/>
    <n v="87229"/>
    <n v="2.8"/>
    <n v="82.9"/>
    <n v="6"/>
    <n v="38"/>
    <n v="8438"/>
    <s v="Suresh"/>
    <x v="0"/>
    <x v="1"/>
    <x v="0"/>
    <x v="0"/>
  </r>
  <r>
    <n v="1933"/>
    <s v="Vijay"/>
    <x v="0"/>
    <n v="43"/>
    <x v="3"/>
    <s v="HR Executive"/>
    <x v="2"/>
    <s v="2023-07-31"/>
    <n v="2"/>
    <n v="73985"/>
    <n v="3.9"/>
    <n v="99.3"/>
    <n v="20"/>
    <n v="56"/>
    <n v="1087"/>
    <s v="Kavya"/>
    <x v="1"/>
    <x v="0"/>
    <x v="0"/>
    <x v="0"/>
  </r>
  <r>
    <n v="1934"/>
    <s v="Divya"/>
    <x v="1"/>
    <n v="26"/>
    <x v="2"/>
    <s v="Software Engineer"/>
    <x v="0"/>
    <s v="2025-01-30"/>
    <n v="2"/>
    <n v="89483"/>
    <n v="3.8"/>
    <n v="95.8"/>
    <n v="8"/>
    <n v="44"/>
    <n v="1814"/>
    <s v="Suresh"/>
    <x v="0"/>
    <x v="0"/>
    <x v="0"/>
    <x v="0"/>
  </r>
  <r>
    <n v="1935"/>
    <s v="Arjun"/>
    <x v="1"/>
    <n v="38"/>
    <x v="2"/>
    <s v="Software Engineer"/>
    <x v="4"/>
    <s v="2020-08-08"/>
    <n v="6"/>
    <n v="67395"/>
    <n v="4"/>
    <n v="87.1"/>
    <n v="13"/>
    <n v="6"/>
    <n v="9660"/>
    <s v="Amit"/>
    <x v="1"/>
    <x v="2"/>
    <x v="2"/>
    <x v="2"/>
  </r>
  <r>
    <n v="1936"/>
    <s v="Pooja"/>
    <x v="0"/>
    <n v="24"/>
    <x v="0"/>
    <s v="Sales Manager"/>
    <x v="1"/>
    <s v="2022-08-02"/>
    <n v="9"/>
    <n v="51346"/>
    <n v="3.7"/>
    <n v="85.1"/>
    <n v="24"/>
    <n v="55"/>
    <n v="2664"/>
    <s v="Anitha"/>
    <x v="1"/>
    <x v="0"/>
    <x v="2"/>
    <x v="2"/>
  </r>
  <r>
    <n v="1937"/>
    <s v="Divya"/>
    <x v="0"/>
    <n v="24"/>
    <x v="3"/>
    <s v="HR Manager"/>
    <x v="0"/>
    <s v="2018-05-21"/>
    <n v="4"/>
    <n v="47810"/>
    <n v="2.8"/>
    <n v="94.1"/>
    <n v="19"/>
    <n v="30"/>
    <n v="9437"/>
    <s v="Ramesh"/>
    <x v="0"/>
    <x v="1"/>
    <x v="1"/>
    <x v="1"/>
  </r>
  <r>
    <n v="1938"/>
    <s v="Divya"/>
    <x v="1"/>
    <n v="34"/>
    <x v="4"/>
    <s v="Marketing Executive"/>
    <x v="2"/>
    <s v="2018-09-30"/>
    <n v="10"/>
    <n v="30531"/>
    <n v="3.8"/>
    <n v="89.8"/>
    <n v="12"/>
    <n v="58"/>
    <n v="13390"/>
    <s v="Ramesh"/>
    <x v="0"/>
    <x v="0"/>
    <x v="1"/>
    <x v="2"/>
  </r>
  <r>
    <n v="1939"/>
    <s v="Kiran"/>
    <x v="0"/>
    <n v="40"/>
    <x v="0"/>
    <s v="Sales Executive"/>
    <x v="2"/>
    <s v="2022-07-12"/>
    <n v="7"/>
    <n v="60087"/>
    <n v="3.1"/>
    <n v="97.5"/>
    <n v="17"/>
    <n v="49"/>
    <n v="11884"/>
    <s v="Kavya"/>
    <x v="0"/>
    <x v="0"/>
    <x v="2"/>
    <x v="2"/>
  </r>
  <r>
    <n v="1940"/>
    <s v="Meena"/>
    <x v="0"/>
    <n v="35"/>
    <x v="2"/>
    <s v="Senior Developer"/>
    <x v="4"/>
    <s v="2018-10-17"/>
    <n v="1"/>
    <n v="51061"/>
    <n v="4.5"/>
    <n v="87.5"/>
    <n v="23"/>
    <n v="21"/>
    <n v="8684"/>
    <s v="Anitha"/>
    <x v="0"/>
    <x v="3"/>
    <x v="2"/>
    <x v="0"/>
  </r>
  <r>
    <n v="1941"/>
    <s v="Nikhil"/>
    <x v="1"/>
    <n v="24"/>
    <x v="1"/>
    <s v="Financial Analyst"/>
    <x v="4"/>
    <s v="2022-03-10"/>
    <n v="10"/>
    <n v="76990"/>
    <n v="2.8"/>
    <n v="92"/>
    <n v="23"/>
    <n v="5"/>
    <n v="7373"/>
    <s v="Kavya"/>
    <x v="1"/>
    <x v="1"/>
    <x v="0"/>
    <x v="2"/>
  </r>
  <r>
    <n v="1942"/>
    <s v="Arjun"/>
    <x v="1"/>
    <n v="27"/>
    <x v="3"/>
    <s v="HR Executive"/>
    <x v="3"/>
    <s v="2021-07-31"/>
    <n v="2"/>
    <n v="61249"/>
    <n v="4.0999999999999996"/>
    <n v="93.3"/>
    <n v="9"/>
    <n v="27"/>
    <n v="1457"/>
    <s v="Anitha"/>
    <x v="0"/>
    <x v="2"/>
    <x v="2"/>
    <x v="0"/>
  </r>
  <r>
    <n v="1943"/>
    <s v="Ravi"/>
    <x v="0"/>
    <n v="41"/>
    <x v="1"/>
    <s v="Financial Analyst"/>
    <x v="3"/>
    <s v="2019-06-09"/>
    <n v="9"/>
    <n v="84048"/>
    <n v="3"/>
    <n v="88.6"/>
    <n v="6"/>
    <n v="26"/>
    <n v="5066"/>
    <s v="Ramesh"/>
    <x v="0"/>
    <x v="0"/>
    <x v="0"/>
    <x v="2"/>
  </r>
  <r>
    <n v="1944"/>
    <s v="Manoj"/>
    <x v="0"/>
    <n v="33"/>
    <x v="0"/>
    <s v="Sales Manager"/>
    <x v="4"/>
    <s v="2021-05-15"/>
    <n v="1"/>
    <n v="93144"/>
    <n v="2.5"/>
    <n v="90.3"/>
    <n v="4"/>
    <n v="37"/>
    <n v="8247"/>
    <s v="Anitha"/>
    <x v="1"/>
    <x v="1"/>
    <x v="0"/>
    <x v="0"/>
  </r>
  <r>
    <n v="1945"/>
    <s v="Divya"/>
    <x v="0"/>
    <n v="29"/>
    <x v="0"/>
    <s v="Sales Manager"/>
    <x v="0"/>
    <s v="2021-09-20"/>
    <n v="2"/>
    <n v="40643"/>
    <n v="2.8"/>
    <n v="89"/>
    <n v="11"/>
    <n v="10"/>
    <n v="1146"/>
    <s v="Kavya"/>
    <x v="1"/>
    <x v="1"/>
    <x v="1"/>
    <x v="0"/>
  </r>
  <r>
    <n v="1946"/>
    <s v="Anu"/>
    <x v="1"/>
    <n v="29"/>
    <x v="3"/>
    <s v="HR Executive"/>
    <x v="4"/>
    <s v="2021-03-07"/>
    <n v="2"/>
    <n v="53500"/>
    <n v="4.9000000000000004"/>
    <n v="90.5"/>
    <n v="18"/>
    <n v="9"/>
    <n v="4063"/>
    <s v="Ramesh"/>
    <x v="0"/>
    <x v="3"/>
    <x v="2"/>
    <x v="0"/>
  </r>
  <r>
    <n v="1947"/>
    <s v="Deepa"/>
    <x v="0"/>
    <n v="34"/>
    <x v="2"/>
    <s v="Software Engineer"/>
    <x v="1"/>
    <s v="2019-12-13"/>
    <n v="1"/>
    <n v="55662"/>
    <n v="2.8"/>
    <n v="92.7"/>
    <n v="3"/>
    <n v="47"/>
    <n v="9846"/>
    <s v="Ramesh"/>
    <x v="1"/>
    <x v="1"/>
    <x v="2"/>
    <x v="0"/>
  </r>
  <r>
    <n v="1948"/>
    <s v="Meena"/>
    <x v="1"/>
    <n v="36"/>
    <x v="1"/>
    <s v="Financial Analyst"/>
    <x v="0"/>
    <s v="2022-07-22"/>
    <n v="10"/>
    <n v="36733"/>
    <n v="3.4"/>
    <n v="90.9"/>
    <n v="20"/>
    <n v="31"/>
    <n v="3948"/>
    <s v="Kavya"/>
    <x v="1"/>
    <x v="0"/>
    <x v="1"/>
    <x v="2"/>
  </r>
  <r>
    <n v="1949"/>
    <s v="Kiran"/>
    <x v="0"/>
    <n v="45"/>
    <x v="4"/>
    <s v="Marketing Executive"/>
    <x v="2"/>
    <s v="2019-09-30"/>
    <n v="5"/>
    <n v="41446"/>
    <n v="3.1"/>
    <n v="95.4"/>
    <n v="21"/>
    <n v="52"/>
    <n v="10216"/>
    <s v="Anitha"/>
    <x v="0"/>
    <x v="0"/>
    <x v="1"/>
    <x v="1"/>
  </r>
  <r>
    <n v="1950"/>
    <s v="Divya"/>
    <x v="1"/>
    <n v="26"/>
    <x v="2"/>
    <s v="Data Analyst"/>
    <x v="3"/>
    <s v="2019-08-30"/>
    <n v="2"/>
    <n v="42737"/>
    <n v="3.9"/>
    <n v="99.1"/>
    <n v="24"/>
    <n v="21"/>
    <n v="3664"/>
    <s v="Ramesh"/>
    <x v="0"/>
    <x v="0"/>
    <x v="1"/>
    <x v="0"/>
  </r>
  <r>
    <n v="1951"/>
    <s v="Varun"/>
    <x v="1"/>
    <n v="22"/>
    <x v="1"/>
    <s v="Accountant"/>
    <x v="3"/>
    <s v="2025-03-30"/>
    <n v="1"/>
    <n v="25511"/>
    <n v="2.6"/>
    <n v="96.4"/>
    <n v="0"/>
    <n v="38"/>
    <n v="10264"/>
    <s v="Kavya"/>
    <x v="1"/>
    <x v="1"/>
    <x v="1"/>
    <x v="0"/>
  </r>
  <r>
    <n v="1952"/>
    <s v="Deepa"/>
    <x v="1"/>
    <n v="43"/>
    <x v="2"/>
    <s v="Senior Developer"/>
    <x v="3"/>
    <s v="2024-10-13"/>
    <n v="0"/>
    <n v="53955"/>
    <n v="2.8"/>
    <n v="92.9"/>
    <n v="21"/>
    <n v="27"/>
    <n v="10284"/>
    <s v="Ramesh"/>
    <x v="1"/>
    <x v="1"/>
    <x v="2"/>
    <x v="0"/>
  </r>
  <r>
    <n v="1953"/>
    <s v="Sonia"/>
    <x v="1"/>
    <n v="28"/>
    <x v="2"/>
    <s v="Data Analyst"/>
    <x v="0"/>
    <s v="2018-06-12"/>
    <n v="5"/>
    <n v="46607"/>
    <n v="3"/>
    <n v="95.8"/>
    <n v="3"/>
    <n v="41"/>
    <n v="3976"/>
    <s v="Ramesh"/>
    <x v="1"/>
    <x v="0"/>
    <x v="1"/>
    <x v="1"/>
  </r>
  <r>
    <n v="1954"/>
    <s v="Sneha"/>
    <x v="1"/>
    <n v="25"/>
    <x v="4"/>
    <s v="Marketing Executive"/>
    <x v="0"/>
    <s v="2024-09-16"/>
    <n v="2"/>
    <n v="42198"/>
    <n v="4.5"/>
    <n v="94.2"/>
    <n v="14"/>
    <n v="19"/>
    <n v="10316"/>
    <s v="Suresh"/>
    <x v="1"/>
    <x v="3"/>
    <x v="1"/>
    <x v="0"/>
  </r>
  <r>
    <n v="1955"/>
    <s v="Rahul"/>
    <x v="0"/>
    <n v="34"/>
    <x v="4"/>
    <s v="SEO Analyst"/>
    <x v="2"/>
    <s v="2019-06-27"/>
    <n v="5"/>
    <n v="52286"/>
    <n v="3"/>
    <n v="95.6"/>
    <n v="15"/>
    <n v="24"/>
    <n v="6895"/>
    <s v="Ramesh"/>
    <x v="0"/>
    <x v="0"/>
    <x v="2"/>
    <x v="1"/>
  </r>
  <r>
    <n v="1956"/>
    <s v="Rahul"/>
    <x v="1"/>
    <n v="42"/>
    <x v="1"/>
    <s v="Financial Analyst"/>
    <x v="2"/>
    <s v="2023-09-28"/>
    <n v="8"/>
    <n v="37444"/>
    <n v="4.0999999999999996"/>
    <n v="90.9"/>
    <n v="14"/>
    <n v="53"/>
    <n v="4682"/>
    <s v="Suresh"/>
    <x v="0"/>
    <x v="2"/>
    <x v="1"/>
    <x v="2"/>
  </r>
  <r>
    <n v="1957"/>
    <s v="Ravi"/>
    <x v="1"/>
    <n v="22"/>
    <x v="3"/>
    <s v="HR Manager"/>
    <x v="2"/>
    <s v="2021-02-05"/>
    <n v="9"/>
    <n v="78981"/>
    <n v="4.9000000000000004"/>
    <n v="85.3"/>
    <n v="22"/>
    <n v="11"/>
    <n v="4020"/>
    <s v="Kavya"/>
    <x v="1"/>
    <x v="3"/>
    <x v="0"/>
    <x v="2"/>
  </r>
  <r>
    <n v="1958"/>
    <s v="Rahul"/>
    <x v="0"/>
    <n v="33"/>
    <x v="2"/>
    <s v="Software Engineer"/>
    <x v="0"/>
    <s v="2022-12-17"/>
    <n v="7"/>
    <n v="74813"/>
    <n v="4"/>
    <n v="89.3"/>
    <n v="11"/>
    <n v="58"/>
    <n v="8124"/>
    <s v="Anitha"/>
    <x v="1"/>
    <x v="2"/>
    <x v="0"/>
    <x v="2"/>
  </r>
  <r>
    <n v="1959"/>
    <s v="Sai"/>
    <x v="1"/>
    <n v="33"/>
    <x v="0"/>
    <s v="Sales Executive"/>
    <x v="2"/>
    <s v="2020-11-25"/>
    <n v="9"/>
    <n v="53661"/>
    <n v="4.0999999999999996"/>
    <n v="99.4"/>
    <n v="25"/>
    <n v="28"/>
    <n v="5622"/>
    <s v="Suresh"/>
    <x v="1"/>
    <x v="2"/>
    <x v="2"/>
    <x v="2"/>
  </r>
  <r>
    <n v="1960"/>
    <s v="Varun"/>
    <x v="1"/>
    <n v="42"/>
    <x v="4"/>
    <s v="Marketing Executive"/>
    <x v="2"/>
    <s v="2022-01-04"/>
    <n v="0"/>
    <n v="42515"/>
    <n v="3.1"/>
    <n v="97.1"/>
    <n v="23"/>
    <n v="8"/>
    <n v="6843"/>
    <s v="Anitha"/>
    <x v="0"/>
    <x v="0"/>
    <x v="1"/>
    <x v="0"/>
  </r>
  <r>
    <n v="1961"/>
    <s v="Meena"/>
    <x v="0"/>
    <n v="29"/>
    <x v="4"/>
    <s v="SEO Analyst"/>
    <x v="1"/>
    <s v="2019-03-29"/>
    <n v="6"/>
    <n v="56313"/>
    <n v="2.5"/>
    <n v="90.8"/>
    <n v="4"/>
    <n v="56"/>
    <n v="11785"/>
    <s v="Ramesh"/>
    <x v="0"/>
    <x v="1"/>
    <x v="2"/>
    <x v="2"/>
  </r>
  <r>
    <n v="1962"/>
    <s v="Varun"/>
    <x v="1"/>
    <n v="33"/>
    <x v="1"/>
    <s v="Financial Analyst"/>
    <x v="0"/>
    <s v="2021-05-05"/>
    <n v="4"/>
    <n v="61615"/>
    <n v="3"/>
    <n v="87.5"/>
    <n v="20"/>
    <n v="43"/>
    <n v="13774"/>
    <s v="Suresh"/>
    <x v="0"/>
    <x v="0"/>
    <x v="2"/>
    <x v="1"/>
  </r>
  <r>
    <n v="1963"/>
    <s v="Sonia"/>
    <x v="0"/>
    <n v="45"/>
    <x v="2"/>
    <s v="Data Analyst"/>
    <x v="2"/>
    <s v="2021-09-23"/>
    <n v="9"/>
    <n v="61385"/>
    <n v="2.7"/>
    <n v="95.5"/>
    <n v="3"/>
    <n v="35"/>
    <n v="10734"/>
    <s v="Ramesh"/>
    <x v="0"/>
    <x v="1"/>
    <x v="2"/>
    <x v="2"/>
  </r>
  <r>
    <n v="1964"/>
    <s v="Rahul"/>
    <x v="1"/>
    <n v="25"/>
    <x v="2"/>
    <s v="Senior Developer"/>
    <x v="4"/>
    <s v="2024-02-20"/>
    <n v="8"/>
    <n v="48470"/>
    <n v="3.5"/>
    <n v="85"/>
    <n v="3"/>
    <n v="46"/>
    <n v="2844"/>
    <s v="Amit"/>
    <x v="1"/>
    <x v="0"/>
    <x v="1"/>
    <x v="2"/>
  </r>
  <r>
    <n v="1965"/>
    <s v="Manoj"/>
    <x v="1"/>
    <n v="43"/>
    <x v="3"/>
    <s v="HR Manager"/>
    <x v="3"/>
    <s v="2024-10-15"/>
    <n v="6"/>
    <n v="34616"/>
    <n v="3.5"/>
    <n v="91.2"/>
    <n v="21"/>
    <n v="47"/>
    <n v="10281"/>
    <s v="Kavya"/>
    <x v="1"/>
    <x v="0"/>
    <x v="1"/>
    <x v="2"/>
  </r>
  <r>
    <n v="1966"/>
    <s v="Pooja"/>
    <x v="1"/>
    <n v="22"/>
    <x v="3"/>
    <s v="HR Executive"/>
    <x v="3"/>
    <s v="2025-03-20"/>
    <n v="10"/>
    <n v="67353"/>
    <n v="3.2"/>
    <n v="98.6"/>
    <n v="18"/>
    <n v="48"/>
    <n v="14607"/>
    <s v="Amit"/>
    <x v="1"/>
    <x v="0"/>
    <x v="2"/>
    <x v="2"/>
  </r>
  <r>
    <n v="1967"/>
    <s v="Deepa"/>
    <x v="1"/>
    <n v="35"/>
    <x v="3"/>
    <s v="HR Executive"/>
    <x v="4"/>
    <s v="2022-10-20"/>
    <n v="0"/>
    <n v="94324"/>
    <n v="4.0999999999999996"/>
    <n v="99.5"/>
    <n v="22"/>
    <n v="52"/>
    <n v="6598"/>
    <s v="Amit"/>
    <x v="1"/>
    <x v="2"/>
    <x v="0"/>
    <x v="0"/>
  </r>
  <r>
    <n v="1968"/>
    <s v="Kiran"/>
    <x v="1"/>
    <n v="41"/>
    <x v="1"/>
    <s v="Accountant"/>
    <x v="4"/>
    <s v="2023-07-23"/>
    <n v="6"/>
    <n v="56303"/>
    <n v="3"/>
    <n v="96.7"/>
    <n v="15"/>
    <n v="25"/>
    <n v="13542"/>
    <s v="Suresh"/>
    <x v="1"/>
    <x v="0"/>
    <x v="2"/>
    <x v="2"/>
  </r>
  <r>
    <n v="1969"/>
    <s v="Rahul"/>
    <x v="0"/>
    <n v="28"/>
    <x v="3"/>
    <s v="HR Executive"/>
    <x v="1"/>
    <s v="2019-05-31"/>
    <n v="10"/>
    <n v="74746"/>
    <n v="2.9"/>
    <n v="97.2"/>
    <n v="24"/>
    <n v="10"/>
    <n v="7112"/>
    <s v="Suresh"/>
    <x v="0"/>
    <x v="1"/>
    <x v="0"/>
    <x v="2"/>
  </r>
  <r>
    <n v="1970"/>
    <s v="Deepa"/>
    <x v="0"/>
    <n v="36"/>
    <x v="3"/>
    <s v="HR Manager"/>
    <x v="1"/>
    <s v="2018-03-30"/>
    <n v="0"/>
    <n v="51006"/>
    <n v="2.6"/>
    <n v="83.8"/>
    <n v="5"/>
    <n v="37"/>
    <n v="4446"/>
    <s v="Kavya"/>
    <x v="1"/>
    <x v="1"/>
    <x v="2"/>
    <x v="0"/>
  </r>
  <r>
    <n v="1971"/>
    <s v="Nikhil"/>
    <x v="1"/>
    <n v="43"/>
    <x v="3"/>
    <s v="HR Executive"/>
    <x v="2"/>
    <s v="2018-12-07"/>
    <n v="8"/>
    <n v="82112"/>
    <n v="3.5"/>
    <n v="97.6"/>
    <n v="22"/>
    <n v="58"/>
    <n v="9600"/>
    <s v="Kavya"/>
    <x v="0"/>
    <x v="0"/>
    <x v="0"/>
    <x v="2"/>
  </r>
  <r>
    <n v="1972"/>
    <s v="Deepa"/>
    <x v="1"/>
    <n v="45"/>
    <x v="3"/>
    <s v="HR Executive"/>
    <x v="4"/>
    <s v="2021-11-29"/>
    <n v="1"/>
    <n v="66743"/>
    <n v="2.8"/>
    <n v="99"/>
    <n v="19"/>
    <n v="58"/>
    <n v="1411"/>
    <s v="Amit"/>
    <x v="1"/>
    <x v="1"/>
    <x v="2"/>
    <x v="0"/>
  </r>
  <r>
    <n v="1973"/>
    <s v="Sai"/>
    <x v="1"/>
    <n v="32"/>
    <x v="1"/>
    <s v="Accountant"/>
    <x v="4"/>
    <s v="2022-11-17"/>
    <n v="0"/>
    <n v="52303"/>
    <n v="3.4"/>
    <n v="99.6"/>
    <n v="20"/>
    <n v="51"/>
    <n v="13260"/>
    <s v="Amit"/>
    <x v="0"/>
    <x v="0"/>
    <x v="2"/>
    <x v="0"/>
  </r>
  <r>
    <n v="1974"/>
    <s v="Divya"/>
    <x v="0"/>
    <n v="42"/>
    <x v="3"/>
    <s v="HR Manager"/>
    <x v="2"/>
    <s v="2023-08-31"/>
    <n v="5"/>
    <n v="88240"/>
    <n v="2.7"/>
    <n v="83"/>
    <n v="3"/>
    <n v="49"/>
    <n v="13340"/>
    <s v="Amit"/>
    <x v="0"/>
    <x v="1"/>
    <x v="0"/>
    <x v="1"/>
  </r>
  <r>
    <n v="1975"/>
    <s v="Meena"/>
    <x v="1"/>
    <n v="31"/>
    <x v="2"/>
    <s v="Senior Developer"/>
    <x v="3"/>
    <s v="2019-09-14"/>
    <n v="5"/>
    <n v="37540"/>
    <n v="5"/>
    <n v="99.3"/>
    <n v="14"/>
    <n v="38"/>
    <n v="12648"/>
    <s v="Kavya"/>
    <x v="1"/>
    <x v="3"/>
    <x v="1"/>
    <x v="1"/>
  </r>
  <r>
    <n v="1976"/>
    <s v="Sai"/>
    <x v="0"/>
    <n v="29"/>
    <x v="3"/>
    <s v="HR Executive"/>
    <x v="1"/>
    <s v="2023-04-07"/>
    <n v="8"/>
    <n v="33061"/>
    <n v="4.5999999999999996"/>
    <n v="86.6"/>
    <n v="8"/>
    <n v="48"/>
    <n v="2682"/>
    <s v="Anitha"/>
    <x v="0"/>
    <x v="3"/>
    <x v="1"/>
    <x v="2"/>
  </r>
  <r>
    <n v="1977"/>
    <s v="Vijay"/>
    <x v="1"/>
    <n v="35"/>
    <x v="1"/>
    <s v="Accountant"/>
    <x v="3"/>
    <s v="2021-08-21"/>
    <n v="2"/>
    <n v="34565"/>
    <n v="4.0999999999999996"/>
    <n v="89.2"/>
    <n v="24"/>
    <n v="42"/>
    <n v="5111"/>
    <s v="Amit"/>
    <x v="0"/>
    <x v="2"/>
    <x v="1"/>
    <x v="0"/>
  </r>
  <r>
    <n v="1978"/>
    <s v="Pooja"/>
    <x v="1"/>
    <n v="38"/>
    <x v="0"/>
    <s v="Sales Manager"/>
    <x v="0"/>
    <s v="2024-05-28"/>
    <n v="10"/>
    <n v="91191"/>
    <n v="4"/>
    <n v="93.3"/>
    <n v="24"/>
    <n v="50"/>
    <n v="8080"/>
    <s v="Kavya"/>
    <x v="1"/>
    <x v="2"/>
    <x v="0"/>
    <x v="2"/>
  </r>
  <r>
    <n v="1979"/>
    <s v="Harsha"/>
    <x v="1"/>
    <n v="44"/>
    <x v="3"/>
    <s v="HR Manager"/>
    <x v="0"/>
    <s v="2023-11-08"/>
    <n v="6"/>
    <n v="51048"/>
    <n v="4.4000000000000004"/>
    <n v="96"/>
    <n v="20"/>
    <n v="14"/>
    <n v="1275"/>
    <s v="Kavya"/>
    <x v="0"/>
    <x v="2"/>
    <x v="2"/>
    <x v="2"/>
  </r>
  <r>
    <n v="1980"/>
    <s v="Keerthi"/>
    <x v="1"/>
    <n v="34"/>
    <x v="2"/>
    <s v="Data Analyst"/>
    <x v="0"/>
    <s v="2020-02-09"/>
    <n v="10"/>
    <n v="83653"/>
    <n v="2.7"/>
    <n v="91.8"/>
    <n v="0"/>
    <n v="35"/>
    <n v="10325"/>
    <s v="Amit"/>
    <x v="1"/>
    <x v="1"/>
    <x v="0"/>
    <x v="2"/>
  </r>
  <r>
    <n v="1981"/>
    <s v="Ajay"/>
    <x v="0"/>
    <n v="43"/>
    <x v="1"/>
    <s v="Financial Analyst"/>
    <x v="4"/>
    <s v="2022-10-24"/>
    <n v="1"/>
    <n v="70508"/>
    <n v="3.7"/>
    <n v="92.9"/>
    <n v="6"/>
    <n v="47"/>
    <n v="12394"/>
    <s v="Anitha"/>
    <x v="0"/>
    <x v="0"/>
    <x v="0"/>
    <x v="0"/>
  </r>
  <r>
    <n v="1982"/>
    <s v="Kiran"/>
    <x v="0"/>
    <n v="23"/>
    <x v="0"/>
    <s v="Sales Executive"/>
    <x v="3"/>
    <s v="2018-12-02"/>
    <n v="2"/>
    <n v="54393"/>
    <n v="4.4000000000000004"/>
    <n v="88.4"/>
    <n v="20"/>
    <n v="47"/>
    <n v="11914"/>
    <s v="Ramesh"/>
    <x v="0"/>
    <x v="2"/>
    <x v="2"/>
    <x v="0"/>
  </r>
  <r>
    <n v="1983"/>
    <s v="Ajay"/>
    <x v="1"/>
    <n v="29"/>
    <x v="3"/>
    <s v="HR Executive"/>
    <x v="1"/>
    <s v="2020-07-08"/>
    <n v="3"/>
    <n v="90723"/>
    <n v="3.3"/>
    <n v="97.4"/>
    <n v="3"/>
    <n v="29"/>
    <n v="6747"/>
    <s v="Kavya"/>
    <x v="0"/>
    <x v="0"/>
    <x v="0"/>
    <x v="1"/>
  </r>
  <r>
    <n v="1984"/>
    <s v="Harsha"/>
    <x v="1"/>
    <n v="36"/>
    <x v="0"/>
    <s v="Sales Manager"/>
    <x v="4"/>
    <s v="2021-09-30"/>
    <n v="0"/>
    <n v="61918"/>
    <n v="3.8"/>
    <n v="89.3"/>
    <n v="2"/>
    <n v="42"/>
    <n v="10222"/>
    <s v="Anitha"/>
    <x v="1"/>
    <x v="0"/>
    <x v="2"/>
    <x v="0"/>
  </r>
  <r>
    <n v="1985"/>
    <s v="Arjun"/>
    <x v="0"/>
    <n v="39"/>
    <x v="0"/>
    <s v="Sales Manager"/>
    <x v="0"/>
    <s v="2022-08-09"/>
    <n v="8"/>
    <n v="25641"/>
    <n v="3.4"/>
    <n v="89.4"/>
    <n v="0"/>
    <n v="17"/>
    <n v="9393"/>
    <s v="Kavya"/>
    <x v="1"/>
    <x v="0"/>
    <x v="1"/>
    <x v="2"/>
  </r>
  <r>
    <n v="1986"/>
    <s v="Sonia"/>
    <x v="1"/>
    <n v="24"/>
    <x v="3"/>
    <s v="HR Manager"/>
    <x v="3"/>
    <s v="2023-11-25"/>
    <n v="0"/>
    <n v="80640"/>
    <n v="2.8"/>
    <n v="94.9"/>
    <n v="6"/>
    <n v="43"/>
    <n v="7765"/>
    <s v="Amit"/>
    <x v="1"/>
    <x v="1"/>
    <x v="0"/>
    <x v="0"/>
  </r>
  <r>
    <n v="1987"/>
    <s v="Anu"/>
    <x v="0"/>
    <n v="39"/>
    <x v="0"/>
    <s v="Sales Manager"/>
    <x v="3"/>
    <s v="2022-12-27"/>
    <n v="7"/>
    <n v="46873"/>
    <n v="4.4000000000000004"/>
    <n v="85.5"/>
    <n v="7"/>
    <n v="25"/>
    <n v="4683"/>
    <s v="Ramesh"/>
    <x v="0"/>
    <x v="2"/>
    <x v="1"/>
    <x v="2"/>
  </r>
  <r>
    <n v="1988"/>
    <s v="Ajay"/>
    <x v="0"/>
    <n v="38"/>
    <x v="1"/>
    <s v="Financial Analyst"/>
    <x v="3"/>
    <s v="2023-07-19"/>
    <n v="1"/>
    <n v="33778"/>
    <n v="3.1"/>
    <n v="84.6"/>
    <n v="8"/>
    <n v="23"/>
    <n v="10531"/>
    <s v="Anitha"/>
    <x v="1"/>
    <x v="0"/>
    <x v="1"/>
    <x v="0"/>
  </r>
  <r>
    <n v="1989"/>
    <s v="Sonia"/>
    <x v="0"/>
    <n v="29"/>
    <x v="3"/>
    <s v="HR Executive"/>
    <x v="2"/>
    <s v="2023-12-15"/>
    <n v="4"/>
    <n v="52235"/>
    <n v="2.6"/>
    <n v="92.4"/>
    <n v="15"/>
    <n v="23"/>
    <n v="3361"/>
    <s v="Anitha"/>
    <x v="1"/>
    <x v="1"/>
    <x v="2"/>
    <x v="1"/>
  </r>
  <r>
    <n v="1990"/>
    <s v="Ajay"/>
    <x v="0"/>
    <n v="32"/>
    <x v="4"/>
    <s v="SEO Analyst"/>
    <x v="1"/>
    <s v="2019-12-18"/>
    <n v="2"/>
    <n v="87051"/>
    <n v="2.6"/>
    <n v="91.2"/>
    <n v="15"/>
    <n v="48"/>
    <n v="14838"/>
    <s v="Amit"/>
    <x v="0"/>
    <x v="1"/>
    <x v="0"/>
    <x v="0"/>
  </r>
  <r>
    <n v="1991"/>
    <s v="Keerthi"/>
    <x v="1"/>
    <n v="36"/>
    <x v="3"/>
    <s v="HR Executive"/>
    <x v="4"/>
    <s v="2018-07-09"/>
    <n v="9"/>
    <n v="47894"/>
    <n v="3.2"/>
    <n v="84.8"/>
    <n v="5"/>
    <n v="16"/>
    <n v="1958"/>
    <s v="Anitha"/>
    <x v="1"/>
    <x v="0"/>
    <x v="1"/>
    <x v="2"/>
  </r>
  <r>
    <n v="1992"/>
    <s v="Sai"/>
    <x v="0"/>
    <n v="43"/>
    <x v="1"/>
    <s v="Financial Analyst"/>
    <x v="4"/>
    <s v="2024-04-05"/>
    <n v="4"/>
    <n v="42665"/>
    <n v="3.3"/>
    <n v="92.3"/>
    <n v="0"/>
    <n v="13"/>
    <n v="4629"/>
    <s v="Amit"/>
    <x v="0"/>
    <x v="0"/>
    <x v="1"/>
    <x v="1"/>
  </r>
  <r>
    <n v="1993"/>
    <s v="Sai"/>
    <x v="0"/>
    <n v="24"/>
    <x v="0"/>
    <s v="Sales Manager"/>
    <x v="3"/>
    <s v="2022-07-30"/>
    <n v="4"/>
    <n v="36419"/>
    <n v="3.3"/>
    <n v="97.8"/>
    <n v="14"/>
    <n v="46"/>
    <n v="11331"/>
    <s v="Suresh"/>
    <x v="0"/>
    <x v="0"/>
    <x v="1"/>
    <x v="1"/>
  </r>
  <r>
    <n v="1994"/>
    <s v="Sai"/>
    <x v="1"/>
    <n v="28"/>
    <x v="1"/>
    <s v="Financial Analyst"/>
    <x v="2"/>
    <s v="2018-05-27"/>
    <n v="9"/>
    <n v="31929"/>
    <n v="3.8"/>
    <n v="93.6"/>
    <n v="24"/>
    <n v="39"/>
    <n v="7310"/>
    <s v="Amit"/>
    <x v="1"/>
    <x v="0"/>
    <x v="1"/>
    <x v="2"/>
  </r>
  <r>
    <n v="1995"/>
    <s v="Divya"/>
    <x v="1"/>
    <n v="40"/>
    <x v="2"/>
    <s v="Senior Developer"/>
    <x v="3"/>
    <s v="2023-07-08"/>
    <n v="5"/>
    <n v="46136"/>
    <n v="2.8"/>
    <n v="93.5"/>
    <n v="4"/>
    <n v="19"/>
    <n v="1996"/>
    <s v="Amit"/>
    <x v="1"/>
    <x v="1"/>
    <x v="1"/>
    <x v="1"/>
  </r>
  <r>
    <n v="1996"/>
    <s v="Pooja"/>
    <x v="0"/>
    <n v="31"/>
    <x v="2"/>
    <s v="Senior Developer"/>
    <x v="2"/>
    <s v="2020-07-18"/>
    <n v="7"/>
    <n v="62459"/>
    <n v="3.5"/>
    <n v="83.7"/>
    <n v="1"/>
    <n v="28"/>
    <n v="13496"/>
    <s v="Ramesh"/>
    <x v="1"/>
    <x v="0"/>
    <x v="2"/>
    <x v="2"/>
  </r>
  <r>
    <n v="1997"/>
    <s v="Arjun"/>
    <x v="1"/>
    <n v="33"/>
    <x v="0"/>
    <s v="Sales Manager"/>
    <x v="1"/>
    <s v="2019-09-23"/>
    <n v="6"/>
    <n v="53773"/>
    <n v="3.7"/>
    <n v="98.1"/>
    <n v="13"/>
    <n v="27"/>
    <n v="4653"/>
    <s v="Kavya"/>
    <x v="0"/>
    <x v="0"/>
    <x v="2"/>
    <x v="2"/>
  </r>
  <r>
    <n v="1998"/>
    <s v="Manoj"/>
    <x v="0"/>
    <n v="23"/>
    <x v="4"/>
    <s v="Marketing Executive"/>
    <x v="2"/>
    <s v="2022-03-11"/>
    <n v="8"/>
    <n v="76041"/>
    <n v="3.8"/>
    <n v="89.3"/>
    <n v="20"/>
    <n v="54"/>
    <n v="7317"/>
    <s v="Kavya"/>
    <x v="0"/>
    <x v="0"/>
    <x v="0"/>
    <x v="2"/>
  </r>
  <r>
    <n v="1999"/>
    <s v="Sneha"/>
    <x v="1"/>
    <n v="30"/>
    <x v="3"/>
    <s v="HR Executive"/>
    <x v="5"/>
    <s v="2022-12-15"/>
    <n v="3"/>
    <n v="57025"/>
    <n v="4"/>
    <n v="82.7"/>
    <n v="19"/>
    <n v="36"/>
    <n v="5814"/>
    <s v="Anitha"/>
    <x v="1"/>
    <x v="2"/>
    <x v="2"/>
    <x v="1"/>
  </r>
  <r>
    <n v="2000"/>
    <s v="Varun"/>
    <x v="0"/>
    <n v="43"/>
    <x v="1"/>
    <s v="Financial Analyst"/>
    <x v="0"/>
    <s v="2020-02-27"/>
    <n v="2"/>
    <n v="84959"/>
    <n v="4.5"/>
    <n v="85.1"/>
    <n v="22"/>
    <n v="43"/>
    <n v="3413"/>
    <s v="Amit"/>
    <x v="1"/>
    <x v="3"/>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s v="Varun"/>
    <s v="Male"/>
    <n v="45"/>
    <s v="Sales"/>
    <s v="Sales Executive"/>
    <x v="0"/>
    <s v="2018-06-22"/>
    <n v="2"/>
    <n v="84236"/>
    <n v="3.4"/>
    <n v="97.5"/>
    <n v="4"/>
    <n v="25"/>
    <n v="9454"/>
    <s v="Ramesh"/>
    <s v="Contract"/>
    <s v="Average"/>
    <s v="High"/>
    <s v="Junior"/>
    <n v="93690"/>
    <s v="Excellent"/>
    <s v="Normal"/>
    <s v="Junior"/>
    <s v="45+"/>
  </r>
  <r>
    <n v="1002"/>
    <s v="Priya"/>
    <s v="Male"/>
    <n v="28"/>
    <s v="Sales"/>
    <s v="Sales Executive"/>
    <x v="0"/>
    <s v="2024-01-15"/>
    <n v="3"/>
    <n v="28435"/>
    <n v="3.8"/>
    <n v="99.2"/>
    <n v="6"/>
    <n v="27"/>
    <n v="9598"/>
    <s v="Suresh"/>
    <s v="Contract"/>
    <s v="Average"/>
    <s v="Low"/>
    <s v="Mid Level"/>
    <n v="38033"/>
    <s v="Excellent"/>
    <s v="Normal"/>
    <s v="Mid"/>
    <s v="25-34"/>
  </r>
  <r>
    <n v="1003"/>
    <s v="Anu"/>
    <s v="Female"/>
    <n v="25"/>
    <s v="Finance"/>
    <s v="Accountant"/>
    <x v="0"/>
    <s v="2019-10-04"/>
    <n v="4"/>
    <n v="84571"/>
    <n v="2.6"/>
    <n v="96"/>
    <n v="22"/>
    <n v="23"/>
    <n v="12286"/>
    <s v="Anitha"/>
    <s v="Contract"/>
    <s v="Needs Improvement"/>
    <s v="High"/>
    <s v="Mid Level"/>
    <n v="96857"/>
    <s v="Excellent"/>
    <s v="High"/>
    <s v="Mid"/>
    <s v="25-34"/>
  </r>
  <r>
    <n v="1004"/>
    <s v="Rahul"/>
    <s v="Female"/>
    <n v="39"/>
    <s v="Finance"/>
    <s v="Financial Analyst"/>
    <x v="1"/>
    <s v="2022-02-25"/>
    <n v="10"/>
    <n v="60489"/>
    <n v="3.9"/>
    <n v="99.1"/>
    <n v="1"/>
    <n v="14"/>
    <n v="3379"/>
    <s v="Amit"/>
    <s v="Full-Time"/>
    <s v="Average"/>
    <s v="Medium"/>
    <s v="Senior"/>
    <n v="63868"/>
    <s v="Excellent"/>
    <s v="Normal"/>
    <s v="Senior"/>
    <s v="35-44"/>
  </r>
  <r>
    <n v="1005"/>
    <s v="Varun"/>
    <s v="Female"/>
    <n v="24"/>
    <s v="Sales"/>
    <s v="Sales Executive"/>
    <x v="2"/>
    <s v="2023-08-25"/>
    <n v="8"/>
    <n v="76776"/>
    <n v="2.6"/>
    <n v="86"/>
    <n v="21"/>
    <n v="40"/>
    <n v="12654"/>
    <s v="Kavya"/>
    <s v="Contract"/>
    <s v="Needs Improvement"/>
    <s v="High"/>
    <s v="Senior"/>
    <n v="89430"/>
    <s v="Needs Improvement"/>
    <s v="High"/>
    <s v="Senior"/>
    <s v="20-24"/>
  </r>
  <r>
    <n v="1006"/>
    <s v="Nikhil"/>
    <s v="Male"/>
    <n v="22"/>
    <s v="IT"/>
    <s v="Data Analyst"/>
    <x v="1"/>
    <s v="2019-02-01"/>
    <n v="8"/>
    <n v="50581"/>
    <n v="4.2"/>
    <n v="96.8"/>
    <n v="15"/>
    <n v="53"/>
    <n v="3349"/>
    <s v="Kavya"/>
    <s v="Full-Time"/>
    <s v="Good"/>
    <s v="Medium"/>
    <s v="Senior"/>
    <n v="53930"/>
    <s v="Excellent"/>
    <s v="Normal"/>
    <s v="Senior"/>
    <s v="20-24"/>
  </r>
  <r>
    <n v="1007"/>
    <s v="Rahul"/>
    <s v="Female"/>
    <n v="30"/>
    <s v="Sales"/>
    <s v="Sales Executive"/>
    <x v="3"/>
    <s v="2025-05-13"/>
    <n v="0"/>
    <n v="69021"/>
    <n v="3.1"/>
    <n v="99.5"/>
    <n v="8"/>
    <n v="45"/>
    <n v="4120"/>
    <s v="Amit"/>
    <s v="Full-Time"/>
    <s v="Average"/>
    <s v="Medium"/>
    <s v="Junior"/>
    <n v="73141"/>
    <s v="Excellent"/>
    <s v="Normal"/>
    <s v="Junior"/>
    <s v="25-34"/>
  </r>
  <r>
    <n v="1008"/>
    <s v="Harsha"/>
    <s v="Male"/>
    <n v="43"/>
    <s v="HR"/>
    <s v="HR Manager"/>
    <x v="4"/>
    <s v="2021-10-24"/>
    <n v="7"/>
    <n v="78301"/>
    <n v="3.5"/>
    <n v="95.2"/>
    <n v="24"/>
    <n v="27"/>
    <n v="9032"/>
    <s v="Kavya"/>
    <s v="Contract"/>
    <s v="Average"/>
    <s v="High"/>
    <s v="Senior"/>
    <n v="87333"/>
    <s v="Excellent"/>
    <s v="High"/>
    <s v="Senior"/>
    <s v="35-44"/>
  </r>
  <r>
    <n v="1009"/>
    <s v="Varun"/>
    <s v="Female"/>
    <n v="25"/>
    <s v="Sales"/>
    <s v="Sales Manager"/>
    <x v="2"/>
    <s v="2018-06-11"/>
    <n v="10"/>
    <n v="62943"/>
    <n v="2.9"/>
    <n v="86.8"/>
    <n v="16"/>
    <n v="30"/>
    <n v="5200"/>
    <s v="Anitha"/>
    <s v="Contract"/>
    <s v="Needs Improvement"/>
    <s v="Medium"/>
    <s v="Senior"/>
    <n v="68143"/>
    <s v="Needs Improvement"/>
    <s v="Normal"/>
    <s v="Senior"/>
    <s v="25-34"/>
  </r>
  <r>
    <n v="1010"/>
    <s v="Vijay"/>
    <s v="Female"/>
    <n v="30"/>
    <s v="Sales"/>
    <s v="Sales Manager"/>
    <x v="0"/>
    <s v="2024-01-10"/>
    <n v="4"/>
    <n v="75134"/>
    <n v="4.8"/>
    <n v="92.1"/>
    <n v="11"/>
    <n v="56"/>
    <n v="6128"/>
    <s v="Ramesh"/>
    <s v="Contract"/>
    <s v="Excellent"/>
    <s v="High"/>
    <s v="Mid Level"/>
    <n v="81262"/>
    <s v="Needs Improvement"/>
    <s v="Normal"/>
    <s v="Mid"/>
    <s v="25-34"/>
  </r>
  <r>
    <n v="1011"/>
    <s v="Deepa"/>
    <s v="Male"/>
    <n v="35"/>
    <s v="Sales"/>
    <s v="Sales Executive"/>
    <x v="3"/>
    <s v="2019-07-23"/>
    <n v="4"/>
    <n v="79661"/>
    <n v="3.8"/>
    <n v="83.9"/>
    <n v="9"/>
    <n v="42"/>
    <n v="5014"/>
    <s v="Suresh"/>
    <s v="Contract"/>
    <s v="Average"/>
    <s v="High"/>
    <s v="Mid Level"/>
    <n v="84675"/>
    <s v="Needs Improvement"/>
    <s v="Normal"/>
    <s v="Mid"/>
    <s v="35-44"/>
  </r>
  <r>
    <n v="1012"/>
    <s v="Ajay"/>
    <s v="Female"/>
    <n v="37"/>
    <s v="Sales"/>
    <s v="Sales Manager"/>
    <x v="3"/>
    <s v="2024-10-25"/>
    <n v="5"/>
    <n v="27220"/>
    <n v="4.9000000000000004"/>
    <n v="93.5"/>
    <n v="10"/>
    <n v="33"/>
    <n v="3998"/>
    <s v="Suresh"/>
    <s v="Contract"/>
    <s v="Excellent"/>
    <s v="Low"/>
    <s v="Mid Level"/>
    <n v="31218"/>
    <s v="Needs Improvement"/>
    <s v="Normal"/>
    <s v="Mid"/>
    <s v="35-44"/>
  </r>
  <r>
    <n v="1013"/>
    <s v="Kiran"/>
    <s v="Female"/>
    <n v="33"/>
    <s v="HR"/>
    <s v="HR Manager"/>
    <x v="1"/>
    <s v="2019-11-29"/>
    <n v="4"/>
    <n v="28442"/>
    <n v="4"/>
    <n v="89.7"/>
    <n v="3"/>
    <n v="43"/>
    <n v="12212"/>
    <s v="Ramesh"/>
    <s v="Contract"/>
    <s v="Good"/>
    <s v="Low"/>
    <s v="Mid Level"/>
    <n v="40654"/>
    <s v="Needs Improvement"/>
    <s v="Normal"/>
    <s v="Mid"/>
    <s v="25-34"/>
  </r>
  <r>
    <n v="1014"/>
    <s v="Rahul"/>
    <s v="Female"/>
    <n v="36"/>
    <s v="Sales"/>
    <s v="Sales Executive"/>
    <x v="4"/>
    <s v="2022-06-10"/>
    <n v="0"/>
    <n v="40509"/>
    <n v="4.2"/>
    <n v="97.4"/>
    <n v="2"/>
    <n v="38"/>
    <n v="8332"/>
    <s v="Amit"/>
    <s v="Contract"/>
    <s v="Good"/>
    <s v="Low"/>
    <s v="Junior"/>
    <n v="48841"/>
    <s v="Excellent"/>
    <s v="Normal"/>
    <s v="Junior"/>
    <s v="35-44"/>
  </r>
  <r>
    <n v="1015"/>
    <s v="Ravi"/>
    <s v="Male"/>
    <n v="28"/>
    <s v="IT"/>
    <s v="Software Engineer"/>
    <x v="1"/>
    <s v="2019-12-01"/>
    <n v="8"/>
    <n v="80636"/>
    <n v="3.6"/>
    <n v="95.9"/>
    <n v="11"/>
    <n v="21"/>
    <n v="3941"/>
    <s v="Kavya"/>
    <s v="Full-Time"/>
    <s v="Average"/>
    <s v="High"/>
    <s v="Senior"/>
    <n v="84577"/>
    <s v="Excellent"/>
    <s v="Normal"/>
    <s v="Senior"/>
    <s v="25-34"/>
  </r>
  <r>
    <n v="1016"/>
    <s v="Nikhil"/>
    <s v="Male"/>
    <n v="24"/>
    <s v="IT"/>
    <s v="Data Analyst"/>
    <x v="3"/>
    <s v="2018-02-24"/>
    <n v="0"/>
    <n v="68686"/>
    <n v="2.8"/>
    <n v="97"/>
    <n v="3"/>
    <n v="26"/>
    <n v="5736"/>
    <s v="Amit"/>
    <s v="Full-Time"/>
    <s v="Needs Improvement"/>
    <s v="Medium"/>
    <s v="Junior"/>
    <n v="74422"/>
    <s v="Excellent"/>
    <s v="Normal"/>
    <s v="Junior"/>
    <s v="20-24"/>
  </r>
  <r>
    <n v="1017"/>
    <s v="Varun"/>
    <s v="Male"/>
    <n v="33"/>
    <s v="Finance"/>
    <s v="Financial Analyst"/>
    <x v="4"/>
    <s v="2020-08-04"/>
    <n v="2"/>
    <n v="31463"/>
    <n v="2.7"/>
    <n v="93.2"/>
    <n v="24"/>
    <n v="59"/>
    <n v="14015"/>
    <s v="Kavya"/>
    <s v="Contract"/>
    <s v="Needs Improvement"/>
    <s v="Low"/>
    <s v="Junior"/>
    <n v="45478"/>
    <s v="Needs Improvement"/>
    <s v="High"/>
    <s v="Junior"/>
    <s v="25-34"/>
  </r>
  <r>
    <n v="1018"/>
    <s v="Sai"/>
    <s v="Female"/>
    <n v="32"/>
    <s v="Finance"/>
    <s v="Financial Analyst"/>
    <x v="0"/>
    <s v="2019-02-25"/>
    <n v="9"/>
    <n v="62011"/>
    <n v="3.1"/>
    <n v="95.3"/>
    <n v="10"/>
    <n v="40"/>
    <n v="11755"/>
    <s v="Anitha"/>
    <s v="Full-Time"/>
    <s v="Average"/>
    <s v="Medium"/>
    <s v="Senior"/>
    <n v="73766"/>
    <s v="Excellent"/>
    <s v="Normal"/>
    <s v="Senior"/>
    <s v="25-34"/>
  </r>
  <r>
    <n v="1019"/>
    <s v="Arjun"/>
    <s v="Female"/>
    <n v="29"/>
    <s v="IT"/>
    <s v="Software Engineer"/>
    <x v="2"/>
    <s v="2018-07-23"/>
    <n v="7"/>
    <n v="90348"/>
    <n v="4.0999999999999996"/>
    <n v="92.6"/>
    <n v="3"/>
    <n v="30"/>
    <n v="14188"/>
    <s v="Anitha"/>
    <s v="Contract"/>
    <s v="Good"/>
    <s v="High"/>
    <s v="Senior"/>
    <n v="104536"/>
    <s v="Needs Improvement"/>
    <s v="Normal"/>
    <s v="Senior"/>
    <s v="25-34"/>
  </r>
  <r>
    <n v="1020"/>
    <s v="Arjun"/>
    <s v="Female"/>
    <n v="22"/>
    <s v="IT"/>
    <s v="Data Analyst"/>
    <x v="1"/>
    <s v="2019-08-07"/>
    <n v="7"/>
    <n v="63623"/>
    <n v="2.5"/>
    <n v="85.6"/>
    <n v="14"/>
    <n v="5"/>
    <n v="9181"/>
    <s v="Amit"/>
    <s v="Contract"/>
    <s v="Needs Improvement"/>
    <s v="Medium"/>
    <s v="Senior"/>
    <n v="72804"/>
    <s v="Needs Improvement"/>
    <s v="Normal"/>
    <s v="Senior"/>
    <s v="20-24"/>
  </r>
  <r>
    <n v="1021"/>
    <s v="Manoj"/>
    <s v="Female"/>
    <n v="30"/>
    <s v="Sales"/>
    <s v="Sales Executive"/>
    <x v="3"/>
    <s v="2022-11-28"/>
    <n v="6"/>
    <n v="87767"/>
    <n v="2.8"/>
    <n v="83.5"/>
    <n v="25"/>
    <n v="31"/>
    <n v="5086"/>
    <s v="Anitha"/>
    <s v="Full-Time"/>
    <s v="Needs Improvement"/>
    <s v="High"/>
    <s v="Senior"/>
    <n v="92853"/>
    <s v="Needs Improvement"/>
    <s v="High"/>
    <s v="Mid"/>
    <s v="25-34"/>
  </r>
  <r>
    <n v="1022"/>
    <s v="Kiran"/>
    <s v="Female"/>
    <n v="38"/>
    <s v="Sales"/>
    <s v="Sales Manager"/>
    <x v="2"/>
    <s v="2019-01-25"/>
    <n v="9"/>
    <n v="84292"/>
    <n v="3.1"/>
    <n v="83.5"/>
    <n v="14"/>
    <n v="35"/>
    <n v="14328"/>
    <s v="Ramesh"/>
    <s v="Contract"/>
    <s v="Average"/>
    <s v="High"/>
    <s v="Senior"/>
    <n v="98620"/>
    <s v="Needs Improvement"/>
    <s v="Normal"/>
    <s v="Senior"/>
    <s v="35-44"/>
  </r>
  <r>
    <n v="1023"/>
    <s v="Vijay"/>
    <s v="Female"/>
    <n v="28"/>
    <s v="Marketing"/>
    <s v="Marketing Executive"/>
    <x v="3"/>
    <s v="2021-09-18"/>
    <n v="1"/>
    <n v="65542"/>
    <n v="3.8"/>
    <n v="95.7"/>
    <n v="1"/>
    <n v="58"/>
    <n v="7122"/>
    <s v="Anitha"/>
    <s v="Full-Time"/>
    <s v="Average"/>
    <s v="Medium"/>
    <s v="Junior"/>
    <n v="72664"/>
    <s v="Excellent"/>
    <s v="Normal"/>
    <s v="Junior"/>
    <s v="25-34"/>
  </r>
  <r>
    <n v="1024"/>
    <s v="Varun"/>
    <s v="Female"/>
    <n v="34"/>
    <s v="Finance"/>
    <s v="Accountant"/>
    <x v="2"/>
    <s v="2023-01-16"/>
    <n v="3"/>
    <n v="92525"/>
    <n v="4.8"/>
    <n v="94.3"/>
    <n v="3"/>
    <n v="33"/>
    <n v="7623"/>
    <s v="Ramesh"/>
    <s v="Contract"/>
    <s v="Excellent"/>
    <s v="High"/>
    <s v="Mid Level"/>
    <n v="100148"/>
    <s v="Needs Improvement"/>
    <s v="Normal"/>
    <s v="Mid"/>
    <s v="25-34"/>
  </r>
  <r>
    <n v="1025"/>
    <s v="Kiran"/>
    <s v="Female"/>
    <n v="22"/>
    <s v="Finance"/>
    <s v="Accountant"/>
    <x v="0"/>
    <s v="2018-01-23"/>
    <n v="1"/>
    <n v="93937"/>
    <n v="2.8"/>
    <n v="99.9"/>
    <n v="20"/>
    <n v="17"/>
    <n v="1141"/>
    <s v="Ramesh"/>
    <s v="Contract"/>
    <s v="Needs Improvement"/>
    <s v="High"/>
    <s v="Junior"/>
    <n v="95078"/>
    <s v="Excellent"/>
    <s v="Normal"/>
    <s v="Junior"/>
    <s v="20-24"/>
  </r>
  <r>
    <n v="1026"/>
    <s v="Manoj"/>
    <s v="Male"/>
    <n v="28"/>
    <s v="Sales"/>
    <s v="Sales Executive"/>
    <x v="2"/>
    <s v="2020-03-29"/>
    <n v="4"/>
    <n v="53513"/>
    <n v="3.3"/>
    <n v="85.4"/>
    <n v="0"/>
    <n v="59"/>
    <n v="9039"/>
    <s v="Kavya"/>
    <s v="Contract"/>
    <s v="Average"/>
    <s v="Medium"/>
    <s v="Mid Level"/>
    <n v="62552"/>
    <s v="Needs Improvement"/>
    <s v="Normal"/>
    <s v="Mid"/>
    <s v="25-34"/>
  </r>
  <r>
    <n v="1027"/>
    <s v="Kiran"/>
    <s v="Female"/>
    <n v="29"/>
    <s v="HR"/>
    <s v="HR Executive"/>
    <x v="3"/>
    <s v="2020-04-02"/>
    <n v="6"/>
    <n v="56335"/>
    <n v="3"/>
    <n v="98.1"/>
    <n v="2"/>
    <n v="26"/>
    <n v="6383"/>
    <s v="Kavya"/>
    <s v="Contract"/>
    <s v="Average"/>
    <s v="Medium"/>
    <s v="Senior"/>
    <n v="62718"/>
    <s v="Excellent"/>
    <s v="Normal"/>
    <s v="Mid"/>
    <s v="25-34"/>
  </r>
  <r>
    <n v="1028"/>
    <s v="Meena"/>
    <s v="Female"/>
    <n v="45"/>
    <s v="Finance"/>
    <s v="Accountant"/>
    <x v="0"/>
    <s v="2020-05-04"/>
    <n v="2"/>
    <n v="92273"/>
    <n v="3.4"/>
    <n v="83.8"/>
    <n v="15"/>
    <n v="17"/>
    <n v="14826"/>
    <s v="Kavya"/>
    <s v="Contract"/>
    <s v="Average"/>
    <s v="High"/>
    <s v="Junior"/>
    <n v="107099"/>
    <s v="Needs Improvement"/>
    <s v="Normal"/>
    <s v="Junior"/>
    <s v="45+"/>
  </r>
  <r>
    <n v="1029"/>
    <s v="Arjun"/>
    <s v="Male"/>
    <n v="37"/>
    <s v="Marketing"/>
    <s v="SEO Analyst"/>
    <x v="0"/>
    <s v="2021-07-17"/>
    <n v="4"/>
    <n v="29526"/>
    <n v="3.8"/>
    <n v="85.7"/>
    <n v="17"/>
    <n v="37"/>
    <n v="2704"/>
    <s v="Kavya"/>
    <s v="Contract"/>
    <s v="Average"/>
    <s v="Low"/>
    <s v="Mid Level"/>
    <n v="32230"/>
    <s v="Needs Improvement"/>
    <s v="Normal"/>
    <s v="Mid"/>
    <s v="35-44"/>
  </r>
  <r>
    <n v="1030"/>
    <s v="Sai"/>
    <s v="Female"/>
    <n v="38"/>
    <s v="Finance"/>
    <s v="Accountant"/>
    <x v="3"/>
    <s v="2020-11-27"/>
    <n v="10"/>
    <n v="25678"/>
    <n v="3.7"/>
    <n v="87.6"/>
    <n v="9"/>
    <n v="32"/>
    <n v="14309"/>
    <s v="Kavya"/>
    <s v="Contract"/>
    <s v="Average"/>
    <s v="Low"/>
    <s v="Senior"/>
    <n v="39987"/>
    <s v="Needs Improvement"/>
    <s v="Normal"/>
    <s v="Senior"/>
    <s v="35-44"/>
  </r>
  <r>
    <n v="1031"/>
    <s v="Anu"/>
    <s v="Male"/>
    <n v="41"/>
    <s v="Marketing"/>
    <s v="Marketing Executive"/>
    <x v="3"/>
    <s v="2023-06-07"/>
    <n v="2"/>
    <n v="86427"/>
    <n v="3.5"/>
    <n v="98.2"/>
    <n v="20"/>
    <n v="15"/>
    <n v="14535"/>
    <s v="Suresh"/>
    <s v="Contract"/>
    <s v="Average"/>
    <s v="High"/>
    <s v="Junior"/>
    <n v="100962"/>
    <s v="Excellent"/>
    <s v="Normal"/>
    <s v="Junior"/>
    <s v="35-44"/>
  </r>
  <r>
    <n v="1032"/>
    <s v="Harsha"/>
    <s v="Male"/>
    <n v="24"/>
    <s v="Marketing"/>
    <s v="SEO Analyst"/>
    <x v="2"/>
    <s v="2023-03-09"/>
    <n v="10"/>
    <n v="68895"/>
    <n v="3.7"/>
    <n v="88.5"/>
    <n v="3"/>
    <n v="15"/>
    <n v="3333"/>
    <s v="Kavya"/>
    <s v="Full-Time"/>
    <s v="Average"/>
    <s v="Medium"/>
    <s v="Senior"/>
    <n v="72228"/>
    <s v="Needs Improvement"/>
    <s v="Normal"/>
    <s v="Senior"/>
    <s v="20-24"/>
  </r>
  <r>
    <n v="1033"/>
    <s v="Meena"/>
    <s v="Male"/>
    <n v="33"/>
    <s v="HR"/>
    <s v="HR Executive"/>
    <x v="4"/>
    <s v="2024-11-14"/>
    <n v="5"/>
    <n v="92412"/>
    <n v="4.5"/>
    <n v="85.7"/>
    <n v="8"/>
    <n v="19"/>
    <n v="4662"/>
    <s v="Suresh"/>
    <s v="Full-Time"/>
    <s v="Excellent"/>
    <s v="High"/>
    <s v="Mid Level"/>
    <n v="97074"/>
    <s v="Needs Improvement"/>
    <s v="Normal"/>
    <s v="Mid"/>
    <s v="25-34"/>
  </r>
  <r>
    <n v="1034"/>
    <s v="Manoj"/>
    <s v="Female"/>
    <n v="30"/>
    <s v="IT"/>
    <s v="Software Engineer"/>
    <x v="0"/>
    <s v="2024-08-28"/>
    <n v="6"/>
    <n v="75129"/>
    <n v="2.5"/>
    <n v="100"/>
    <n v="24"/>
    <n v="16"/>
    <n v="7024"/>
    <s v="Anitha"/>
    <s v="Contract"/>
    <s v="Needs Improvement"/>
    <s v="High"/>
    <s v="Senior"/>
    <n v="82153"/>
    <s v="Excellent"/>
    <s v="High"/>
    <s v="Mid"/>
    <s v="25-34"/>
  </r>
  <r>
    <n v="1035"/>
    <s v="Anu"/>
    <s v="Female"/>
    <n v="24"/>
    <s v="Finance"/>
    <s v="Financial Analyst"/>
    <x v="4"/>
    <s v="2024-07-14"/>
    <n v="5"/>
    <n v="81966"/>
    <n v="2.8"/>
    <n v="85.2"/>
    <n v="0"/>
    <n v="36"/>
    <n v="1573"/>
    <s v="Ramesh"/>
    <s v="Full-Time"/>
    <s v="Needs Improvement"/>
    <s v="High"/>
    <s v="Mid Level"/>
    <n v="83539"/>
    <s v="Needs Improvement"/>
    <s v="Normal"/>
    <s v="Mid"/>
    <s v="20-24"/>
  </r>
  <r>
    <n v="1036"/>
    <s v="Rahul"/>
    <s v="Female"/>
    <n v="28"/>
    <s v="Sales"/>
    <s v="Sales Manager"/>
    <x v="1"/>
    <s v="2023-10-22"/>
    <n v="6"/>
    <n v="84778"/>
    <n v="4.3"/>
    <n v="89.7"/>
    <n v="7"/>
    <n v="11"/>
    <n v="7650"/>
    <s v="Ramesh"/>
    <s v="Full-Time"/>
    <s v="Good"/>
    <s v="High"/>
    <s v="Senior"/>
    <n v="92428"/>
    <s v="Needs Improvement"/>
    <s v="Normal"/>
    <s v="Mid"/>
    <s v="25-34"/>
  </r>
  <r>
    <n v="1037"/>
    <s v="Priya"/>
    <s v="Female"/>
    <n v="39"/>
    <s v="Sales"/>
    <s v="Sales Manager"/>
    <x v="3"/>
    <s v="2018-10-01"/>
    <n v="1"/>
    <n v="81536"/>
    <n v="4.5"/>
    <n v="85.7"/>
    <n v="24"/>
    <n v="34"/>
    <n v="9550"/>
    <s v="Amit"/>
    <s v="Full-Time"/>
    <s v="Excellent"/>
    <s v="High"/>
    <s v="Junior"/>
    <n v="91086"/>
    <s v="Needs Improvement"/>
    <s v="High"/>
    <s v="Junior"/>
    <s v="35-44"/>
  </r>
  <r>
    <n v="1038"/>
    <s v="Pooja"/>
    <s v="Male"/>
    <n v="34"/>
    <s v="HR"/>
    <s v="HR Manager"/>
    <x v="1"/>
    <s v="2023-02-10"/>
    <n v="8"/>
    <n v="26829"/>
    <n v="3.7"/>
    <n v="99.1"/>
    <n v="5"/>
    <n v="18"/>
    <n v="12434"/>
    <s v="Anitha"/>
    <s v="Full-Time"/>
    <s v="Average"/>
    <s v="Low"/>
    <s v="Senior"/>
    <n v="39263"/>
    <s v="Excellent"/>
    <s v="Normal"/>
    <s v="Senior"/>
    <s v="25-34"/>
  </r>
  <r>
    <n v="1039"/>
    <s v="Sai"/>
    <s v="Female"/>
    <n v="33"/>
    <s v="HR"/>
    <s v="HR Executive"/>
    <x v="1"/>
    <s v="2019-04-18"/>
    <n v="6"/>
    <n v="34552"/>
    <n v="3.7"/>
    <n v="84.9"/>
    <n v="12"/>
    <n v="56"/>
    <n v="10651"/>
    <s v="Ramesh"/>
    <s v="Contract"/>
    <s v="Average"/>
    <s v="Low"/>
    <s v="Senior"/>
    <n v="45203"/>
    <s v="Needs Improvement"/>
    <s v="Normal"/>
    <s v="Mid"/>
    <s v="25-34"/>
  </r>
  <r>
    <n v="1040"/>
    <s v="Rahul"/>
    <s v="Female"/>
    <n v="24"/>
    <s v="Sales"/>
    <s v="Sales Executive"/>
    <x v="1"/>
    <s v="2022-02-18"/>
    <n v="7"/>
    <n v="33005"/>
    <n v="3.3"/>
    <n v="98.8"/>
    <n v="25"/>
    <n v="50"/>
    <n v="2801"/>
    <s v="Suresh"/>
    <s v="Full-Time"/>
    <s v="Average"/>
    <s v="Low"/>
    <s v="Senior"/>
    <n v="35806"/>
    <s v="Excellent"/>
    <s v="High"/>
    <s v="Senior"/>
    <s v="20-24"/>
  </r>
  <r>
    <n v="1041"/>
    <s v="Rahul"/>
    <s v="Female"/>
    <n v="30"/>
    <s v="Marketing"/>
    <s v="SEO Analyst"/>
    <x v="1"/>
    <s v="2019-02-23"/>
    <n v="4"/>
    <n v="69089"/>
    <n v="2.7"/>
    <n v="93.2"/>
    <n v="13"/>
    <n v="54"/>
    <n v="1448"/>
    <s v="Suresh"/>
    <s v="Contract"/>
    <s v="Needs Improvement"/>
    <s v="Medium"/>
    <s v="Mid Level"/>
    <n v="70537"/>
    <s v="Needs Improvement"/>
    <s v="Normal"/>
    <s v="Mid"/>
    <s v="25-34"/>
  </r>
  <r>
    <n v="1042"/>
    <s v="Anu"/>
    <s v="Female"/>
    <n v="42"/>
    <s v="HR"/>
    <s v="HR Executive"/>
    <x v="4"/>
    <s v="2022-03-21"/>
    <n v="9"/>
    <n v="68581"/>
    <n v="4"/>
    <n v="83.2"/>
    <n v="11"/>
    <n v="54"/>
    <n v="14187"/>
    <s v="Anitha"/>
    <s v="Contract"/>
    <s v="Good"/>
    <s v="Medium"/>
    <s v="Senior"/>
    <n v="82768"/>
    <s v="Needs Improvement"/>
    <s v="Normal"/>
    <s v="Senior"/>
    <s v="35-44"/>
  </r>
  <r>
    <n v="1043"/>
    <s v="Manoj"/>
    <s v="Female"/>
    <n v="26"/>
    <s v="HR"/>
    <s v="HR Manager"/>
    <x v="4"/>
    <s v="2023-10-16"/>
    <n v="10"/>
    <n v="70855"/>
    <n v="2.7"/>
    <n v="89.5"/>
    <n v="3"/>
    <n v="15"/>
    <n v="7207"/>
    <s v="Amit"/>
    <s v="Contract"/>
    <s v="Needs Improvement"/>
    <s v="High"/>
    <s v="Senior"/>
    <n v="78062"/>
    <s v="Needs Improvement"/>
    <s v="Normal"/>
    <s v="Senior"/>
    <s v="25-34"/>
  </r>
  <r>
    <n v="1044"/>
    <s v="Ajay"/>
    <s v="Male"/>
    <n v="40"/>
    <s v="IT"/>
    <s v="Software Engineer"/>
    <x v="1"/>
    <s v="2020-12-27"/>
    <n v="4"/>
    <n v="46290"/>
    <n v="3.6"/>
    <n v="87.2"/>
    <n v="9"/>
    <n v="60"/>
    <n v="13804"/>
    <s v="Suresh"/>
    <s v="Full-Time"/>
    <s v="Average"/>
    <s v="Low"/>
    <s v="Mid Level"/>
    <n v="60094"/>
    <s v="Needs Improvement"/>
    <s v="Normal"/>
    <s v="Mid"/>
    <s v="35-44"/>
  </r>
  <r>
    <n v="1045"/>
    <s v="Ajay"/>
    <s v="Male"/>
    <n v="32"/>
    <s v="Sales"/>
    <s v="Sales Executive"/>
    <x v="2"/>
    <s v="2021-04-06"/>
    <n v="10"/>
    <n v="52937"/>
    <n v="4.2"/>
    <n v="98.3"/>
    <n v="20"/>
    <n v="39"/>
    <n v="5443"/>
    <s v="Kavya"/>
    <s v="Contract"/>
    <s v="Good"/>
    <s v="Medium"/>
    <s v="Senior"/>
    <n v="58380"/>
    <s v="Excellent"/>
    <s v="Normal"/>
    <s v="Senior"/>
    <s v="25-34"/>
  </r>
  <r>
    <n v="1046"/>
    <s v="Nikhil"/>
    <s v="Female"/>
    <n v="45"/>
    <s v="IT"/>
    <s v="Software Engineer"/>
    <x v="4"/>
    <s v="2021-07-18"/>
    <n v="1"/>
    <n v="80839"/>
    <n v="4.3"/>
    <n v="97.5"/>
    <n v="6"/>
    <n v="45"/>
    <n v="11782"/>
    <s v="Amit"/>
    <s v="Contract"/>
    <s v="Good"/>
    <s v="High"/>
    <s v="Junior"/>
    <n v="92621"/>
    <s v="Excellent"/>
    <s v="Normal"/>
    <s v="Junior"/>
    <s v="45+"/>
  </r>
  <r>
    <n v="1047"/>
    <s v="Keerthi"/>
    <s v="Female"/>
    <n v="39"/>
    <s v="Sales"/>
    <s v="Sales Executive"/>
    <x v="2"/>
    <s v="2024-11-02"/>
    <n v="4"/>
    <n v="36970"/>
    <n v="3.8"/>
    <n v="89.2"/>
    <n v="0"/>
    <n v="5"/>
    <n v="3791"/>
    <s v="Suresh"/>
    <s v="Full-Time"/>
    <s v="Average"/>
    <s v="Low"/>
    <s v="Mid Level"/>
    <n v="40761"/>
    <s v="Needs Improvement"/>
    <s v="Normal"/>
    <s v="Mid"/>
    <s v="35-44"/>
  </r>
  <r>
    <n v="1048"/>
    <s v="Ajay"/>
    <s v="Male"/>
    <n v="28"/>
    <s v="IT"/>
    <s v="Data Analyst"/>
    <x v="3"/>
    <s v="2020-12-17"/>
    <n v="2"/>
    <n v="39037"/>
    <n v="4.5999999999999996"/>
    <n v="96.2"/>
    <n v="11"/>
    <n v="46"/>
    <n v="5967"/>
    <s v="Ramesh"/>
    <s v="Contract"/>
    <s v="Excellent"/>
    <s v="Low"/>
    <s v="Junior"/>
    <n v="45004"/>
    <s v="Excellent"/>
    <s v="Normal"/>
    <s v="Junior"/>
    <s v="25-34"/>
  </r>
  <r>
    <n v="1049"/>
    <s v="Sonia"/>
    <s v="Female"/>
    <n v="32"/>
    <s v="Marketing"/>
    <s v="SEO Analyst"/>
    <x v="3"/>
    <s v="2020-11-28"/>
    <n v="3"/>
    <n v="84140"/>
    <n v="3.9"/>
    <n v="89.5"/>
    <n v="2"/>
    <n v="23"/>
    <n v="2229"/>
    <s v="Kavya"/>
    <s v="Full-Time"/>
    <s v="Average"/>
    <s v="High"/>
    <s v="Mid Level"/>
    <n v="86369"/>
    <s v="Needs Improvement"/>
    <s v="Normal"/>
    <s v="Mid"/>
    <s v="25-34"/>
  </r>
  <r>
    <n v="1050"/>
    <s v="Vijay"/>
    <s v="Female"/>
    <n v="27"/>
    <s v="HR"/>
    <s v="HR Manager"/>
    <x v="3"/>
    <s v="2022-11-08"/>
    <n v="0"/>
    <n v="48146"/>
    <n v="3.7"/>
    <n v="91.5"/>
    <n v="7"/>
    <n v="5"/>
    <n v="8027"/>
    <s v="Anitha"/>
    <s v="Contract"/>
    <s v="Average"/>
    <s v="Low"/>
    <s v="Junior"/>
    <n v="56173"/>
    <s v="Needs Improvement"/>
    <s v="Normal"/>
    <s v="Junior"/>
    <s v="25-34"/>
  </r>
  <r>
    <n v="1051"/>
    <s v="Sai"/>
    <s v="Female"/>
    <n v="45"/>
    <s v="HR"/>
    <s v="HR Manager"/>
    <x v="4"/>
    <s v="2024-06-28"/>
    <n v="7"/>
    <n v="54864"/>
    <n v="3.6"/>
    <n v="83.8"/>
    <n v="17"/>
    <n v="56"/>
    <n v="8703"/>
    <s v="Anitha"/>
    <s v="Contract"/>
    <s v="Average"/>
    <s v="Medium"/>
    <s v="Senior"/>
    <n v="63567"/>
    <s v="Needs Improvement"/>
    <s v="Normal"/>
    <s v="Senior"/>
    <s v="45+"/>
  </r>
  <r>
    <n v="1052"/>
    <s v="Harsha"/>
    <s v="Female"/>
    <n v="33"/>
    <s v="Marketing"/>
    <s v="SEO Analyst"/>
    <x v="3"/>
    <s v="2024-09-17"/>
    <n v="6"/>
    <n v="74155"/>
    <n v="4.9000000000000004"/>
    <n v="88.3"/>
    <n v="14"/>
    <n v="23"/>
    <n v="8801"/>
    <s v="Ramesh"/>
    <s v="Full-Time"/>
    <s v="Excellent"/>
    <s v="High"/>
    <s v="Senior"/>
    <n v="82956"/>
    <s v="Needs Improvement"/>
    <s v="Normal"/>
    <s v="Mid"/>
    <s v="25-34"/>
  </r>
  <r>
    <n v="1053"/>
    <s v="Varun"/>
    <s v="Male"/>
    <n v="24"/>
    <s v="Marketing"/>
    <s v="Marketing Executive"/>
    <x v="2"/>
    <s v="2021-04-16"/>
    <n v="7"/>
    <n v="38563"/>
    <n v="2.7"/>
    <n v="97.1"/>
    <n v="22"/>
    <n v="6"/>
    <n v="5156"/>
    <s v="Suresh"/>
    <s v="Contract"/>
    <s v="Needs Improvement"/>
    <s v="Low"/>
    <s v="Senior"/>
    <n v="43719"/>
    <s v="Excellent"/>
    <s v="High"/>
    <s v="Senior"/>
    <s v="20-24"/>
  </r>
  <r>
    <n v="1054"/>
    <s v="Sai"/>
    <s v="Female"/>
    <n v="33"/>
    <s v="Sales"/>
    <s v="Sales Manager"/>
    <x v="0"/>
    <s v="2021-03-20"/>
    <n v="1"/>
    <n v="69628"/>
    <n v="4.8"/>
    <n v="84.2"/>
    <n v="10"/>
    <n v="31"/>
    <n v="1601"/>
    <s v="Ramesh"/>
    <s v="Full-Time"/>
    <s v="Excellent"/>
    <s v="Medium"/>
    <s v="Junior"/>
    <n v="71229"/>
    <s v="Needs Improvement"/>
    <s v="Normal"/>
    <s v="Junior"/>
    <s v="25-34"/>
  </r>
  <r>
    <n v="1055"/>
    <s v="Arjun"/>
    <s v="Female"/>
    <n v="35"/>
    <s v="Finance"/>
    <s v="Accountant"/>
    <x v="2"/>
    <s v="2018-12-12"/>
    <n v="5"/>
    <n v="78186"/>
    <n v="4.4000000000000004"/>
    <n v="93.1"/>
    <n v="4"/>
    <n v="35"/>
    <n v="10277"/>
    <s v="Kavya"/>
    <s v="Contract"/>
    <s v="Good"/>
    <s v="High"/>
    <s v="Mid Level"/>
    <n v="88463"/>
    <s v="Needs Improvement"/>
    <s v="Normal"/>
    <s v="Mid"/>
    <s v="35-44"/>
  </r>
  <r>
    <n v="1056"/>
    <s v="Nikhil"/>
    <s v="Male"/>
    <n v="43"/>
    <s v="HR"/>
    <s v="HR Manager"/>
    <x v="4"/>
    <s v="2022-12-20"/>
    <n v="6"/>
    <n v="30915"/>
    <n v="4.5999999999999996"/>
    <n v="97.9"/>
    <n v="1"/>
    <n v="35"/>
    <n v="6430"/>
    <s v="Ramesh"/>
    <s v="Full-Time"/>
    <s v="Excellent"/>
    <s v="Low"/>
    <s v="Senior"/>
    <n v="37345"/>
    <s v="Excellent"/>
    <s v="Normal"/>
    <s v="Mid"/>
    <s v="35-44"/>
  </r>
  <r>
    <n v="1057"/>
    <s v="Kiran"/>
    <s v="Female"/>
    <n v="33"/>
    <s v="Sales"/>
    <s v="Sales Executive"/>
    <x v="2"/>
    <s v="2020-09-12"/>
    <n v="6"/>
    <n v="76850"/>
    <n v="4.8"/>
    <n v="90.4"/>
    <n v="2"/>
    <n v="49"/>
    <n v="3193"/>
    <s v="Amit"/>
    <s v="Contract"/>
    <s v="Excellent"/>
    <s v="High"/>
    <s v="Senior"/>
    <n v="80043"/>
    <s v="Needs Improvement"/>
    <s v="Normal"/>
    <s v="Mid"/>
    <s v="25-34"/>
  </r>
  <r>
    <n v="1058"/>
    <s v="Sai"/>
    <s v="Male"/>
    <n v="22"/>
    <s v="HR"/>
    <s v="HR Manager"/>
    <x v="2"/>
    <s v="2021-10-10"/>
    <n v="6"/>
    <n v="32056"/>
    <n v="4.5"/>
    <n v="97.1"/>
    <n v="3"/>
    <n v="48"/>
    <n v="3534"/>
    <s v="Ramesh"/>
    <s v="Full-Time"/>
    <s v="Excellent"/>
    <s v="Low"/>
    <s v="Senior"/>
    <n v="35590"/>
    <s v="Excellent"/>
    <s v="Normal"/>
    <s v="Mid"/>
    <s v="20-24"/>
  </r>
  <r>
    <n v="1059"/>
    <s v="Kiran"/>
    <s v="Female"/>
    <n v="40"/>
    <s v="HR"/>
    <s v="HR Executive"/>
    <x v="2"/>
    <s v="2019-01-09"/>
    <n v="10"/>
    <n v="78926"/>
    <n v="3.9"/>
    <n v="95.7"/>
    <n v="9"/>
    <n v="15"/>
    <n v="13052"/>
    <s v="Amit"/>
    <s v="Contract"/>
    <s v="Average"/>
    <s v="High"/>
    <s v="Senior"/>
    <n v="91978"/>
    <s v="Excellent"/>
    <s v="Normal"/>
    <s v="Senior"/>
    <s v="35-44"/>
  </r>
  <r>
    <n v="1060"/>
    <s v="Pooja"/>
    <s v="Female"/>
    <n v="32"/>
    <s v="IT"/>
    <s v="Data Analyst"/>
    <x v="3"/>
    <s v="2024-09-11"/>
    <n v="3"/>
    <n v="92654"/>
    <n v="3"/>
    <n v="98.2"/>
    <n v="7"/>
    <n v="40"/>
    <n v="3921"/>
    <s v="Anitha"/>
    <s v="Full-Time"/>
    <s v="Average"/>
    <s v="High"/>
    <s v="Mid Level"/>
    <n v="96575"/>
    <s v="Excellent"/>
    <s v="Normal"/>
    <s v="Mid"/>
    <s v="25-34"/>
  </r>
  <r>
    <n v="1061"/>
    <s v="Deepa"/>
    <s v="Female"/>
    <n v="43"/>
    <s v="Finance"/>
    <s v="Accountant"/>
    <x v="4"/>
    <s v="2024-04-18"/>
    <n v="2"/>
    <n v="93839"/>
    <n v="4.0999999999999996"/>
    <n v="99.2"/>
    <n v="3"/>
    <n v="30"/>
    <n v="6381"/>
    <s v="Suresh"/>
    <s v="Contract"/>
    <s v="Good"/>
    <s v="High"/>
    <s v="Junior"/>
    <n v="100220"/>
    <s v="Excellent"/>
    <s v="Normal"/>
    <s v="Junior"/>
    <s v="35-44"/>
  </r>
  <r>
    <n v="1062"/>
    <s v="Ravi"/>
    <s v="Female"/>
    <n v="31"/>
    <s v="Marketing"/>
    <s v="SEO Analyst"/>
    <x v="4"/>
    <s v="2024-03-03"/>
    <n v="5"/>
    <n v="30646"/>
    <n v="3.2"/>
    <n v="91.1"/>
    <n v="13"/>
    <n v="49"/>
    <n v="12199"/>
    <s v="Kavya"/>
    <s v="Full-Time"/>
    <s v="Average"/>
    <s v="Low"/>
    <s v="Mid Level"/>
    <n v="42845"/>
    <s v="Needs Improvement"/>
    <s v="Normal"/>
    <s v="Mid"/>
    <s v="25-34"/>
  </r>
  <r>
    <n v="1063"/>
    <s v="Kiran"/>
    <s v="Female"/>
    <n v="22"/>
    <s v="IT"/>
    <s v="Data Analyst"/>
    <x v="0"/>
    <s v="2022-11-18"/>
    <n v="7"/>
    <n v="69525"/>
    <n v="3.6"/>
    <n v="91.9"/>
    <n v="18"/>
    <n v="35"/>
    <n v="7494"/>
    <s v="Suresh"/>
    <s v="Contract"/>
    <s v="Average"/>
    <s v="Medium"/>
    <s v="Senior"/>
    <n v="77019"/>
    <s v="Needs Improvement"/>
    <s v="Normal"/>
    <s v="Senior"/>
    <s v="20-24"/>
  </r>
  <r>
    <n v="1064"/>
    <s v="Keerthi"/>
    <s v="Female"/>
    <n v="31"/>
    <s v="HR"/>
    <s v="HR Executive"/>
    <x v="0"/>
    <s v="2019-08-11"/>
    <n v="10"/>
    <n v="44935"/>
    <n v="4"/>
    <n v="93.7"/>
    <n v="15"/>
    <n v="38"/>
    <n v="5773"/>
    <s v="Amit"/>
    <s v="Contract"/>
    <s v="Good"/>
    <s v="Low"/>
    <s v="Senior"/>
    <n v="50708"/>
    <s v="Needs Improvement"/>
    <s v="Normal"/>
    <s v="Senior"/>
    <s v="25-34"/>
  </r>
  <r>
    <n v="1065"/>
    <s v="Harsha"/>
    <s v="Male"/>
    <n v="37"/>
    <s v="Finance"/>
    <s v="Financial Analyst"/>
    <x v="2"/>
    <s v="2022-08-29"/>
    <n v="0"/>
    <n v="57991"/>
    <n v="4.8"/>
    <n v="88.9"/>
    <n v="25"/>
    <n v="53"/>
    <n v="8177"/>
    <s v="Anitha"/>
    <s v="Full-Time"/>
    <s v="Excellent"/>
    <s v="Medium"/>
    <s v="Junior"/>
    <n v="66168"/>
    <s v="Needs Improvement"/>
    <s v="High"/>
    <s v="Junior"/>
    <s v="35-44"/>
  </r>
  <r>
    <n v="1066"/>
    <s v="Keerthi"/>
    <s v="Male"/>
    <n v="45"/>
    <s v="Marketing"/>
    <s v="SEO Analyst"/>
    <x v="3"/>
    <s v="2022-12-25"/>
    <n v="3"/>
    <n v="38519"/>
    <n v="4.9000000000000004"/>
    <n v="89.8"/>
    <n v="19"/>
    <n v="37"/>
    <n v="6976"/>
    <s v="Ramesh"/>
    <s v="Contract"/>
    <s v="Excellent"/>
    <s v="Low"/>
    <s v="Mid Level"/>
    <n v="45495"/>
    <s v="Needs Improvement"/>
    <s v="Normal"/>
    <s v="Mid"/>
    <s v="45+"/>
  </r>
  <r>
    <n v="1067"/>
    <s v="Ajay"/>
    <s v="Female"/>
    <n v="27"/>
    <s v="IT"/>
    <s v="Senior Developer"/>
    <x v="2"/>
    <s v="2020-04-02"/>
    <n v="9"/>
    <n v="33576"/>
    <n v="3.5"/>
    <n v="95.2"/>
    <n v="5"/>
    <n v="31"/>
    <n v="3938"/>
    <s v="Suresh"/>
    <s v="Full-Time"/>
    <s v="Average"/>
    <s v="Low"/>
    <s v="Senior"/>
    <n v="37514"/>
    <s v="Excellent"/>
    <s v="Normal"/>
    <s v="Senior"/>
    <s v="25-34"/>
  </r>
  <r>
    <n v="1068"/>
    <s v="Deepa"/>
    <s v="Female"/>
    <n v="42"/>
    <s v="Marketing"/>
    <s v="Marketing Executive"/>
    <x v="0"/>
    <s v="2024-02-06"/>
    <n v="5"/>
    <n v="94321"/>
    <n v="4.2"/>
    <n v="82.3"/>
    <n v="17"/>
    <n v="60"/>
    <n v="12886"/>
    <s v="Kavya"/>
    <s v="Full-Time"/>
    <s v="Good"/>
    <s v="High"/>
    <s v="Mid Level"/>
    <n v="107207"/>
    <s v="Needs Improvement"/>
    <s v="Normal"/>
    <s v="Mid"/>
    <s v="35-44"/>
  </r>
  <r>
    <n v="1069"/>
    <s v="Meena"/>
    <s v="Female"/>
    <n v="45"/>
    <s v="Sales"/>
    <s v="Sales Executive"/>
    <x v="2"/>
    <s v="2024-12-20"/>
    <n v="5"/>
    <n v="60848"/>
    <n v="4.7"/>
    <n v="87.9"/>
    <n v="1"/>
    <n v="5"/>
    <n v="7148"/>
    <s v="Ramesh"/>
    <s v="Contract"/>
    <s v="Excellent"/>
    <s v="Medium"/>
    <s v="Mid Level"/>
    <n v="67996"/>
    <s v="Needs Improvement"/>
    <s v="Normal"/>
    <s v="Mid"/>
    <s v="45+"/>
  </r>
  <r>
    <n v="1070"/>
    <s v="Ravi"/>
    <s v="Male"/>
    <n v="30"/>
    <s v="HR"/>
    <s v="HR Manager"/>
    <x v="4"/>
    <s v="2024-02-06"/>
    <n v="10"/>
    <n v="57905"/>
    <n v="4.4000000000000004"/>
    <n v="99"/>
    <n v="9"/>
    <n v="17"/>
    <n v="7770"/>
    <s v="Amit"/>
    <s v="Contract"/>
    <s v="Good"/>
    <s v="Medium"/>
    <s v="Senior"/>
    <n v="65675"/>
    <s v="Excellent"/>
    <s v="Normal"/>
    <s v="Senior"/>
    <s v="25-34"/>
  </r>
  <r>
    <n v="1071"/>
    <s v="Sonia"/>
    <s v="Female"/>
    <n v="32"/>
    <s v="Sales"/>
    <s v="Sales Manager"/>
    <x v="1"/>
    <s v="2022-02-09"/>
    <n v="1"/>
    <n v="56802"/>
    <n v="4.3"/>
    <n v="94.9"/>
    <n v="1"/>
    <n v="53"/>
    <n v="13115"/>
    <s v="Anitha"/>
    <s v="Full-Time"/>
    <s v="Good"/>
    <s v="Medium"/>
    <s v="Junior"/>
    <n v="69917"/>
    <s v="Needs Improvement"/>
    <s v="Normal"/>
    <s v="Junior"/>
    <s v="25-34"/>
  </r>
  <r>
    <n v="1072"/>
    <s v="Meena"/>
    <s v="Male"/>
    <n v="43"/>
    <s v="IT"/>
    <s v="Senior Developer"/>
    <x v="4"/>
    <s v="2023-09-04"/>
    <n v="10"/>
    <n v="68253"/>
    <n v="3.4"/>
    <n v="86.6"/>
    <n v="10"/>
    <n v="18"/>
    <n v="8694"/>
    <s v="Anitha"/>
    <s v="Contract"/>
    <s v="Average"/>
    <s v="Medium"/>
    <s v="Senior"/>
    <n v="76947"/>
    <s v="Needs Improvement"/>
    <s v="Normal"/>
    <s v="Senior"/>
    <s v="35-44"/>
  </r>
  <r>
    <n v="1073"/>
    <s v="Sneha"/>
    <s v="Male"/>
    <n v="43"/>
    <s v="Finance"/>
    <s v="Financial Analyst"/>
    <x v="0"/>
    <s v="2019-03-08"/>
    <n v="2"/>
    <n v="70269"/>
    <n v="3.4"/>
    <n v="97.3"/>
    <n v="18"/>
    <n v="48"/>
    <n v="12051"/>
    <s v="Suresh"/>
    <s v="Full-Time"/>
    <s v="Average"/>
    <s v="High"/>
    <s v="Junior"/>
    <n v="82320"/>
    <s v="Excellent"/>
    <s v="Normal"/>
    <s v="Junior"/>
    <s v="35-44"/>
  </r>
  <r>
    <n v="1074"/>
    <s v="Rahul"/>
    <s v="Male"/>
    <n v="36"/>
    <s v="Marketing"/>
    <s v="SEO Analyst"/>
    <x v="3"/>
    <s v="2024-07-01"/>
    <n v="10"/>
    <n v="33374"/>
    <n v="4.5999999999999996"/>
    <n v="87.1"/>
    <n v="18"/>
    <n v="47"/>
    <n v="5816"/>
    <s v="Ramesh"/>
    <s v="Full-Time"/>
    <s v="Excellent"/>
    <s v="Low"/>
    <s v="Senior"/>
    <n v="39190"/>
    <s v="Needs Improvement"/>
    <s v="Normal"/>
    <s v="Senior"/>
    <s v="35-44"/>
  </r>
  <r>
    <n v="1075"/>
    <s v="Nikhil"/>
    <s v="Female"/>
    <n v="25"/>
    <s v="Finance"/>
    <s v="Accountant"/>
    <x v="0"/>
    <s v="2020-06-19"/>
    <n v="5"/>
    <n v="35747"/>
    <n v="3.2"/>
    <n v="93.3"/>
    <n v="16"/>
    <n v="13"/>
    <n v="4019"/>
    <s v="Amit"/>
    <s v="Contract"/>
    <s v="Average"/>
    <s v="Low"/>
    <s v="Mid Level"/>
    <n v="39766"/>
    <s v="Needs Improvement"/>
    <s v="Normal"/>
    <s v="Mid"/>
    <s v="25-34"/>
  </r>
  <r>
    <n v="1076"/>
    <s v="Arjun"/>
    <s v="Female"/>
    <n v="33"/>
    <s v="HR"/>
    <s v="HR Executive"/>
    <x v="3"/>
    <s v="2019-12-19"/>
    <n v="10"/>
    <n v="64096"/>
    <n v="4.8"/>
    <n v="88.9"/>
    <n v="14"/>
    <n v="6"/>
    <n v="10071"/>
    <s v="Amit"/>
    <s v="Contract"/>
    <s v="Excellent"/>
    <s v="Medium"/>
    <s v="Senior"/>
    <n v="74167"/>
    <s v="Needs Improvement"/>
    <s v="Normal"/>
    <s v="Senior"/>
    <s v="25-34"/>
  </r>
  <r>
    <n v="1077"/>
    <s v="Nikhil"/>
    <s v="Male"/>
    <n v="45"/>
    <s v="Sales"/>
    <s v="Sales Manager"/>
    <x v="1"/>
    <s v="2019-11-21"/>
    <n v="8"/>
    <n v="48031"/>
    <n v="3.5"/>
    <n v="85.3"/>
    <n v="5"/>
    <n v="36"/>
    <n v="11623"/>
    <s v="Suresh"/>
    <s v="Contract"/>
    <s v="Average"/>
    <s v="Low"/>
    <s v="Senior"/>
    <n v="59654"/>
    <s v="Needs Improvement"/>
    <s v="Normal"/>
    <s v="Senior"/>
    <s v="45+"/>
  </r>
  <r>
    <n v="1078"/>
    <s v="Anu"/>
    <s v="Male"/>
    <n v="38"/>
    <s v="Sales"/>
    <s v="Sales Executive"/>
    <x v="0"/>
    <s v="2022-06-11"/>
    <n v="3"/>
    <n v="42342"/>
    <n v="4.5999999999999996"/>
    <n v="88.9"/>
    <n v="9"/>
    <n v="38"/>
    <n v="7136"/>
    <s v="Ramesh"/>
    <s v="Full-Time"/>
    <s v="Excellent"/>
    <s v="Low"/>
    <s v="Mid Level"/>
    <n v="49478"/>
    <s v="Needs Improvement"/>
    <s v="Normal"/>
    <s v="Mid"/>
    <s v="35-44"/>
  </r>
  <r>
    <n v="1079"/>
    <s v="Rahul"/>
    <s v="Male"/>
    <n v="31"/>
    <s v="Finance"/>
    <s v="Financial Analyst"/>
    <x v="3"/>
    <s v="2019-10-05"/>
    <n v="1"/>
    <n v="90151"/>
    <n v="2.9"/>
    <n v="82.1"/>
    <n v="19"/>
    <n v="7"/>
    <n v="3766"/>
    <s v="Kavya"/>
    <s v="Full-Time"/>
    <s v="Needs Improvement"/>
    <s v="High"/>
    <s v="Junior"/>
    <n v="93917"/>
    <s v="Needs Improvement"/>
    <s v="Normal"/>
    <s v="Junior"/>
    <s v="25-34"/>
  </r>
  <r>
    <n v="1080"/>
    <s v="Kiran"/>
    <s v="Female"/>
    <n v="43"/>
    <s v="HR"/>
    <s v="HR Manager"/>
    <x v="1"/>
    <s v="2020-12-11"/>
    <n v="7"/>
    <n v="41419"/>
    <n v="4.7"/>
    <n v="94.5"/>
    <n v="3"/>
    <n v="42"/>
    <n v="4911"/>
    <s v="Anitha"/>
    <s v="Contract"/>
    <s v="Excellent"/>
    <s v="Low"/>
    <s v="Senior"/>
    <n v="46330"/>
    <s v="Needs Improvement"/>
    <s v="Normal"/>
    <s v="Senior"/>
    <s v="35-44"/>
  </r>
  <r>
    <n v="1081"/>
    <s v="Ravi"/>
    <s v="Female"/>
    <n v="44"/>
    <s v="HR"/>
    <s v="HR Manager"/>
    <x v="0"/>
    <s v="2020-05-26"/>
    <n v="5"/>
    <n v="33045"/>
    <n v="4.0999999999999996"/>
    <n v="94.5"/>
    <n v="12"/>
    <n v="59"/>
    <n v="9275"/>
    <s v="Kavya"/>
    <s v="Full-Time"/>
    <s v="Good"/>
    <s v="Low"/>
    <s v="Mid Level"/>
    <n v="42320"/>
    <s v="Needs Improvement"/>
    <s v="Normal"/>
    <s v="Mid"/>
    <s v="35-44"/>
  </r>
  <r>
    <n v="1082"/>
    <s v="Sneha"/>
    <s v="Female"/>
    <n v="38"/>
    <s v="Finance"/>
    <s v="Financial Analyst"/>
    <x v="0"/>
    <s v="2021-05-08"/>
    <n v="8"/>
    <n v="76462"/>
    <n v="3.1"/>
    <n v="95.9"/>
    <n v="18"/>
    <n v="13"/>
    <n v="2386"/>
    <s v="Ramesh"/>
    <s v="Contract"/>
    <s v="Average"/>
    <s v="High"/>
    <s v="Senior"/>
    <n v="78848"/>
    <s v="Excellent"/>
    <s v="Normal"/>
    <s v="Senior"/>
    <s v="35-44"/>
  </r>
  <r>
    <n v="1083"/>
    <s v="Keerthi"/>
    <s v="Male"/>
    <n v="35"/>
    <s v="IT"/>
    <s v="Senior Developer"/>
    <x v="2"/>
    <s v="2020-09-30"/>
    <n v="2"/>
    <n v="85692"/>
    <n v="3.3"/>
    <n v="88.9"/>
    <n v="22"/>
    <n v="40"/>
    <n v="5776"/>
    <s v="Ramesh"/>
    <s v="Full-Time"/>
    <s v="Average"/>
    <s v="High"/>
    <s v="Junior"/>
    <n v="91468"/>
    <s v="Needs Improvement"/>
    <s v="High"/>
    <s v="Junior"/>
    <s v="35-44"/>
  </r>
  <r>
    <n v="1084"/>
    <s v="Arjun"/>
    <s v="Male"/>
    <n v="43"/>
    <s v="Finance"/>
    <s v="Financial Analyst"/>
    <x v="1"/>
    <s v="2021-08-22"/>
    <n v="5"/>
    <n v="93460"/>
    <n v="3"/>
    <n v="86.7"/>
    <n v="13"/>
    <n v="49"/>
    <n v="7163"/>
    <s v="Amit"/>
    <s v="Full-Time"/>
    <s v="Average"/>
    <s v="High"/>
    <s v="Mid Level"/>
    <n v="100623"/>
    <s v="Needs Improvement"/>
    <s v="Normal"/>
    <s v="Mid"/>
    <s v="35-44"/>
  </r>
  <r>
    <n v="1085"/>
    <s v="Sai"/>
    <s v="Male"/>
    <n v="34"/>
    <s v="HR"/>
    <s v="HR Manager"/>
    <x v="1"/>
    <s v="2023-01-25"/>
    <n v="0"/>
    <n v="68556"/>
    <n v="3.8"/>
    <n v="84.2"/>
    <n v="7"/>
    <n v="34"/>
    <n v="7045"/>
    <s v="Amit"/>
    <s v="Full-Time"/>
    <s v="Average"/>
    <s v="Medium"/>
    <s v="Junior"/>
    <n v="75601"/>
    <s v="Needs Improvement"/>
    <s v="Normal"/>
    <s v="Junior"/>
    <s v="25-34"/>
  </r>
  <r>
    <n v="1086"/>
    <s v="Arjun"/>
    <s v="Female"/>
    <n v="29"/>
    <s v="IT"/>
    <s v="Software Engineer"/>
    <x v="1"/>
    <s v="2019-02-14"/>
    <n v="5"/>
    <n v="45080"/>
    <n v="3.4"/>
    <n v="89.2"/>
    <n v="16"/>
    <n v="49"/>
    <n v="1191"/>
    <s v="Suresh"/>
    <s v="Contract"/>
    <s v="Average"/>
    <s v="Low"/>
    <s v="Mid Level"/>
    <n v="46271"/>
    <s v="Needs Improvement"/>
    <s v="Normal"/>
    <s v="Mid"/>
    <s v="25-34"/>
  </r>
  <r>
    <n v="1087"/>
    <s v="Deepa"/>
    <s v="Female"/>
    <n v="45"/>
    <s v="HR"/>
    <s v="HR Manager"/>
    <x v="3"/>
    <s v="2021-08-17"/>
    <n v="6"/>
    <n v="50418"/>
    <n v="3.3"/>
    <n v="87.5"/>
    <n v="0"/>
    <n v="18"/>
    <n v="13428"/>
    <s v="Amit"/>
    <s v="Full-Time"/>
    <s v="Average"/>
    <s v="Medium"/>
    <s v="Senior"/>
    <n v="63846"/>
    <s v="Needs Improvement"/>
    <s v="Normal"/>
    <s v="Mid"/>
    <s v="45+"/>
  </r>
  <r>
    <n v="1088"/>
    <s v="Sai"/>
    <s v="Male"/>
    <n v="24"/>
    <s v="HR"/>
    <s v="HR Manager"/>
    <x v="4"/>
    <s v="2018-12-25"/>
    <n v="2"/>
    <n v="77240"/>
    <n v="2.8"/>
    <n v="92.1"/>
    <n v="15"/>
    <n v="51"/>
    <n v="4769"/>
    <s v="Ramesh"/>
    <s v="Full-Time"/>
    <s v="Needs Improvement"/>
    <s v="High"/>
    <s v="Junior"/>
    <n v="82009"/>
    <s v="Needs Improvement"/>
    <s v="Normal"/>
    <s v="Junior"/>
    <s v="20-24"/>
  </r>
  <r>
    <n v="1089"/>
    <s v="Deepa"/>
    <s v="Female"/>
    <n v="22"/>
    <s v="Sales"/>
    <s v="Sales Manager"/>
    <x v="3"/>
    <s v="2020-11-08"/>
    <n v="1"/>
    <n v="38900"/>
    <n v="3.3"/>
    <n v="88.5"/>
    <n v="8"/>
    <n v="31"/>
    <n v="6537"/>
    <s v="Kavya"/>
    <s v="Full-Time"/>
    <s v="Average"/>
    <s v="Low"/>
    <s v="Junior"/>
    <n v="45437"/>
    <s v="Needs Improvement"/>
    <s v="Normal"/>
    <s v="Junior"/>
    <s v="20-24"/>
  </r>
  <r>
    <n v="1090"/>
    <s v="Sneha"/>
    <s v="Female"/>
    <n v="41"/>
    <s v="Sales"/>
    <s v="Sales Manager"/>
    <x v="1"/>
    <s v="2024-02-23"/>
    <n v="5"/>
    <n v="74004"/>
    <n v="3.7"/>
    <n v="82.4"/>
    <n v="22"/>
    <n v="34"/>
    <n v="8469"/>
    <s v="Ramesh"/>
    <s v="Contract"/>
    <s v="Average"/>
    <s v="High"/>
    <s v="Mid Level"/>
    <n v="82473"/>
    <s v="Needs Improvement"/>
    <s v="High"/>
    <s v="Mid"/>
    <s v="35-44"/>
  </r>
  <r>
    <n v="1091"/>
    <s v="Kiran"/>
    <s v="Female"/>
    <n v="29"/>
    <s v="IT"/>
    <s v="Senior Developer"/>
    <x v="4"/>
    <s v="2020-05-19"/>
    <n v="3"/>
    <n v="74619"/>
    <n v="3.1"/>
    <n v="91.2"/>
    <n v="18"/>
    <n v="36"/>
    <n v="11870"/>
    <s v="Kavya"/>
    <s v="Contract"/>
    <s v="Average"/>
    <s v="High"/>
    <s v="Mid Level"/>
    <n v="86489"/>
    <s v="Needs Improvement"/>
    <s v="Normal"/>
    <s v="Mid"/>
    <s v="25-34"/>
  </r>
  <r>
    <n v="1092"/>
    <s v="Pooja"/>
    <s v="Male"/>
    <n v="35"/>
    <s v="Sales"/>
    <s v="Sales Manager"/>
    <x v="3"/>
    <s v="2025-02-24"/>
    <n v="10"/>
    <n v="47939"/>
    <n v="4.9000000000000004"/>
    <n v="97.9"/>
    <n v="9"/>
    <n v="51"/>
    <n v="14442"/>
    <s v="Kavya"/>
    <s v="Full-Time"/>
    <s v="Excellent"/>
    <s v="Low"/>
    <s v="Senior"/>
    <n v="62381"/>
    <s v="Excellent"/>
    <s v="Normal"/>
    <s v="Senior"/>
    <s v="35-44"/>
  </r>
  <r>
    <n v="1093"/>
    <s v="Sonia"/>
    <s v="Male"/>
    <n v="33"/>
    <s v="HR"/>
    <s v="HR Executive"/>
    <x v="1"/>
    <s v="2023-12-22"/>
    <n v="10"/>
    <n v="45898"/>
    <n v="2.6"/>
    <n v="99.3"/>
    <n v="3"/>
    <n v="26"/>
    <n v="11683"/>
    <s v="Ramesh"/>
    <s v="Contract"/>
    <s v="Needs Improvement"/>
    <s v="Low"/>
    <s v="Senior"/>
    <n v="57581"/>
    <s v="Excellent"/>
    <s v="Normal"/>
    <s v="Senior"/>
    <s v="25-34"/>
  </r>
  <r>
    <n v="1094"/>
    <s v="Deepa"/>
    <s v="Female"/>
    <n v="31"/>
    <s v="Sales"/>
    <s v="Sales Executive"/>
    <x v="4"/>
    <s v="2023-08-13"/>
    <n v="2"/>
    <n v="42410"/>
    <n v="2.7"/>
    <n v="88.2"/>
    <n v="7"/>
    <n v="11"/>
    <n v="3038"/>
    <s v="Ramesh"/>
    <s v="Full-Time"/>
    <s v="Needs Improvement"/>
    <s v="Low"/>
    <s v="Junior"/>
    <n v="45448"/>
    <s v="Needs Improvement"/>
    <s v="Normal"/>
    <s v="Junior"/>
    <s v="25-34"/>
  </r>
  <r>
    <n v="1095"/>
    <s v="Harsha"/>
    <s v="Male"/>
    <n v="30"/>
    <s v="Sales"/>
    <s v="Sales Manager"/>
    <x v="4"/>
    <s v="2025-01-25"/>
    <n v="3"/>
    <n v="52642"/>
    <n v="4.9000000000000004"/>
    <n v="89.6"/>
    <n v="9"/>
    <n v="41"/>
    <n v="7720"/>
    <s v="Amit"/>
    <s v="Full-Time"/>
    <s v="Excellent"/>
    <s v="Medium"/>
    <s v="Mid Level"/>
    <n v="60362"/>
    <s v="Needs Improvement"/>
    <s v="Normal"/>
    <s v="Mid"/>
    <s v="25-34"/>
  </r>
  <r>
    <n v="1096"/>
    <s v="Varun"/>
    <s v="Male"/>
    <n v="29"/>
    <s v="HR"/>
    <s v="HR Executive"/>
    <x v="2"/>
    <s v="2020-04-10"/>
    <n v="4"/>
    <n v="33682"/>
    <n v="4.5"/>
    <n v="92"/>
    <n v="21"/>
    <n v="18"/>
    <n v="2851"/>
    <s v="Kavya"/>
    <s v="Contract"/>
    <s v="Excellent"/>
    <s v="Low"/>
    <s v="Mid Level"/>
    <n v="36533"/>
    <s v="Needs Improvement"/>
    <s v="High"/>
    <s v="Mid"/>
    <s v="25-34"/>
  </r>
  <r>
    <n v="1097"/>
    <s v="Deepa"/>
    <s v="Male"/>
    <n v="22"/>
    <s v="Sales"/>
    <s v="Sales Manager"/>
    <x v="2"/>
    <s v="2020-05-17"/>
    <n v="7"/>
    <n v="37271"/>
    <n v="3.4"/>
    <n v="96.4"/>
    <n v="23"/>
    <n v="24"/>
    <n v="7859"/>
    <s v="Suresh"/>
    <s v="Contract"/>
    <s v="Average"/>
    <s v="Low"/>
    <s v="Senior"/>
    <n v="45130"/>
    <s v="Excellent"/>
    <s v="High"/>
    <s v="Senior"/>
    <s v="20-24"/>
  </r>
  <r>
    <n v="1098"/>
    <s v="Manoj"/>
    <s v="Male"/>
    <n v="30"/>
    <s v="Sales"/>
    <s v="Sales Executive"/>
    <x v="3"/>
    <s v="2024-07-14"/>
    <n v="10"/>
    <n v="81961"/>
    <n v="4.2"/>
    <n v="82.4"/>
    <n v="13"/>
    <n v="18"/>
    <n v="2199"/>
    <s v="Suresh"/>
    <s v="Contract"/>
    <s v="Good"/>
    <s v="High"/>
    <s v="Senior"/>
    <n v="84160"/>
    <s v="Needs Improvement"/>
    <s v="Normal"/>
    <s v="Senior"/>
    <s v="25-34"/>
  </r>
  <r>
    <n v="1099"/>
    <s v="Ravi"/>
    <s v="Male"/>
    <n v="40"/>
    <s v="HR"/>
    <s v="HR Executive"/>
    <x v="4"/>
    <s v="2023-05-30"/>
    <n v="0"/>
    <n v="28875"/>
    <n v="4"/>
    <n v="87"/>
    <n v="2"/>
    <n v="43"/>
    <n v="3795"/>
    <s v="Ramesh"/>
    <s v="Contract"/>
    <s v="Good"/>
    <s v="Low"/>
    <s v="Junior"/>
    <n v="32670"/>
    <s v="Needs Improvement"/>
    <s v="Normal"/>
    <s v="Junior"/>
    <s v="35-44"/>
  </r>
  <r>
    <n v="1100"/>
    <s v="Sneha"/>
    <s v="Female"/>
    <n v="37"/>
    <s v="Finance"/>
    <s v="Accountant"/>
    <x v="4"/>
    <s v="2025-03-26"/>
    <n v="4"/>
    <n v="62908"/>
    <n v="4.3"/>
    <n v="97.4"/>
    <n v="17"/>
    <n v="54"/>
    <n v="3314"/>
    <s v="Suresh"/>
    <s v="Contract"/>
    <s v="Good"/>
    <s v="Medium"/>
    <s v="Mid Level"/>
    <n v="66222"/>
    <s v="Excellent"/>
    <s v="Normal"/>
    <s v="Mid"/>
    <s v="35-44"/>
  </r>
  <r>
    <n v="1101"/>
    <s v="Priya"/>
    <s v="Male"/>
    <n v="45"/>
    <s v="IT"/>
    <s v="Senior Developer"/>
    <x v="2"/>
    <s v="2020-09-06"/>
    <n v="1"/>
    <n v="55593"/>
    <n v="3.5"/>
    <n v="82.1"/>
    <n v="1"/>
    <n v="11"/>
    <n v="13609"/>
    <s v="Kavya"/>
    <s v="Contract"/>
    <s v="Average"/>
    <s v="Medium"/>
    <s v="Junior"/>
    <n v="69202"/>
    <s v="Needs Improvement"/>
    <s v="Normal"/>
    <s v="Junior"/>
    <s v="45+"/>
  </r>
  <r>
    <n v="1102"/>
    <s v="Manoj"/>
    <s v="Male"/>
    <n v="30"/>
    <s v="HR"/>
    <s v="HR Executive"/>
    <x v="1"/>
    <s v="2022-05-03"/>
    <n v="7"/>
    <n v="36120"/>
    <n v="4.7"/>
    <n v="87"/>
    <n v="23"/>
    <n v="21"/>
    <n v="1845"/>
    <s v="Ramesh"/>
    <s v="Full-Time"/>
    <s v="Excellent"/>
    <s v="Low"/>
    <s v="Senior"/>
    <n v="37965"/>
    <s v="Needs Improvement"/>
    <s v="High"/>
    <s v="Senior"/>
    <s v="25-34"/>
  </r>
  <r>
    <n v="1103"/>
    <s v="Divya"/>
    <s v="Female"/>
    <n v="32"/>
    <s v="Finance"/>
    <s v="Financial Analyst"/>
    <x v="1"/>
    <s v="2019-11-08"/>
    <n v="9"/>
    <n v="29176"/>
    <n v="3.7"/>
    <n v="91.8"/>
    <n v="4"/>
    <n v="5"/>
    <n v="9698"/>
    <s v="Ramesh"/>
    <s v="Contract"/>
    <s v="Average"/>
    <s v="Low"/>
    <s v="Senior"/>
    <n v="38874"/>
    <s v="Needs Improvement"/>
    <s v="Normal"/>
    <s v="Senior"/>
    <s v="25-34"/>
  </r>
  <r>
    <n v="1104"/>
    <s v="Vijay"/>
    <s v="Male"/>
    <n v="31"/>
    <s v="Sales"/>
    <s v="Sales Manager"/>
    <x v="2"/>
    <s v="2021-06-30"/>
    <n v="1"/>
    <n v="33158"/>
    <n v="2.8"/>
    <n v="91.6"/>
    <n v="18"/>
    <n v="60"/>
    <n v="12647"/>
    <s v="Amit"/>
    <s v="Contract"/>
    <s v="Needs Improvement"/>
    <s v="Low"/>
    <s v="Junior"/>
    <n v="45805"/>
    <s v="Needs Improvement"/>
    <s v="Normal"/>
    <s v="Junior"/>
    <s v="25-34"/>
  </r>
  <r>
    <n v="1105"/>
    <s v="Meena"/>
    <s v="Female"/>
    <n v="30"/>
    <s v="HR"/>
    <s v="HR Manager"/>
    <x v="4"/>
    <s v="2020-07-05"/>
    <n v="0"/>
    <n v="40163"/>
    <n v="4.0999999999999996"/>
    <n v="83.5"/>
    <n v="20"/>
    <n v="57"/>
    <n v="9481"/>
    <s v="Kavya"/>
    <s v="Full-Time"/>
    <s v="Good"/>
    <s v="Low"/>
    <s v="Junior"/>
    <n v="49644"/>
    <s v="Needs Improvement"/>
    <s v="Normal"/>
    <s v="Junior"/>
    <s v="25-34"/>
  </r>
  <r>
    <n v="1106"/>
    <s v="Vijay"/>
    <s v="Female"/>
    <n v="42"/>
    <s v="Marketing"/>
    <s v="SEO Analyst"/>
    <x v="1"/>
    <s v="2018-06-09"/>
    <n v="6"/>
    <n v="35876"/>
    <n v="3.3"/>
    <n v="87"/>
    <n v="18"/>
    <n v="46"/>
    <n v="2609"/>
    <s v="Anitha"/>
    <s v="Contract"/>
    <s v="Average"/>
    <s v="Low"/>
    <s v="Senior"/>
    <n v="38485"/>
    <s v="Needs Improvement"/>
    <s v="Normal"/>
    <s v="Mid"/>
    <s v="35-44"/>
  </r>
  <r>
    <n v="1107"/>
    <s v="Sai"/>
    <s v="Male"/>
    <n v="40"/>
    <s v="Sales"/>
    <s v="Sales Executive"/>
    <x v="3"/>
    <s v="2020-11-05"/>
    <n v="4"/>
    <n v="34875"/>
    <n v="2.9"/>
    <n v="96.1"/>
    <n v="10"/>
    <n v="52"/>
    <n v="13853"/>
    <s v="Suresh"/>
    <s v="Full-Time"/>
    <s v="Needs Improvement"/>
    <s v="Low"/>
    <s v="Mid Level"/>
    <n v="48728"/>
    <s v="Excellent"/>
    <s v="Normal"/>
    <s v="Mid"/>
    <s v="35-44"/>
  </r>
  <r>
    <n v="1108"/>
    <s v="Sonia"/>
    <s v="Male"/>
    <n v="38"/>
    <s v="IT"/>
    <s v="Data Analyst"/>
    <x v="1"/>
    <s v="2022-05-24"/>
    <n v="6"/>
    <n v="49805"/>
    <n v="3.1"/>
    <n v="95.2"/>
    <n v="1"/>
    <n v="33"/>
    <n v="8839"/>
    <s v="Kavya"/>
    <s v="Full-Time"/>
    <s v="Average"/>
    <s v="Low"/>
    <s v="Senior"/>
    <n v="58644"/>
    <s v="Excellent"/>
    <s v="Normal"/>
    <s v="Mid"/>
    <s v="35-44"/>
  </r>
  <r>
    <n v="1109"/>
    <s v="Ajay"/>
    <s v="Female"/>
    <n v="28"/>
    <s v="IT"/>
    <s v="Data Analyst"/>
    <x v="3"/>
    <s v="2021-10-05"/>
    <n v="1"/>
    <n v="36311"/>
    <n v="4.5"/>
    <n v="83.7"/>
    <n v="14"/>
    <n v="41"/>
    <n v="11522"/>
    <s v="Ramesh"/>
    <s v="Contract"/>
    <s v="Excellent"/>
    <s v="Low"/>
    <s v="Junior"/>
    <n v="47833"/>
    <s v="Needs Improvement"/>
    <s v="Normal"/>
    <s v="Junior"/>
    <s v="25-34"/>
  </r>
  <r>
    <n v="1110"/>
    <s v="Sneha"/>
    <s v="Female"/>
    <n v="33"/>
    <s v="Finance"/>
    <s v="Financial Analyst"/>
    <x v="2"/>
    <s v="2018-04-25"/>
    <n v="7"/>
    <n v="92901"/>
    <n v="3.1"/>
    <n v="84.3"/>
    <n v="20"/>
    <n v="53"/>
    <n v="3246"/>
    <s v="Kavya"/>
    <s v="Contract"/>
    <s v="Average"/>
    <s v="High"/>
    <s v="Senior"/>
    <n v="96147"/>
    <s v="Needs Improvement"/>
    <s v="Normal"/>
    <s v="Senior"/>
    <s v="25-34"/>
  </r>
  <r>
    <n v="1111"/>
    <s v="Deepa"/>
    <s v="Male"/>
    <n v="28"/>
    <s v="Marketing"/>
    <s v="SEO Analyst"/>
    <x v="3"/>
    <s v="2019-03-15"/>
    <n v="3"/>
    <n v="34880"/>
    <n v="4.5999999999999996"/>
    <n v="97"/>
    <n v="7"/>
    <n v="30"/>
    <n v="4468"/>
    <s v="Anitha"/>
    <s v="Contract"/>
    <s v="Excellent"/>
    <s v="Low"/>
    <s v="Mid Level"/>
    <n v="39348"/>
    <s v="Excellent"/>
    <s v="Normal"/>
    <s v="Mid"/>
    <s v="25-34"/>
  </r>
  <r>
    <n v="1112"/>
    <s v="Sai"/>
    <s v="Female"/>
    <n v="25"/>
    <s v="Sales"/>
    <s v="Sales Manager"/>
    <x v="2"/>
    <s v="2020-01-22"/>
    <n v="7"/>
    <n v="74173"/>
    <n v="2.8"/>
    <n v="86.4"/>
    <n v="13"/>
    <n v="23"/>
    <n v="2209"/>
    <s v="Kavya"/>
    <s v="Full-Time"/>
    <s v="Needs Improvement"/>
    <s v="High"/>
    <s v="Senior"/>
    <n v="76382"/>
    <s v="Needs Improvement"/>
    <s v="Normal"/>
    <s v="Senior"/>
    <s v="25-34"/>
  </r>
  <r>
    <n v="1113"/>
    <s v="Nikhil"/>
    <s v="Male"/>
    <n v="38"/>
    <s v="HR"/>
    <s v="HR Manager"/>
    <x v="0"/>
    <s v="2020-02-13"/>
    <n v="10"/>
    <n v="64165"/>
    <n v="3.8"/>
    <n v="92.3"/>
    <n v="5"/>
    <n v="60"/>
    <n v="5651"/>
    <s v="Kavya"/>
    <s v="Contract"/>
    <s v="Average"/>
    <s v="Medium"/>
    <s v="Senior"/>
    <n v="69816"/>
    <s v="Needs Improvement"/>
    <s v="Normal"/>
    <s v="Senior"/>
    <s v="35-44"/>
  </r>
  <r>
    <n v="1114"/>
    <s v="Sneha"/>
    <s v="Male"/>
    <n v="22"/>
    <s v="Finance"/>
    <s v="Accountant"/>
    <x v="4"/>
    <s v="2019-07-04"/>
    <n v="7"/>
    <n v="70177"/>
    <n v="3.9"/>
    <n v="91.8"/>
    <n v="0"/>
    <n v="43"/>
    <n v="7839"/>
    <s v="Ramesh"/>
    <s v="Contract"/>
    <s v="Average"/>
    <s v="High"/>
    <s v="Senior"/>
    <n v="78016"/>
    <s v="Needs Improvement"/>
    <s v="Normal"/>
    <s v="Senior"/>
    <s v="20-24"/>
  </r>
  <r>
    <n v="1115"/>
    <s v="Rahul"/>
    <s v="Male"/>
    <n v="33"/>
    <s v="HR"/>
    <s v="HR Executive"/>
    <x v="2"/>
    <s v="2021-09-15"/>
    <n v="2"/>
    <n v="26240"/>
    <n v="3.8"/>
    <n v="88.8"/>
    <n v="9"/>
    <n v="57"/>
    <n v="8189"/>
    <s v="Anitha"/>
    <s v="Full-Time"/>
    <s v="Average"/>
    <s v="Low"/>
    <s v="Junior"/>
    <n v="34429"/>
    <s v="Needs Improvement"/>
    <s v="Normal"/>
    <s v="Junior"/>
    <s v="25-34"/>
  </r>
  <r>
    <n v="1116"/>
    <s v="Kiran"/>
    <s v="Male"/>
    <n v="28"/>
    <s v="Marketing"/>
    <s v="SEO Analyst"/>
    <x v="4"/>
    <s v="2019-03-09"/>
    <n v="5"/>
    <n v="47360"/>
    <n v="2.9"/>
    <n v="87.4"/>
    <n v="11"/>
    <n v="23"/>
    <n v="14765"/>
    <s v="Kavya"/>
    <s v="Full-Time"/>
    <s v="Needs Improvement"/>
    <s v="Low"/>
    <s v="Mid Level"/>
    <n v="62125"/>
    <s v="Needs Improvement"/>
    <s v="Normal"/>
    <s v="Mid"/>
    <s v="25-34"/>
  </r>
  <r>
    <n v="1117"/>
    <s v="Priya"/>
    <s v="Female"/>
    <n v="41"/>
    <s v="IT"/>
    <s v="Data Analyst"/>
    <x v="2"/>
    <s v="2022-09-22"/>
    <n v="10"/>
    <n v="33970"/>
    <n v="4.5"/>
    <n v="91.9"/>
    <n v="6"/>
    <n v="23"/>
    <n v="11012"/>
    <s v="Amit"/>
    <s v="Contract"/>
    <s v="Excellent"/>
    <s v="Low"/>
    <s v="Senior"/>
    <n v="44982"/>
    <s v="Needs Improvement"/>
    <s v="Normal"/>
    <s v="Senior"/>
    <s v="35-44"/>
  </r>
  <r>
    <n v="1118"/>
    <s v="Anu"/>
    <s v="Female"/>
    <n v="38"/>
    <s v="Marketing"/>
    <s v="SEO Analyst"/>
    <x v="1"/>
    <s v="2018-11-29"/>
    <n v="0"/>
    <n v="68512"/>
    <n v="4.9000000000000004"/>
    <n v="85"/>
    <n v="16"/>
    <n v="52"/>
    <n v="2499"/>
    <s v="Kavya"/>
    <s v="Contract"/>
    <s v="Excellent"/>
    <s v="Medium"/>
    <s v="Junior"/>
    <n v="71011"/>
    <s v="Needs Improvement"/>
    <s v="Normal"/>
    <s v="Junior"/>
    <s v="35-44"/>
  </r>
  <r>
    <n v="1119"/>
    <s v="Divya"/>
    <s v="Female"/>
    <n v="29"/>
    <s v="Finance"/>
    <s v="Financial Analyst"/>
    <x v="1"/>
    <s v="2022-12-25"/>
    <n v="2"/>
    <n v="31733"/>
    <n v="3.1"/>
    <n v="90.3"/>
    <n v="14"/>
    <n v="40"/>
    <n v="13482"/>
    <s v="Ramesh"/>
    <s v="Full-Time"/>
    <s v="Average"/>
    <s v="Low"/>
    <s v="Junior"/>
    <n v="45215"/>
    <s v="Needs Improvement"/>
    <s v="Normal"/>
    <s v="Junior"/>
    <s v="25-34"/>
  </r>
  <r>
    <n v="1120"/>
    <s v="Arjun"/>
    <s v="Female"/>
    <n v="27"/>
    <s v="IT"/>
    <s v="Senior Developer"/>
    <x v="3"/>
    <s v="2018-11-18"/>
    <n v="9"/>
    <n v="78787"/>
    <n v="4.7"/>
    <n v="91.7"/>
    <n v="6"/>
    <n v="46"/>
    <n v="4053"/>
    <s v="Suresh"/>
    <s v="Contract"/>
    <s v="Excellent"/>
    <s v="High"/>
    <s v="Senior"/>
    <n v="82840"/>
    <s v="Needs Improvement"/>
    <s v="Normal"/>
    <s v="Senior"/>
    <s v="25-34"/>
  </r>
  <r>
    <n v="1121"/>
    <s v="Sonia"/>
    <s v="Female"/>
    <n v="41"/>
    <s v="HR"/>
    <s v="HR Executive"/>
    <x v="0"/>
    <s v="2024-03-02"/>
    <n v="0"/>
    <n v="82364"/>
    <n v="4.0999999999999996"/>
    <n v="90.4"/>
    <n v="11"/>
    <n v="10"/>
    <n v="14554"/>
    <s v="Amit"/>
    <s v="Contract"/>
    <s v="Good"/>
    <s v="High"/>
    <s v="Junior"/>
    <n v="96918"/>
    <s v="Needs Improvement"/>
    <s v="Normal"/>
    <s v="Junior"/>
    <s v="35-44"/>
  </r>
  <r>
    <n v="1122"/>
    <s v="Anu"/>
    <s v="Male"/>
    <n v="31"/>
    <s v="Finance"/>
    <s v="Accountant"/>
    <x v="3"/>
    <s v="2024-08-25"/>
    <n v="9"/>
    <n v="31057"/>
    <n v="3.7"/>
    <n v="83.9"/>
    <n v="8"/>
    <n v="23"/>
    <n v="4329"/>
    <s v="Kavya"/>
    <s v="Contract"/>
    <s v="Average"/>
    <s v="Low"/>
    <s v="Senior"/>
    <n v="35386"/>
    <s v="Needs Improvement"/>
    <s v="Normal"/>
    <s v="Senior"/>
    <s v="25-34"/>
  </r>
  <r>
    <n v="1123"/>
    <s v="Deepa"/>
    <s v="Female"/>
    <n v="31"/>
    <s v="Marketing"/>
    <s v="SEO Analyst"/>
    <x v="3"/>
    <s v="2018-09-15"/>
    <n v="3"/>
    <n v="38792"/>
    <n v="3.7"/>
    <n v="82.4"/>
    <n v="21"/>
    <n v="10"/>
    <n v="1576"/>
    <s v="Suresh"/>
    <s v="Contract"/>
    <s v="Average"/>
    <s v="Low"/>
    <s v="Mid Level"/>
    <n v="40368"/>
    <s v="Needs Improvement"/>
    <s v="High"/>
    <s v="Mid"/>
    <s v="25-34"/>
  </r>
  <r>
    <n v="1124"/>
    <s v="Sneha"/>
    <s v="Female"/>
    <n v="23"/>
    <s v="Marketing"/>
    <s v="Marketing Executive"/>
    <x v="0"/>
    <s v="2020-07-12"/>
    <n v="5"/>
    <n v="41877"/>
    <n v="4.4000000000000004"/>
    <n v="83.4"/>
    <n v="23"/>
    <n v="54"/>
    <n v="13582"/>
    <s v="Kavya"/>
    <s v="Contract"/>
    <s v="Good"/>
    <s v="Low"/>
    <s v="Mid Level"/>
    <n v="55459"/>
    <s v="Needs Improvement"/>
    <s v="High"/>
    <s v="Mid"/>
    <s v="20-24"/>
  </r>
  <r>
    <n v="1125"/>
    <s v="Manoj"/>
    <s v="Female"/>
    <n v="34"/>
    <s v="Finance"/>
    <s v="Accountant"/>
    <x v="2"/>
    <s v="2022-12-12"/>
    <n v="4"/>
    <n v="68515"/>
    <n v="4.3"/>
    <n v="91.4"/>
    <n v="8"/>
    <n v="23"/>
    <n v="9294"/>
    <s v="Kavya"/>
    <s v="Contract"/>
    <s v="Good"/>
    <s v="Medium"/>
    <s v="Mid Level"/>
    <n v="77809"/>
    <s v="Needs Improvement"/>
    <s v="Normal"/>
    <s v="Mid"/>
    <s v="25-34"/>
  </r>
  <r>
    <n v="1126"/>
    <s v="Pooja"/>
    <s v="Female"/>
    <n v="23"/>
    <s v="HR"/>
    <s v="HR Executive"/>
    <x v="1"/>
    <s v="2022-01-01"/>
    <n v="0"/>
    <n v="59054"/>
    <n v="4"/>
    <n v="91.4"/>
    <n v="23"/>
    <n v="29"/>
    <n v="10051"/>
    <s v="Amit"/>
    <s v="Full-Time"/>
    <s v="Good"/>
    <s v="Medium"/>
    <s v="Junior"/>
    <n v="69105"/>
    <s v="Needs Improvement"/>
    <s v="High"/>
    <s v="Junior"/>
    <s v="20-24"/>
  </r>
  <r>
    <n v="1127"/>
    <s v="Ajay"/>
    <s v="Female"/>
    <n v="25"/>
    <s v="Finance"/>
    <s v="Accountant"/>
    <x v="0"/>
    <s v="2021-08-14"/>
    <n v="3"/>
    <n v="29298"/>
    <n v="2.6"/>
    <n v="88.1"/>
    <n v="7"/>
    <n v="45"/>
    <n v="10356"/>
    <s v="Ramesh"/>
    <s v="Full-Time"/>
    <s v="Needs Improvement"/>
    <s v="Low"/>
    <s v="Mid Level"/>
    <n v="39654"/>
    <s v="Needs Improvement"/>
    <s v="Normal"/>
    <s v="Mid"/>
    <s v="25-34"/>
  </r>
  <r>
    <n v="1128"/>
    <s v="Harsha"/>
    <s v="Female"/>
    <n v="45"/>
    <s v="HR"/>
    <s v="HR Manager"/>
    <x v="3"/>
    <s v="2024-12-25"/>
    <n v="3"/>
    <n v="86024"/>
    <n v="2.7"/>
    <n v="96"/>
    <n v="12"/>
    <n v="5"/>
    <n v="12979"/>
    <s v="Ramesh"/>
    <s v="Full-Time"/>
    <s v="Needs Improvement"/>
    <s v="High"/>
    <s v="Mid Level"/>
    <n v="99003"/>
    <s v="Excellent"/>
    <s v="Normal"/>
    <s v="Mid"/>
    <s v="45+"/>
  </r>
  <r>
    <n v="1129"/>
    <s v="Keerthi"/>
    <s v="Female"/>
    <n v="31"/>
    <s v="IT"/>
    <s v="Senior Developer"/>
    <x v="0"/>
    <s v="2020-04-01"/>
    <n v="2"/>
    <n v="93607"/>
    <n v="2.9"/>
    <n v="83.1"/>
    <n v="1"/>
    <n v="32"/>
    <n v="13869"/>
    <s v="Suresh"/>
    <s v="Full-Time"/>
    <s v="Needs Improvement"/>
    <s v="High"/>
    <s v="Junior"/>
    <n v="107476"/>
    <s v="Needs Improvement"/>
    <s v="Normal"/>
    <s v="Junior"/>
    <s v="25-34"/>
  </r>
  <r>
    <n v="1130"/>
    <s v="Pooja"/>
    <s v="Male"/>
    <n v="23"/>
    <s v="Finance"/>
    <s v="Financial Analyst"/>
    <x v="4"/>
    <s v="2019-12-28"/>
    <n v="4"/>
    <n v="40029"/>
    <n v="3"/>
    <n v="86.8"/>
    <n v="13"/>
    <n v="32"/>
    <n v="1658"/>
    <s v="Ramesh"/>
    <s v="Contract"/>
    <s v="Average"/>
    <s v="Low"/>
    <s v="Mid Level"/>
    <n v="41687"/>
    <s v="Needs Improvement"/>
    <s v="Normal"/>
    <s v="Mid"/>
    <s v="20-24"/>
  </r>
  <r>
    <n v="1131"/>
    <s v="Manoj"/>
    <s v="Female"/>
    <n v="36"/>
    <s v="HR"/>
    <s v="HR Executive"/>
    <x v="1"/>
    <s v="2024-04-28"/>
    <n v="9"/>
    <n v="42752"/>
    <n v="3.9"/>
    <n v="84.2"/>
    <n v="15"/>
    <n v="48"/>
    <n v="7776"/>
    <s v="Kavya"/>
    <s v="Full-Time"/>
    <s v="Average"/>
    <s v="Low"/>
    <s v="Senior"/>
    <n v="50528"/>
    <s v="Needs Improvement"/>
    <s v="Normal"/>
    <s v="Senior"/>
    <s v="35-44"/>
  </r>
  <r>
    <n v="1132"/>
    <s v="Manoj"/>
    <s v="Male"/>
    <n v="42"/>
    <s v="Sales"/>
    <s v="Sales Manager"/>
    <x v="4"/>
    <s v="2022-12-27"/>
    <n v="4"/>
    <n v="54825"/>
    <n v="3.8"/>
    <n v="88.5"/>
    <n v="25"/>
    <n v="51"/>
    <n v="4819"/>
    <s v="Kavya"/>
    <s v="Full-Time"/>
    <s v="Average"/>
    <s v="Medium"/>
    <s v="Mid Level"/>
    <n v="59644"/>
    <s v="Needs Improvement"/>
    <s v="High"/>
    <s v="Mid"/>
    <s v="35-44"/>
  </r>
  <r>
    <n v="1133"/>
    <s v="Nikhil"/>
    <s v="Male"/>
    <n v="44"/>
    <s v="IT"/>
    <s v="Senior Developer"/>
    <x v="3"/>
    <s v="2021-02-25"/>
    <n v="5"/>
    <n v="83614"/>
    <n v="4.9000000000000004"/>
    <n v="90.9"/>
    <n v="10"/>
    <n v="33"/>
    <n v="4684"/>
    <s v="Amit"/>
    <s v="Full-Time"/>
    <s v="Excellent"/>
    <s v="High"/>
    <s v="Mid Level"/>
    <n v="88298"/>
    <s v="Needs Improvement"/>
    <s v="Normal"/>
    <s v="Mid"/>
    <s v="35-44"/>
  </r>
  <r>
    <n v="1134"/>
    <s v="Pooja"/>
    <s v="Male"/>
    <n v="44"/>
    <s v="IT"/>
    <s v="Senior Developer"/>
    <x v="0"/>
    <s v="2018-12-03"/>
    <n v="5"/>
    <n v="89831"/>
    <n v="3.2"/>
    <n v="82.5"/>
    <n v="15"/>
    <n v="20"/>
    <n v="5857"/>
    <s v="Anitha"/>
    <s v="Full-Time"/>
    <s v="Average"/>
    <s v="High"/>
    <s v="Mid Level"/>
    <n v="95688"/>
    <s v="Needs Improvement"/>
    <s v="Normal"/>
    <s v="Mid"/>
    <s v="35-44"/>
  </r>
  <r>
    <n v="1135"/>
    <s v="Varun"/>
    <s v="Female"/>
    <n v="36"/>
    <s v="Sales"/>
    <s v="Sales Executive"/>
    <x v="4"/>
    <s v="2024-09-24"/>
    <n v="8"/>
    <n v="44485"/>
    <n v="3.4"/>
    <n v="96.2"/>
    <n v="25"/>
    <n v="49"/>
    <n v="7797"/>
    <s v="Amit"/>
    <s v="Contract"/>
    <s v="Average"/>
    <s v="Low"/>
    <s v="Senior"/>
    <n v="52282"/>
    <s v="Excellent"/>
    <s v="High"/>
    <s v="Senior"/>
    <s v="35-44"/>
  </r>
  <r>
    <n v="1136"/>
    <s v="Deepa"/>
    <s v="Male"/>
    <n v="29"/>
    <s v="HR"/>
    <s v="HR Manager"/>
    <x v="1"/>
    <s v="2024-06-03"/>
    <n v="1"/>
    <n v="34709"/>
    <n v="3.3"/>
    <n v="87.8"/>
    <n v="10"/>
    <n v="11"/>
    <n v="10571"/>
    <s v="Anitha"/>
    <s v="Full-Time"/>
    <s v="Average"/>
    <s v="Low"/>
    <s v="Junior"/>
    <n v="45280"/>
    <s v="Needs Improvement"/>
    <s v="Normal"/>
    <s v="Junior"/>
    <s v="25-34"/>
  </r>
  <r>
    <n v="1137"/>
    <s v="Sai"/>
    <s v="Female"/>
    <n v="40"/>
    <s v="Marketing"/>
    <s v="SEO Analyst"/>
    <x v="1"/>
    <s v="2019-01-05"/>
    <n v="5"/>
    <n v="79342"/>
    <n v="2.6"/>
    <n v="91.9"/>
    <n v="4"/>
    <n v="49"/>
    <n v="9880"/>
    <s v="Suresh"/>
    <s v="Full-Time"/>
    <s v="Needs Improvement"/>
    <s v="High"/>
    <s v="Mid Level"/>
    <n v="89222"/>
    <s v="Needs Improvement"/>
    <s v="Normal"/>
    <s v="Mid"/>
    <s v="35-44"/>
  </r>
  <r>
    <n v="1138"/>
    <s v="Arjun"/>
    <s v="Male"/>
    <n v="36"/>
    <s v="Finance"/>
    <s v="Accountant"/>
    <x v="2"/>
    <s v="2021-10-17"/>
    <n v="2"/>
    <n v="38881"/>
    <n v="3"/>
    <n v="96"/>
    <n v="19"/>
    <n v="39"/>
    <n v="1814"/>
    <s v="Anitha"/>
    <s v="Full-Time"/>
    <s v="Average"/>
    <s v="Low"/>
    <s v="Junior"/>
    <n v="40695"/>
    <s v="Excellent"/>
    <s v="Normal"/>
    <s v="Junior"/>
    <s v="35-44"/>
  </r>
  <r>
    <n v="1139"/>
    <s v="Priya"/>
    <s v="Female"/>
    <n v="23"/>
    <s v="Marketing"/>
    <s v="Marketing Executive"/>
    <x v="2"/>
    <s v="2020-06-04"/>
    <n v="8"/>
    <n v="72368"/>
    <n v="3.3"/>
    <n v="96.5"/>
    <n v="19"/>
    <n v="32"/>
    <n v="1452"/>
    <s v="Kavya"/>
    <s v="Full-Time"/>
    <s v="Average"/>
    <s v="High"/>
    <s v="Senior"/>
    <n v="73820"/>
    <s v="Excellent"/>
    <s v="Normal"/>
    <s v="Senior"/>
    <s v="20-24"/>
  </r>
  <r>
    <n v="1140"/>
    <s v="Arjun"/>
    <s v="Male"/>
    <n v="27"/>
    <s v="Finance"/>
    <s v="Accountant"/>
    <x v="3"/>
    <s v="2020-11-01"/>
    <n v="2"/>
    <n v="44019"/>
    <n v="3.8"/>
    <n v="87.6"/>
    <n v="7"/>
    <n v="45"/>
    <n v="8835"/>
    <s v="Ramesh"/>
    <s v="Contract"/>
    <s v="Average"/>
    <s v="Low"/>
    <s v="Junior"/>
    <n v="52854"/>
    <s v="Needs Improvement"/>
    <s v="Normal"/>
    <s v="Junior"/>
    <s v="25-34"/>
  </r>
  <r>
    <n v="1141"/>
    <s v="Meena"/>
    <s v="Female"/>
    <n v="43"/>
    <s v="Marketing"/>
    <s v="Marketing Executive"/>
    <x v="0"/>
    <s v="2022-04-05"/>
    <n v="5"/>
    <n v="71175"/>
    <n v="2.8"/>
    <n v="88.6"/>
    <n v="21"/>
    <n v="8"/>
    <n v="4529"/>
    <s v="Ramesh"/>
    <s v="Contract"/>
    <s v="Needs Improvement"/>
    <s v="High"/>
    <s v="Mid Level"/>
    <n v="75704"/>
    <s v="Needs Improvement"/>
    <s v="High"/>
    <s v="Mid"/>
    <s v="35-44"/>
  </r>
  <r>
    <n v="1142"/>
    <s v="Kiran"/>
    <s v="Male"/>
    <n v="33"/>
    <s v="IT"/>
    <s v="Software Engineer"/>
    <x v="4"/>
    <s v="2025-04-21"/>
    <n v="6"/>
    <n v="38937"/>
    <n v="4"/>
    <n v="85.2"/>
    <n v="24"/>
    <n v="37"/>
    <n v="7408"/>
    <s v="Anitha"/>
    <s v="Contract"/>
    <s v="Good"/>
    <s v="Low"/>
    <s v="Senior"/>
    <n v="46345"/>
    <s v="Needs Improvement"/>
    <s v="High"/>
    <s v="Mid"/>
    <s v="25-34"/>
  </r>
  <r>
    <n v="1143"/>
    <s v="Varun"/>
    <s v="Male"/>
    <n v="38"/>
    <s v="HR"/>
    <s v="HR Executive"/>
    <x v="1"/>
    <s v="2024-08-12"/>
    <n v="7"/>
    <n v="92359"/>
    <n v="3.1"/>
    <n v="97.9"/>
    <n v="10"/>
    <n v="38"/>
    <n v="1633"/>
    <s v="Kavya"/>
    <s v="Contract"/>
    <s v="Average"/>
    <s v="High"/>
    <s v="Senior"/>
    <n v="93992"/>
    <s v="Excellent"/>
    <s v="Normal"/>
    <s v="Senior"/>
    <s v="35-44"/>
  </r>
  <r>
    <n v="1144"/>
    <s v="Ravi"/>
    <s v="Male"/>
    <n v="38"/>
    <s v="Finance"/>
    <s v="Financial Analyst"/>
    <x v="3"/>
    <s v="2019-11-22"/>
    <n v="9"/>
    <n v="90158"/>
    <n v="4.9000000000000004"/>
    <n v="84.7"/>
    <n v="4"/>
    <n v="40"/>
    <n v="1832"/>
    <s v="Anitha"/>
    <s v="Full-Time"/>
    <s v="Excellent"/>
    <s v="High"/>
    <s v="Senior"/>
    <n v="91990"/>
    <s v="Needs Improvement"/>
    <s v="Normal"/>
    <s v="Senior"/>
    <s v="35-44"/>
  </r>
  <r>
    <n v="1145"/>
    <s v="Meena"/>
    <s v="Female"/>
    <n v="24"/>
    <s v="HR"/>
    <s v="HR Executive"/>
    <x v="3"/>
    <s v="2018-06-14"/>
    <n v="7"/>
    <n v="57223"/>
    <n v="3.5"/>
    <n v="86.3"/>
    <n v="20"/>
    <n v="6"/>
    <n v="5175"/>
    <s v="Suresh"/>
    <s v="Full-Time"/>
    <s v="Average"/>
    <s v="Medium"/>
    <s v="Senior"/>
    <n v="62398"/>
    <s v="Needs Improvement"/>
    <s v="Normal"/>
    <s v="Senior"/>
    <s v="20-24"/>
  </r>
  <r>
    <n v="1146"/>
    <s v="Ajay"/>
    <s v="Male"/>
    <n v="22"/>
    <s v="Sales"/>
    <s v="Sales Manager"/>
    <x v="0"/>
    <s v="2022-09-03"/>
    <n v="2"/>
    <n v="82785"/>
    <n v="4.3"/>
    <n v="92.3"/>
    <n v="11"/>
    <n v="51"/>
    <n v="6315"/>
    <s v="Suresh"/>
    <s v="Contract"/>
    <s v="Good"/>
    <s v="High"/>
    <s v="Junior"/>
    <n v="89100"/>
    <s v="Needs Improvement"/>
    <s v="Normal"/>
    <s v="Junior"/>
    <s v="20-24"/>
  </r>
  <r>
    <n v="1147"/>
    <s v="Priya"/>
    <s v="Male"/>
    <n v="24"/>
    <s v="IT"/>
    <s v="Senior Developer"/>
    <x v="2"/>
    <s v="2018-10-28"/>
    <n v="7"/>
    <n v="72005"/>
    <n v="4.5"/>
    <n v="91"/>
    <n v="24"/>
    <n v="48"/>
    <n v="9218"/>
    <s v="Kavya"/>
    <s v="Contract"/>
    <s v="Excellent"/>
    <s v="High"/>
    <s v="Senior"/>
    <n v="81223"/>
    <s v="Needs Improvement"/>
    <s v="High"/>
    <s v="Senior"/>
    <s v="20-24"/>
  </r>
  <r>
    <n v="1148"/>
    <s v="Sonia"/>
    <s v="Female"/>
    <n v="44"/>
    <s v="Marketing"/>
    <s v="Marketing Executive"/>
    <x v="2"/>
    <s v="2020-03-19"/>
    <n v="0"/>
    <n v="78424"/>
    <n v="4.4000000000000004"/>
    <n v="93.5"/>
    <n v="7"/>
    <n v="48"/>
    <n v="3696"/>
    <s v="Anitha"/>
    <s v="Full-Time"/>
    <s v="Good"/>
    <s v="High"/>
    <s v="Junior"/>
    <n v="82120"/>
    <s v="Needs Improvement"/>
    <s v="Normal"/>
    <s v="Junior"/>
    <s v="35-44"/>
  </r>
  <r>
    <n v="1149"/>
    <s v="Divya"/>
    <s v="Male"/>
    <n v="32"/>
    <s v="HR"/>
    <s v="HR Executive"/>
    <x v="2"/>
    <s v="2023-08-25"/>
    <n v="3"/>
    <m/>
    <n v="4.5999999999999996"/>
    <n v="84"/>
    <n v="20"/>
    <n v="10"/>
    <n v="13911"/>
    <s v="Suresh"/>
    <s v="Full-Time"/>
    <s v="Excellent"/>
    <s v="Medium"/>
    <s v="Mid Level"/>
    <n v="13911"/>
    <s v="Needs Improvement"/>
    <s v="Normal"/>
    <s v="Mid"/>
    <s v="25-34"/>
  </r>
  <r>
    <n v="1150"/>
    <s v="Varun"/>
    <s v="Male"/>
    <n v="33"/>
    <s v="Sales"/>
    <s v="Sales Executive"/>
    <x v="2"/>
    <s v="2018-06-10"/>
    <n v="0"/>
    <n v="51343"/>
    <n v="3.7"/>
    <n v="91.4"/>
    <n v="12"/>
    <n v="23"/>
    <n v="10627"/>
    <s v="Anitha"/>
    <s v="Full-Time"/>
    <s v="Average"/>
    <s v="Medium"/>
    <s v="Junior"/>
    <n v="61970"/>
    <s v="Needs Improvement"/>
    <s v="Normal"/>
    <s v="Junior"/>
    <s v="25-34"/>
  </r>
  <r>
    <n v="1151"/>
    <s v="Ravi"/>
    <s v="Male"/>
    <n v="44"/>
    <s v="HR"/>
    <s v="HR Executive"/>
    <x v="1"/>
    <s v="2019-06-25"/>
    <n v="4"/>
    <n v="33666"/>
    <n v="2.7"/>
    <n v="82.2"/>
    <n v="13"/>
    <n v="16"/>
    <n v="12254"/>
    <s v="Ramesh"/>
    <s v="Contract"/>
    <s v="Needs Improvement"/>
    <s v="Low"/>
    <s v="Mid Level"/>
    <n v="45920"/>
    <s v="Needs Improvement"/>
    <s v="Normal"/>
    <s v="Mid"/>
    <s v="35-44"/>
  </r>
  <r>
    <n v="1152"/>
    <s v="Sai"/>
    <s v="Female"/>
    <n v="45"/>
    <s v="Marketing"/>
    <s v="SEO Analyst"/>
    <x v="2"/>
    <s v="2018-11-03"/>
    <n v="2"/>
    <n v="60864"/>
    <n v="4.0999999999999996"/>
    <n v="88.6"/>
    <n v="8"/>
    <n v="10"/>
    <n v="9841"/>
    <s v="Kavya"/>
    <s v="Contract"/>
    <s v="Good"/>
    <s v="Medium"/>
    <s v="Junior"/>
    <n v="70705"/>
    <s v="Needs Improvement"/>
    <s v="Normal"/>
    <s v="Junior"/>
    <s v="45+"/>
  </r>
  <r>
    <n v="1153"/>
    <s v="Meena"/>
    <s v="Male"/>
    <n v="44"/>
    <s v="HR"/>
    <s v="HR Executive"/>
    <x v="0"/>
    <s v="2020-03-23"/>
    <n v="6"/>
    <n v="47595"/>
    <n v="3.5"/>
    <n v="97.3"/>
    <n v="11"/>
    <n v="35"/>
    <n v="10669"/>
    <s v="Ramesh"/>
    <s v="Full-Time"/>
    <s v="Average"/>
    <s v="Low"/>
    <s v="Senior"/>
    <n v="58264"/>
    <s v="Excellent"/>
    <s v="Normal"/>
    <s v="Mid"/>
    <s v="35-44"/>
  </r>
  <r>
    <n v="1154"/>
    <s v="Divya"/>
    <s v="Female"/>
    <n v="41"/>
    <s v="Finance"/>
    <s v="Financial Analyst"/>
    <x v="2"/>
    <s v="2023-07-31"/>
    <n v="9"/>
    <n v="34143"/>
    <n v="4.0999999999999996"/>
    <n v="97"/>
    <n v="19"/>
    <n v="32"/>
    <n v="13477"/>
    <s v="Ramesh"/>
    <s v="Contract"/>
    <s v="Good"/>
    <s v="Low"/>
    <s v="Senior"/>
    <n v="47620"/>
    <s v="Excellent"/>
    <s v="Normal"/>
    <s v="Senior"/>
    <s v="35-44"/>
  </r>
  <r>
    <n v="1155"/>
    <s v="Ravi"/>
    <s v="Male"/>
    <n v="29"/>
    <s v="Sales"/>
    <s v="Sales Executive"/>
    <x v="0"/>
    <s v="2022-03-16"/>
    <n v="8"/>
    <n v="46062"/>
    <n v="3.9"/>
    <n v="83"/>
    <n v="21"/>
    <n v="33"/>
    <n v="5725"/>
    <s v="Kavya"/>
    <s v="Contract"/>
    <s v="Average"/>
    <s v="Low"/>
    <s v="Senior"/>
    <n v="51787"/>
    <s v="Needs Improvement"/>
    <s v="High"/>
    <s v="Senior"/>
    <s v="25-34"/>
  </r>
  <r>
    <n v="1156"/>
    <s v="Sonia"/>
    <s v="Female"/>
    <n v="45"/>
    <s v="HR"/>
    <s v="HR Executive"/>
    <x v="1"/>
    <s v="2021-08-05"/>
    <n v="0"/>
    <n v="75680"/>
    <n v="4.8"/>
    <n v="86.7"/>
    <n v="23"/>
    <n v="30"/>
    <n v="12986"/>
    <s v="Anitha"/>
    <s v="Contract"/>
    <s v="Excellent"/>
    <s v="High"/>
    <s v="Junior"/>
    <n v="88666"/>
    <s v="Needs Improvement"/>
    <s v="High"/>
    <s v="Junior"/>
    <s v="45+"/>
  </r>
  <r>
    <n v="1157"/>
    <s v="Arjun"/>
    <s v="Male"/>
    <n v="36"/>
    <s v="Sales"/>
    <s v="Sales Executive"/>
    <x v="2"/>
    <s v="2020-10-09"/>
    <n v="9"/>
    <n v="60170"/>
    <n v="4.4000000000000004"/>
    <n v="98.5"/>
    <n v="13"/>
    <n v="34"/>
    <n v="5571"/>
    <s v="Ramesh"/>
    <s v="Full-Time"/>
    <s v="Good"/>
    <s v="Medium"/>
    <s v="Senior"/>
    <n v="65741"/>
    <s v="Excellent"/>
    <s v="Normal"/>
    <s v="Senior"/>
    <s v="35-44"/>
  </r>
  <r>
    <n v="1158"/>
    <s v="Anu"/>
    <s v="Female"/>
    <n v="24"/>
    <s v="IT"/>
    <s v="Data Analyst"/>
    <x v="0"/>
    <s v="2022-03-10"/>
    <n v="1"/>
    <n v="32255"/>
    <n v="4.7"/>
    <n v="84"/>
    <n v="17"/>
    <n v="5"/>
    <n v="9293"/>
    <s v="Anitha"/>
    <s v="Full-Time"/>
    <s v="Excellent"/>
    <s v="Low"/>
    <s v="Junior"/>
    <n v="41548"/>
    <s v="Needs Improvement"/>
    <s v="Normal"/>
    <s v="Junior"/>
    <s v="20-24"/>
  </r>
  <r>
    <n v="1159"/>
    <s v="Ravi"/>
    <s v="Male"/>
    <n v="44"/>
    <s v="HR"/>
    <s v="HR Manager"/>
    <x v="0"/>
    <s v="2018-03-17"/>
    <n v="9"/>
    <n v="64556"/>
    <n v="3.4"/>
    <n v="93.6"/>
    <n v="23"/>
    <n v="50"/>
    <n v="14983"/>
    <s v="Suresh"/>
    <s v="Full-Time"/>
    <s v="Average"/>
    <s v="Medium"/>
    <s v="Senior"/>
    <n v="79539"/>
    <s v="Needs Improvement"/>
    <s v="High"/>
    <s v="Senior"/>
    <s v="35-44"/>
  </r>
  <r>
    <n v="1160"/>
    <s v="Arjun"/>
    <s v="Female"/>
    <n v="23"/>
    <s v="IT"/>
    <s v="Software Engineer"/>
    <x v="4"/>
    <s v="2025-01-26"/>
    <n v="6"/>
    <n v="80669"/>
    <n v="4.3"/>
    <n v="90.5"/>
    <n v="18"/>
    <n v="46"/>
    <n v="12315"/>
    <s v="Amit"/>
    <s v="Full-Time"/>
    <s v="Good"/>
    <s v="High"/>
    <s v="Senior"/>
    <n v="92984"/>
    <s v="Needs Improvement"/>
    <s v="Normal"/>
    <s v="Mid"/>
    <s v="20-24"/>
  </r>
  <r>
    <n v="1161"/>
    <s v="Deepa"/>
    <s v="Male"/>
    <n v="44"/>
    <s v="Marketing"/>
    <s v="Marketing Executive"/>
    <x v="1"/>
    <s v="2024-05-17"/>
    <n v="0"/>
    <n v="84316"/>
    <n v="4.2"/>
    <n v="92.8"/>
    <n v="7"/>
    <n v="28"/>
    <n v="2810"/>
    <s v="Anitha"/>
    <s v="Full-Time"/>
    <s v="Good"/>
    <s v="High"/>
    <s v="Junior"/>
    <n v="87126"/>
    <s v="Needs Improvement"/>
    <s v="Normal"/>
    <s v="Junior"/>
    <s v="35-44"/>
  </r>
  <r>
    <n v="1162"/>
    <s v="Meena"/>
    <s v="Female"/>
    <n v="37"/>
    <s v="Sales"/>
    <s v="Sales Executive"/>
    <x v="3"/>
    <s v="2018-10-06"/>
    <n v="1"/>
    <n v="30983"/>
    <n v="4.7"/>
    <n v="89.7"/>
    <n v="7"/>
    <n v="25"/>
    <n v="7857"/>
    <s v="Kavya"/>
    <s v="Full-Time"/>
    <s v="Excellent"/>
    <s v="Low"/>
    <s v="Junior"/>
    <n v="38840"/>
    <s v="Needs Improvement"/>
    <s v="Normal"/>
    <s v="Junior"/>
    <s v="35-44"/>
  </r>
  <r>
    <n v="1163"/>
    <s v="Manoj"/>
    <s v="Female"/>
    <n v="23"/>
    <s v="HR"/>
    <s v="HR Manager"/>
    <x v="2"/>
    <s v="2021-06-06"/>
    <n v="4"/>
    <n v="43099"/>
    <n v="3.3"/>
    <n v="89.2"/>
    <n v="22"/>
    <n v="56"/>
    <n v="9346"/>
    <s v="Anitha"/>
    <s v="Full-Time"/>
    <s v="Average"/>
    <s v="Low"/>
    <s v="Mid Level"/>
    <n v="52445"/>
    <s v="Needs Improvement"/>
    <s v="High"/>
    <s v="Mid"/>
    <s v="20-24"/>
  </r>
  <r>
    <n v="1164"/>
    <s v="Anu"/>
    <s v="Male"/>
    <n v="42"/>
    <s v="Sales"/>
    <s v="Sales Executive"/>
    <x v="2"/>
    <s v="2022-12-24"/>
    <n v="8"/>
    <n v="38470"/>
    <n v="4.9000000000000004"/>
    <n v="91.6"/>
    <n v="17"/>
    <n v="11"/>
    <n v="3675"/>
    <s v="Kavya"/>
    <s v="Full-Time"/>
    <s v="Excellent"/>
    <s v="Low"/>
    <s v="Senior"/>
    <n v="42145"/>
    <s v="Needs Improvement"/>
    <s v="Normal"/>
    <s v="Senior"/>
    <s v="35-44"/>
  </r>
  <r>
    <n v="1165"/>
    <s v="Manoj"/>
    <s v="Female"/>
    <n v="22"/>
    <s v="Finance"/>
    <s v="Accountant"/>
    <x v="0"/>
    <s v="2019-09-30"/>
    <n v="5"/>
    <n v="76144"/>
    <n v="4.2"/>
    <n v="85.4"/>
    <n v="21"/>
    <n v="33"/>
    <n v="9190"/>
    <s v="Ramesh"/>
    <s v="Contract"/>
    <s v="Good"/>
    <s v="High"/>
    <s v="Mid Level"/>
    <n v="85334"/>
    <s v="Needs Improvement"/>
    <s v="High"/>
    <s v="Mid"/>
    <s v="20-24"/>
  </r>
  <r>
    <n v="1166"/>
    <s v="Rahul"/>
    <s v="Female"/>
    <n v="44"/>
    <s v="Finance"/>
    <s v="Accountant"/>
    <x v="2"/>
    <s v="2018-06-19"/>
    <n v="3"/>
    <n v="73794"/>
    <n v="3.5"/>
    <n v="85.5"/>
    <n v="8"/>
    <n v="14"/>
    <n v="3412"/>
    <s v="Suresh"/>
    <s v="Contract"/>
    <s v="Average"/>
    <s v="High"/>
    <s v="Mid Level"/>
    <n v="77206"/>
    <s v="Needs Improvement"/>
    <s v="Normal"/>
    <s v="Mid"/>
    <s v="35-44"/>
  </r>
  <r>
    <n v="1167"/>
    <s v="Meena"/>
    <s v="Male"/>
    <n v="26"/>
    <s v="IT"/>
    <s v="Senior Developer"/>
    <x v="2"/>
    <s v="2021-06-03"/>
    <n v="4"/>
    <n v="85088"/>
    <n v="4.3"/>
    <n v="95.7"/>
    <n v="22"/>
    <n v="22"/>
    <n v="12226"/>
    <s v="Amit"/>
    <s v="Contract"/>
    <s v="Good"/>
    <s v="High"/>
    <s v="Mid Level"/>
    <n v="97314"/>
    <s v="Excellent"/>
    <s v="High"/>
    <s v="Mid"/>
    <s v="25-34"/>
  </r>
  <r>
    <n v="1168"/>
    <s v="Ravi"/>
    <s v="Male"/>
    <n v="31"/>
    <s v="HR"/>
    <s v="HR Executive"/>
    <x v="4"/>
    <s v="2018-11-01"/>
    <n v="0"/>
    <n v="79267"/>
    <n v="3.6"/>
    <n v="96.7"/>
    <n v="11"/>
    <n v="19"/>
    <n v="7340"/>
    <s v="Anitha"/>
    <s v="Full-Time"/>
    <s v="Average"/>
    <s v="High"/>
    <s v="Junior"/>
    <n v="86607"/>
    <s v="Excellent"/>
    <s v="Normal"/>
    <s v="Junior"/>
    <s v="25-34"/>
  </r>
  <r>
    <n v="1169"/>
    <s v="Arjun"/>
    <s v="Female"/>
    <n v="30"/>
    <s v="Finance"/>
    <s v="Financial Analyst"/>
    <x v="0"/>
    <s v="2018-06-24"/>
    <n v="2"/>
    <n v="62607"/>
    <n v="3.1"/>
    <n v="95.3"/>
    <n v="19"/>
    <n v="54"/>
    <n v="12497"/>
    <s v="Suresh"/>
    <s v="Contract"/>
    <s v="Average"/>
    <s v="Medium"/>
    <s v="Junior"/>
    <n v="75104"/>
    <s v="Excellent"/>
    <s v="Normal"/>
    <s v="Junior"/>
    <s v="25-34"/>
  </r>
  <r>
    <n v="1170"/>
    <s v="Priya"/>
    <s v="Male"/>
    <n v="38"/>
    <s v="Finance"/>
    <s v="Financial Analyst"/>
    <x v="3"/>
    <s v="2024-10-30"/>
    <n v="4"/>
    <n v="93456"/>
    <n v="4.8"/>
    <n v="83.8"/>
    <n v="10"/>
    <n v="17"/>
    <n v="8355"/>
    <s v="Ramesh"/>
    <s v="Contract"/>
    <s v="Excellent"/>
    <s v="High"/>
    <s v="Mid Level"/>
    <n v="101811"/>
    <s v="Needs Improvement"/>
    <s v="Normal"/>
    <s v="Mid"/>
    <s v="35-44"/>
  </r>
  <r>
    <n v="1171"/>
    <s v="Divya"/>
    <s v="Female"/>
    <n v="31"/>
    <s v="Finance"/>
    <s v="Financial Analyst"/>
    <x v="2"/>
    <s v="2021-05-29"/>
    <n v="5"/>
    <n v="27618"/>
    <n v="4.9000000000000004"/>
    <n v="82.5"/>
    <n v="22"/>
    <n v="9"/>
    <n v="4477"/>
    <s v="Kavya"/>
    <s v="Full-Time"/>
    <s v="Excellent"/>
    <s v="Low"/>
    <s v="Mid Level"/>
    <n v="32095"/>
    <s v="Needs Improvement"/>
    <s v="High"/>
    <s v="Mid"/>
    <s v="25-34"/>
  </r>
  <r>
    <n v="1172"/>
    <s v="Ravi"/>
    <s v="Female"/>
    <n v="35"/>
    <s v="IT"/>
    <s v="Software Engineer"/>
    <x v="4"/>
    <s v="2022-05-12"/>
    <n v="4"/>
    <n v="78972"/>
    <n v="4.5999999999999996"/>
    <n v="82.4"/>
    <n v="13"/>
    <n v="35"/>
    <n v="5732"/>
    <s v="Suresh"/>
    <s v="Full-Time"/>
    <s v="Excellent"/>
    <s v="High"/>
    <s v="Mid Level"/>
    <n v="84704"/>
    <s v="Needs Improvement"/>
    <s v="Normal"/>
    <s v="Mid"/>
    <s v="35-44"/>
  </r>
  <r>
    <n v="1173"/>
    <s v="Arjun"/>
    <s v="Male"/>
    <n v="37"/>
    <s v="Finance"/>
    <s v="Accountant"/>
    <x v="2"/>
    <s v="2022-05-13"/>
    <n v="10"/>
    <n v="73842"/>
    <n v="3"/>
    <n v="89.7"/>
    <n v="13"/>
    <n v="13"/>
    <n v="14332"/>
    <s v="Anitha"/>
    <s v="Contract"/>
    <s v="Average"/>
    <s v="High"/>
    <s v="Senior"/>
    <n v="88174"/>
    <s v="Needs Improvement"/>
    <s v="Normal"/>
    <s v="Senior"/>
    <s v="35-44"/>
  </r>
  <r>
    <n v="1174"/>
    <s v="Keerthi"/>
    <s v="Male"/>
    <n v="33"/>
    <s v="Finance"/>
    <s v="Financial Analyst"/>
    <x v="0"/>
    <s v="2022-11-12"/>
    <n v="0"/>
    <n v="60041"/>
    <n v="2.6"/>
    <n v="86.8"/>
    <n v="17"/>
    <n v="39"/>
    <n v="4129"/>
    <s v="Suresh"/>
    <s v="Contract"/>
    <s v="Needs Improvement"/>
    <s v="Medium"/>
    <s v="Junior"/>
    <n v="64170"/>
    <s v="Needs Improvement"/>
    <s v="Normal"/>
    <s v="Junior"/>
    <s v="25-34"/>
  </r>
  <r>
    <n v="1175"/>
    <s v="Harsha"/>
    <s v="Female"/>
    <n v="37"/>
    <s v="HR"/>
    <s v="HR Executive"/>
    <x v="4"/>
    <s v="2018-01-06"/>
    <n v="1"/>
    <n v="78504"/>
    <n v="3.4"/>
    <n v="91.5"/>
    <n v="20"/>
    <n v="44"/>
    <n v="8975"/>
    <s v="Amit"/>
    <s v="Full-Time"/>
    <s v="Average"/>
    <s v="High"/>
    <s v="Junior"/>
    <n v="87479"/>
    <s v="Needs Improvement"/>
    <s v="Normal"/>
    <s v="Junior"/>
    <s v="35-44"/>
  </r>
  <r>
    <n v="1176"/>
    <s v="Rahul"/>
    <s v="Female"/>
    <n v="31"/>
    <s v="HR"/>
    <s v="HR Manager"/>
    <x v="1"/>
    <s v="2020-01-17"/>
    <n v="9"/>
    <n v="50086"/>
    <n v="5"/>
    <n v="90.4"/>
    <n v="12"/>
    <n v="6"/>
    <n v="13494"/>
    <s v="Ramesh"/>
    <s v="Contract"/>
    <s v="Excellent"/>
    <s v="Medium"/>
    <s v="Senior"/>
    <n v="63580"/>
    <s v="Needs Improvement"/>
    <s v="Normal"/>
    <s v="Senior"/>
    <s v="25-34"/>
  </r>
  <r>
    <n v="1177"/>
    <s v="Divya"/>
    <s v="Male"/>
    <n v="41"/>
    <s v="IT"/>
    <s v="Data Analyst"/>
    <x v="4"/>
    <s v="2020-04-11"/>
    <n v="1"/>
    <n v="55080"/>
    <n v="3.6"/>
    <n v="90.6"/>
    <n v="16"/>
    <n v="20"/>
    <n v="4064"/>
    <s v="Anitha"/>
    <s v="Full-Time"/>
    <s v="Average"/>
    <s v="Medium"/>
    <s v="Junior"/>
    <n v="59144"/>
    <s v="Needs Improvement"/>
    <s v="Normal"/>
    <s v="Junior"/>
    <s v="35-44"/>
  </r>
  <r>
    <n v="1178"/>
    <s v="Arjun"/>
    <s v="Male"/>
    <n v="23"/>
    <s v="IT"/>
    <s v="Data Analyst"/>
    <x v="1"/>
    <s v="2023-03-31"/>
    <n v="6"/>
    <n v="61702"/>
    <n v="4.7"/>
    <n v="94.7"/>
    <n v="8"/>
    <n v="28"/>
    <n v="1180"/>
    <s v="Kavya"/>
    <s v="Contract"/>
    <s v="Excellent"/>
    <s v="Medium"/>
    <s v="Senior"/>
    <n v="62882"/>
    <s v="Needs Improvement"/>
    <s v="Normal"/>
    <s v="Mid"/>
    <s v="20-24"/>
  </r>
  <r>
    <n v="1179"/>
    <s v="Deepa"/>
    <s v="Male"/>
    <n v="39"/>
    <s v="Sales"/>
    <s v="Sales Executive"/>
    <x v="3"/>
    <s v="2018-06-19"/>
    <n v="1"/>
    <n v="35829"/>
    <n v="3.6"/>
    <n v="88"/>
    <n v="13"/>
    <n v="39"/>
    <n v="13720"/>
    <s v="Amit"/>
    <s v="Contract"/>
    <s v="Average"/>
    <s v="Low"/>
    <s v="Junior"/>
    <n v="49549"/>
    <s v="Needs Improvement"/>
    <s v="Normal"/>
    <s v="Junior"/>
    <s v="35-44"/>
  </r>
  <r>
    <n v="1180"/>
    <s v="Rahul"/>
    <s v="Female"/>
    <n v="40"/>
    <s v="Finance"/>
    <s v="Financial Analyst"/>
    <x v="0"/>
    <s v="2018-07-06"/>
    <n v="5"/>
    <n v="50544"/>
    <n v="3.7"/>
    <n v="91.9"/>
    <n v="14"/>
    <n v="26"/>
    <n v="5274"/>
    <s v="Ramesh"/>
    <s v="Contract"/>
    <s v="Average"/>
    <s v="Medium"/>
    <s v="Mid Level"/>
    <n v="55818"/>
    <s v="Needs Improvement"/>
    <s v="Normal"/>
    <s v="Mid"/>
    <s v="35-44"/>
  </r>
  <r>
    <n v="1181"/>
    <s v="Rahul"/>
    <s v="Male"/>
    <n v="28"/>
    <s v="IT"/>
    <s v="Senior Developer"/>
    <x v="4"/>
    <s v="2021-10-18"/>
    <n v="6"/>
    <n v="45471"/>
    <n v="3.1"/>
    <n v="87.2"/>
    <n v="8"/>
    <n v="52"/>
    <n v="1547"/>
    <s v="Kavya"/>
    <s v="Contract"/>
    <s v="Average"/>
    <s v="Low"/>
    <s v="Senior"/>
    <n v="47018"/>
    <s v="Needs Improvement"/>
    <s v="Normal"/>
    <s v="Mid"/>
    <s v="25-34"/>
  </r>
  <r>
    <n v="1182"/>
    <s v="Sonia"/>
    <s v="Male"/>
    <n v="29"/>
    <s v="Marketing"/>
    <s v="SEO Analyst"/>
    <x v="4"/>
    <s v="2022-12-28"/>
    <n v="9"/>
    <n v="36777"/>
    <n v="2.6"/>
    <n v="93.2"/>
    <n v="12"/>
    <n v="38"/>
    <n v="9921"/>
    <s v="Kavya"/>
    <s v="Full-Time"/>
    <s v="Needs Improvement"/>
    <s v="Low"/>
    <s v="Senior"/>
    <n v="46698"/>
    <s v="Needs Improvement"/>
    <s v="Normal"/>
    <s v="Senior"/>
    <s v="25-34"/>
  </r>
  <r>
    <n v="1183"/>
    <s v="Ajay"/>
    <s v="Male"/>
    <n v="34"/>
    <s v="Sales"/>
    <s v="Sales Executive"/>
    <x v="3"/>
    <s v="2023-03-02"/>
    <n v="7"/>
    <n v="67631"/>
    <n v="4.4000000000000004"/>
    <n v="94.6"/>
    <n v="10"/>
    <n v="22"/>
    <n v="8138"/>
    <s v="Suresh"/>
    <s v="Full-Time"/>
    <s v="Good"/>
    <s v="Medium"/>
    <s v="Senior"/>
    <n v="75769"/>
    <s v="Needs Improvement"/>
    <s v="Normal"/>
    <s v="Senior"/>
    <s v="25-34"/>
  </r>
  <r>
    <n v="1184"/>
    <s v="Sai"/>
    <s v="Female"/>
    <n v="25"/>
    <s v="Finance"/>
    <s v="Financial Analyst"/>
    <x v="4"/>
    <s v="2023-03-26"/>
    <n v="1"/>
    <n v="49798"/>
    <n v="4.4000000000000004"/>
    <n v="92.4"/>
    <n v="13"/>
    <n v="37"/>
    <n v="4493"/>
    <s v="Amit"/>
    <s v="Contract"/>
    <s v="Good"/>
    <s v="Low"/>
    <s v="Junior"/>
    <n v="54291"/>
    <s v="Needs Improvement"/>
    <s v="Normal"/>
    <s v="Junior"/>
    <s v="25-34"/>
  </r>
  <r>
    <n v="1185"/>
    <s v="Sai"/>
    <s v="Female"/>
    <n v="42"/>
    <s v="Sales"/>
    <s v="Sales Manager"/>
    <x v="4"/>
    <s v="2019-05-17"/>
    <n v="5"/>
    <n v="92757"/>
    <n v="3.3"/>
    <n v="84.1"/>
    <n v="25"/>
    <n v="32"/>
    <n v="2597"/>
    <s v="Anitha"/>
    <s v="Contract"/>
    <s v="Average"/>
    <s v="High"/>
    <s v="Mid Level"/>
    <n v="95354"/>
    <s v="Needs Improvement"/>
    <s v="High"/>
    <s v="Mid"/>
    <s v="35-44"/>
  </r>
  <r>
    <n v="1186"/>
    <s v="Arjun"/>
    <s v="Male"/>
    <n v="44"/>
    <s v="Finance"/>
    <s v="Accountant"/>
    <x v="0"/>
    <s v="2022-10-15"/>
    <n v="0"/>
    <n v="47487"/>
    <n v="4.8"/>
    <n v="90.4"/>
    <n v="9"/>
    <n v="30"/>
    <n v="12142"/>
    <s v="Kavya"/>
    <s v="Full-Time"/>
    <s v="Excellent"/>
    <s v="Low"/>
    <s v="Junior"/>
    <n v="59629"/>
    <s v="Needs Improvement"/>
    <s v="Normal"/>
    <s v="Junior"/>
    <s v="35-44"/>
  </r>
  <r>
    <n v="1187"/>
    <s v="Meena"/>
    <s v="Female"/>
    <n v="40"/>
    <s v="Marketing"/>
    <s v="SEO Analyst"/>
    <x v="4"/>
    <s v="2018-05-27"/>
    <n v="4"/>
    <n v="65574"/>
    <n v="4.5999999999999996"/>
    <n v="88.6"/>
    <n v="11"/>
    <n v="6"/>
    <n v="4998"/>
    <s v="Kavya"/>
    <s v="Full-Time"/>
    <s v="Excellent"/>
    <s v="Medium"/>
    <s v="Mid Level"/>
    <n v="70572"/>
    <s v="Needs Improvement"/>
    <s v="Normal"/>
    <s v="Mid"/>
    <s v="35-44"/>
  </r>
  <r>
    <n v="1188"/>
    <s v="Nikhil"/>
    <s v="Male"/>
    <n v="39"/>
    <s v="Marketing"/>
    <s v="Marketing Executive"/>
    <x v="1"/>
    <s v="2020-02-25"/>
    <n v="3"/>
    <n v="27930"/>
    <n v="2.9"/>
    <n v="95.9"/>
    <n v="20"/>
    <n v="24"/>
    <n v="5413"/>
    <s v="Ramesh"/>
    <s v="Full-Time"/>
    <s v="Needs Improvement"/>
    <s v="Low"/>
    <s v="Mid Level"/>
    <n v="33343"/>
    <s v="Excellent"/>
    <s v="Normal"/>
    <s v="Mid"/>
    <s v="35-44"/>
  </r>
  <r>
    <n v="1189"/>
    <s v="Anu"/>
    <s v="Male"/>
    <n v="45"/>
    <s v="Finance"/>
    <s v="Accountant"/>
    <x v="4"/>
    <s v="2023-09-08"/>
    <n v="1"/>
    <n v="78732"/>
    <n v="2.9"/>
    <n v="99.5"/>
    <n v="7"/>
    <n v="46"/>
    <n v="12749"/>
    <s v="Suresh"/>
    <s v="Contract"/>
    <s v="Needs Improvement"/>
    <s v="High"/>
    <s v="Junior"/>
    <n v="91481"/>
    <s v="Excellent"/>
    <s v="Normal"/>
    <s v="Junior"/>
    <s v="45+"/>
  </r>
  <r>
    <n v="1190"/>
    <s v="Anu"/>
    <s v="Male"/>
    <n v="25"/>
    <s v="Marketing"/>
    <s v="SEO Analyst"/>
    <x v="2"/>
    <s v="2024-12-10"/>
    <n v="10"/>
    <n v="65030"/>
    <n v="2.7"/>
    <n v="89.2"/>
    <n v="10"/>
    <n v="12"/>
    <n v="11406"/>
    <s v="Kavya"/>
    <s v="Contract"/>
    <s v="Needs Improvement"/>
    <s v="Medium"/>
    <s v="Senior"/>
    <n v="76436"/>
    <s v="Needs Improvement"/>
    <s v="Normal"/>
    <s v="Senior"/>
    <s v="25-34"/>
  </r>
  <r>
    <n v="1191"/>
    <s v="Vijay"/>
    <s v="Male"/>
    <n v="34"/>
    <s v="Marketing"/>
    <s v="SEO Analyst"/>
    <x v="4"/>
    <s v="2019-05-15"/>
    <n v="10"/>
    <n v="60819"/>
    <n v="4.8"/>
    <n v="92.4"/>
    <n v="6"/>
    <n v="30"/>
    <n v="4629"/>
    <s v="Suresh"/>
    <s v="Contract"/>
    <s v="Excellent"/>
    <s v="Medium"/>
    <s v="Senior"/>
    <n v="65448"/>
    <s v="Needs Improvement"/>
    <s v="Normal"/>
    <s v="Senior"/>
    <s v="25-34"/>
  </r>
  <r>
    <n v="1192"/>
    <s v="Kiran"/>
    <s v="Female"/>
    <n v="39"/>
    <s v="IT"/>
    <s v="Senior Developer"/>
    <x v="4"/>
    <s v="2018-08-03"/>
    <n v="4"/>
    <n v="84193"/>
    <n v="3.1"/>
    <n v="90.6"/>
    <n v="7"/>
    <n v="30"/>
    <n v="10659"/>
    <s v="Kavya"/>
    <s v="Full-Time"/>
    <s v="Average"/>
    <s v="High"/>
    <s v="Mid Level"/>
    <n v="94852"/>
    <s v="Needs Improvement"/>
    <s v="Normal"/>
    <s v="Mid"/>
    <s v="35-44"/>
  </r>
  <r>
    <n v="1193"/>
    <s v="Keerthi"/>
    <s v="Male"/>
    <n v="27"/>
    <s v="Marketing"/>
    <s v="Marketing Executive"/>
    <x v="0"/>
    <s v="2022-02-23"/>
    <n v="1"/>
    <n v="35385"/>
    <n v="3.7"/>
    <n v="88.2"/>
    <n v="2"/>
    <n v="43"/>
    <n v="14262"/>
    <s v="Anitha"/>
    <s v="Contract"/>
    <s v="Average"/>
    <s v="Low"/>
    <s v="Junior"/>
    <n v="49647"/>
    <s v="Needs Improvement"/>
    <s v="Normal"/>
    <s v="Junior"/>
    <s v="25-34"/>
  </r>
  <r>
    <n v="1194"/>
    <s v="Arjun"/>
    <s v="Male"/>
    <n v="40"/>
    <s v="Finance"/>
    <s v="Accountant"/>
    <x v="4"/>
    <s v="2021-06-09"/>
    <n v="7"/>
    <n v="45261"/>
    <n v="2.7"/>
    <n v="97.3"/>
    <n v="8"/>
    <n v="26"/>
    <n v="3286"/>
    <s v="Ramesh"/>
    <s v="Contract"/>
    <s v="Needs Improvement"/>
    <s v="Low"/>
    <s v="Senior"/>
    <n v="48547"/>
    <s v="Excellent"/>
    <s v="Normal"/>
    <s v="Senior"/>
    <s v="35-44"/>
  </r>
  <r>
    <n v="1195"/>
    <s v="Vijay"/>
    <s v="Male"/>
    <n v="39"/>
    <s v="Sales"/>
    <s v="Sales Manager"/>
    <x v="2"/>
    <s v="2021-10-16"/>
    <n v="6"/>
    <n v="50284"/>
    <n v="2.6"/>
    <n v="94.1"/>
    <n v="9"/>
    <n v="58"/>
    <n v="8547"/>
    <s v="Anitha"/>
    <s v="Contract"/>
    <s v="Needs Improvement"/>
    <s v="Medium"/>
    <s v="Senior"/>
    <n v="58831"/>
    <s v="Needs Improvement"/>
    <s v="Normal"/>
    <s v="Mid"/>
    <s v="35-44"/>
  </r>
  <r>
    <n v="1196"/>
    <s v="Sai"/>
    <s v="Female"/>
    <n v="34"/>
    <s v="HR"/>
    <s v="HR Manager"/>
    <x v="2"/>
    <s v="2024-05-30"/>
    <n v="1"/>
    <n v="34245"/>
    <n v="4.8"/>
    <n v="87.2"/>
    <n v="9"/>
    <n v="22"/>
    <n v="5876"/>
    <s v="Anitha"/>
    <s v="Full-Time"/>
    <s v="Excellent"/>
    <s v="Low"/>
    <s v="Junior"/>
    <n v="40121"/>
    <s v="Needs Improvement"/>
    <s v="Normal"/>
    <s v="Junior"/>
    <s v="25-34"/>
  </r>
  <r>
    <n v="1197"/>
    <s v="Sneha"/>
    <s v="Male"/>
    <n v="37"/>
    <s v="Marketing"/>
    <s v="Marketing Executive"/>
    <x v="0"/>
    <s v="2022-03-30"/>
    <n v="1"/>
    <n v="75035"/>
    <n v="2.8"/>
    <n v="84"/>
    <n v="20"/>
    <n v="30"/>
    <n v="1615"/>
    <s v="Amit"/>
    <s v="Full-Time"/>
    <s v="Needs Improvement"/>
    <s v="High"/>
    <s v="Junior"/>
    <n v="76650"/>
    <s v="Needs Improvement"/>
    <s v="Normal"/>
    <s v="Junior"/>
    <s v="35-44"/>
  </r>
  <r>
    <n v="1198"/>
    <s v="Deepa"/>
    <s v="Female"/>
    <n v="31"/>
    <s v="HR"/>
    <s v="HR Executive"/>
    <x v="1"/>
    <s v="2024-01-24"/>
    <n v="9"/>
    <n v="40357"/>
    <n v="3.9"/>
    <n v="83"/>
    <n v="11"/>
    <n v="54"/>
    <n v="9436"/>
    <s v="Anitha"/>
    <s v="Full-Time"/>
    <s v="Average"/>
    <s v="Low"/>
    <s v="Senior"/>
    <n v="49793"/>
    <s v="Needs Improvement"/>
    <s v="Normal"/>
    <s v="Senior"/>
    <s v="25-34"/>
  </r>
  <r>
    <n v="1199"/>
    <s v="Varun"/>
    <s v="Female"/>
    <n v="38"/>
    <s v="Sales"/>
    <s v="Sales Manager"/>
    <x v="4"/>
    <s v="2020-10-26"/>
    <n v="4"/>
    <n v="89349"/>
    <n v="2.5"/>
    <n v="83.4"/>
    <n v="16"/>
    <n v="54"/>
    <n v="6242"/>
    <s v="Suresh"/>
    <s v="Contract"/>
    <s v="Needs Improvement"/>
    <s v="High"/>
    <s v="Mid Level"/>
    <n v="95591"/>
    <s v="Needs Improvement"/>
    <s v="Normal"/>
    <s v="Mid"/>
    <s v="35-44"/>
  </r>
  <r>
    <n v="1200"/>
    <s v="Pooja"/>
    <s v="Male"/>
    <n v="26"/>
    <s v="IT"/>
    <s v="Data Analyst"/>
    <x v="0"/>
    <s v="2022-09-06"/>
    <n v="1"/>
    <n v="26538"/>
    <n v="2.6"/>
    <n v="94.5"/>
    <n v="6"/>
    <n v="31"/>
    <n v="12740"/>
    <s v="Suresh"/>
    <s v="Full-Time"/>
    <s v="Needs Improvement"/>
    <s v="Low"/>
    <s v="Junior"/>
    <n v="39278"/>
    <s v="Needs Improvement"/>
    <s v="Normal"/>
    <s v="Junior"/>
    <s v="25-34"/>
  </r>
  <r>
    <n v="1201"/>
    <s v="Priya"/>
    <s v="Male"/>
    <n v="44"/>
    <s v="HR"/>
    <s v="HR Executive"/>
    <x v="3"/>
    <s v="2023-11-14"/>
    <n v="7"/>
    <n v="56223"/>
    <n v="4.2"/>
    <n v="95.6"/>
    <n v="24"/>
    <n v="38"/>
    <n v="7504"/>
    <s v="Amit"/>
    <s v="Full-Time"/>
    <s v="Good"/>
    <s v="Medium"/>
    <s v="Senior"/>
    <n v="63727"/>
    <s v="Excellent"/>
    <s v="High"/>
    <s v="Senior"/>
    <s v="35-44"/>
  </r>
  <r>
    <n v="1202"/>
    <s v="Rahul"/>
    <s v="Male"/>
    <n v="38"/>
    <s v="Sales"/>
    <s v="Sales Manager"/>
    <x v="4"/>
    <s v="2019-11-24"/>
    <n v="8"/>
    <n v="37825"/>
    <n v="2.8"/>
    <n v="88.2"/>
    <n v="4"/>
    <n v="41"/>
    <n v="9807"/>
    <s v="Anitha"/>
    <s v="Contract"/>
    <s v="Needs Improvement"/>
    <s v="Low"/>
    <s v="Senior"/>
    <n v="47632"/>
    <s v="Needs Improvement"/>
    <s v="Normal"/>
    <s v="Senior"/>
    <s v="35-44"/>
  </r>
  <r>
    <n v="1203"/>
    <s v="Varun"/>
    <s v="Female"/>
    <n v="39"/>
    <s v="Sales"/>
    <s v="Sales Executive"/>
    <x v="1"/>
    <s v="2022-10-28"/>
    <n v="1"/>
    <n v="90949"/>
    <n v="3.2"/>
    <n v="95.8"/>
    <n v="9"/>
    <n v="45"/>
    <n v="12074"/>
    <s v="Suresh"/>
    <s v="Contract"/>
    <s v="Average"/>
    <s v="High"/>
    <s v="Junior"/>
    <n v="103023"/>
    <s v="Excellent"/>
    <s v="Normal"/>
    <s v="Junior"/>
    <s v="35-44"/>
  </r>
  <r>
    <n v="1204"/>
    <s v="Rahul"/>
    <s v="Male"/>
    <n v="26"/>
    <s v="Marketing"/>
    <s v="SEO Analyst"/>
    <x v="1"/>
    <s v="2024-12-25"/>
    <n v="9"/>
    <n v="72721"/>
    <n v="4.2"/>
    <n v="87.3"/>
    <n v="19"/>
    <n v="60"/>
    <n v="10950"/>
    <s v="Suresh"/>
    <s v="Contract"/>
    <s v="Good"/>
    <s v="High"/>
    <s v="Senior"/>
    <n v="83671"/>
    <s v="Needs Improvement"/>
    <s v="Normal"/>
    <s v="Senior"/>
    <s v="25-34"/>
  </r>
  <r>
    <n v="1205"/>
    <s v="Pooja"/>
    <s v="Male"/>
    <n v="42"/>
    <s v="HR"/>
    <s v="HR Manager"/>
    <x v="1"/>
    <s v="2021-10-15"/>
    <n v="6"/>
    <n v="63255"/>
    <n v="4.5999999999999996"/>
    <n v="95.8"/>
    <n v="25"/>
    <n v="47"/>
    <n v="10954"/>
    <s v="Amit"/>
    <s v="Full-Time"/>
    <s v="Excellent"/>
    <s v="Medium"/>
    <s v="Senior"/>
    <n v="74209"/>
    <s v="Excellent"/>
    <s v="High"/>
    <s v="Mid"/>
    <s v="35-44"/>
  </r>
  <r>
    <n v="1206"/>
    <s v="Anu"/>
    <s v="Male"/>
    <n v="33"/>
    <s v="Finance"/>
    <s v="Financial Analyst"/>
    <x v="4"/>
    <s v="2024-11-18"/>
    <n v="7"/>
    <n v="47586"/>
    <n v="2.6"/>
    <n v="94.2"/>
    <n v="17"/>
    <n v="53"/>
    <n v="6086"/>
    <s v="Ramesh"/>
    <s v="Contract"/>
    <s v="Needs Improvement"/>
    <s v="Low"/>
    <s v="Senior"/>
    <n v="53672"/>
    <s v="Needs Improvement"/>
    <s v="Normal"/>
    <s v="Senior"/>
    <s v="25-34"/>
  </r>
  <r>
    <n v="1207"/>
    <s v="Harsha"/>
    <s v="Female"/>
    <n v="29"/>
    <s v="IT"/>
    <s v="Senior Developer"/>
    <x v="0"/>
    <s v="2019-10-17"/>
    <n v="2"/>
    <n v="38282"/>
    <n v="3.3"/>
    <n v="93.7"/>
    <n v="6"/>
    <n v="28"/>
    <n v="14590"/>
    <s v="Amit"/>
    <s v="Contract"/>
    <s v="Average"/>
    <s v="Low"/>
    <s v="Junior"/>
    <n v="52872"/>
    <s v="Needs Improvement"/>
    <s v="Normal"/>
    <s v="Junior"/>
    <s v="25-34"/>
  </r>
  <r>
    <n v="1208"/>
    <s v="Varun"/>
    <s v="Female"/>
    <n v="22"/>
    <s v="Sales"/>
    <s v="Sales Executive"/>
    <x v="0"/>
    <s v="2018-04-30"/>
    <n v="8"/>
    <n v="74326"/>
    <n v="2.5"/>
    <n v="92.7"/>
    <n v="14"/>
    <n v="51"/>
    <n v="9287"/>
    <s v="Anitha"/>
    <s v="Full-Time"/>
    <s v="Needs Improvement"/>
    <s v="High"/>
    <s v="Senior"/>
    <n v="83613"/>
    <s v="Needs Improvement"/>
    <s v="Normal"/>
    <s v="Senior"/>
    <s v="20-24"/>
  </r>
  <r>
    <n v="1209"/>
    <s v="Manoj"/>
    <s v="Female"/>
    <n v="25"/>
    <s v="Finance"/>
    <s v="Accountant"/>
    <x v="4"/>
    <s v="2024-03-24"/>
    <n v="5"/>
    <n v="69497"/>
    <n v="4.7"/>
    <n v="85.4"/>
    <n v="17"/>
    <n v="28"/>
    <n v="4425"/>
    <s v="Suresh"/>
    <s v="Full-Time"/>
    <s v="Excellent"/>
    <s v="Medium"/>
    <s v="Mid Level"/>
    <n v="73922"/>
    <s v="Needs Improvement"/>
    <s v="Normal"/>
    <s v="Mid"/>
    <s v="25-34"/>
  </r>
  <r>
    <n v="1210"/>
    <s v="Ravi"/>
    <s v="Female"/>
    <n v="44"/>
    <s v="Sales"/>
    <s v="Sales Manager"/>
    <x v="3"/>
    <s v="2020-12-29"/>
    <n v="5"/>
    <n v="70445"/>
    <n v="4.5"/>
    <n v="98.7"/>
    <n v="20"/>
    <n v="15"/>
    <n v="3282"/>
    <s v="Anitha"/>
    <s v="Contract"/>
    <s v="Excellent"/>
    <s v="High"/>
    <s v="Mid Level"/>
    <n v="73727"/>
    <s v="Excellent"/>
    <s v="Normal"/>
    <s v="Mid"/>
    <s v="35-44"/>
  </r>
  <r>
    <n v="1211"/>
    <s v="Keerthi"/>
    <s v="Female"/>
    <n v="34"/>
    <s v="Sales"/>
    <s v="Sales Executive"/>
    <x v="2"/>
    <s v="2018-05-03"/>
    <n v="5"/>
    <n v="46133"/>
    <n v="4.0999999999999996"/>
    <n v="98.8"/>
    <n v="16"/>
    <n v="10"/>
    <n v="11430"/>
    <s v="Suresh"/>
    <s v="Full-Time"/>
    <s v="Good"/>
    <s v="Low"/>
    <s v="Mid Level"/>
    <n v="57563"/>
    <s v="Excellent"/>
    <s v="Normal"/>
    <s v="Mid"/>
    <s v="25-34"/>
  </r>
  <r>
    <n v="1212"/>
    <s v="Divya"/>
    <s v="Male"/>
    <n v="44"/>
    <s v="IT"/>
    <s v="Software Engineer"/>
    <x v="1"/>
    <s v="2019-03-19"/>
    <n v="8"/>
    <n v="90465"/>
    <n v="2.9"/>
    <n v="90.5"/>
    <n v="10"/>
    <n v="10"/>
    <n v="7361"/>
    <s v="Amit"/>
    <s v="Full-Time"/>
    <s v="Needs Improvement"/>
    <s v="High"/>
    <s v="Senior"/>
    <n v="97826"/>
    <s v="Needs Improvement"/>
    <s v="Normal"/>
    <s v="Senior"/>
    <s v="35-44"/>
  </r>
  <r>
    <n v="1213"/>
    <s v="Ajay"/>
    <s v="Male"/>
    <n v="36"/>
    <s v="IT"/>
    <s v="Senior Developer"/>
    <x v="2"/>
    <s v="2023-03-02"/>
    <n v="10"/>
    <n v="50482"/>
    <n v="3.4"/>
    <n v="90.4"/>
    <n v="11"/>
    <n v="33"/>
    <n v="11950"/>
    <s v="Kavya"/>
    <s v="Contract"/>
    <s v="Average"/>
    <s v="Medium"/>
    <s v="Senior"/>
    <n v="62432"/>
    <s v="Needs Improvement"/>
    <s v="Normal"/>
    <s v="Senior"/>
    <s v="35-44"/>
  </r>
  <r>
    <n v="1214"/>
    <s v="Keerthi"/>
    <s v="Male"/>
    <n v="36"/>
    <s v="Sales"/>
    <s v="Sales Manager"/>
    <x v="4"/>
    <s v="2024-08-17"/>
    <n v="4"/>
    <n v="49462"/>
    <n v="3.3"/>
    <n v="99.8"/>
    <n v="12"/>
    <n v="35"/>
    <n v="2955"/>
    <s v="Kavya"/>
    <s v="Contract"/>
    <s v="Average"/>
    <s v="Low"/>
    <s v="Mid Level"/>
    <n v="52417"/>
    <s v="Excellent"/>
    <s v="Normal"/>
    <s v="Mid"/>
    <s v="35-44"/>
  </r>
  <r>
    <n v="1215"/>
    <s v="Nikhil"/>
    <s v="Female"/>
    <n v="29"/>
    <s v="Finance"/>
    <s v="Accountant"/>
    <x v="2"/>
    <s v="2021-04-05"/>
    <n v="6"/>
    <n v="34681"/>
    <n v="3.2"/>
    <n v="89.3"/>
    <n v="7"/>
    <n v="18"/>
    <n v="13130"/>
    <s v="Suresh"/>
    <s v="Contract"/>
    <s v="Average"/>
    <s v="Low"/>
    <s v="Senior"/>
    <n v="47811"/>
    <s v="Needs Improvement"/>
    <s v="Normal"/>
    <s v="Mid"/>
    <s v="25-34"/>
  </r>
  <r>
    <n v="1216"/>
    <s v="Divya"/>
    <s v="Female"/>
    <n v="24"/>
    <s v="Sales"/>
    <s v="Sales Manager"/>
    <x v="2"/>
    <s v="2024-07-29"/>
    <n v="7"/>
    <n v="32769"/>
    <n v="4.0999999999999996"/>
    <n v="82.6"/>
    <n v="19"/>
    <n v="46"/>
    <n v="11378"/>
    <s v="Ramesh"/>
    <s v="Full-Time"/>
    <s v="Good"/>
    <s v="Low"/>
    <s v="Senior"/>
    <n v="44147"/>
    <s v="Needs Improvement"/>
    <s v="Normal"/>
    <s v="Senior"/>
    <s v="20-24"/>
  </r>
  <r>
    <n v="1217"/>
    <s v="Meena"/>
    <s v="Male"/>
    <n v="32"/>
    <s v="Finance"/>
    <s v="Accountant"/>
    <x v="3"/>
    <s v="2019-09-28"/>
    <n v="3"/>
    <n v="93314"/>
    <n v="5"/>
    <n v="98.9"/>
    <n v="8"/>
    <n v="43"/>
    <n v="13418"/>
    <s v="Suresh"/>
    <s v="Contract"/>
    <s v="Excellent"/>
    <s v="High"/>
    <s v="Mid Level"/>
    <n v="106732"/>
    <s v="Excellent"/>
    <s v="Normal"/>
    <s v="Mid"/>
    <s v="25-34"/>
  </r>
  <r>
    <n v="1218"/>
    <s v="Ravi"/>
    <s v="Male"/>
    <n v="34"/>
    <s v="HR"/>
    <s v="HR Manager"/>
    <x v="0"/>
    <s v="2023-02-16"/>
    <n v="3"/>
    <n v="84334"/>
    <n v="2.8"/>
    <n v="92.2"/>
    <n v="19"/>
    <n v="56"/>
    <n v="6089"/>
    <s v="Suresh"/>
    <s v="Full-Time"/>
    <s v="Needs Improvement"/>
    <s v="High"/>
    <s v="Mid Level"/>
    <n v="90423"/>
    <s v="Needs Improvement"/>
    <s v="Normal"/>
    <s v="Mid"/>
    <s v="25-34"/>
  </r>
  <r>
    <n v="1219"/>
    <s v="Anu"/>
    <s v="Female"/>
    <n v="24"/>
    <s v="IT"/>
    <s v="Senior Developer"/>
    <x v="0"/>
    <s v="2022-02-15"/>
    <n v="8"/>
    <n v="81819"/>
    <n v="3.3"/>
    <n v="96"/>
    <n v="19"/>
    <n v="38"/>
    <n v="3922"/>
    <s v="Amit"/>
    <s v="Full-Time"/>
    <s v="Average"/>
    <s v="High"/>
    <s v="Senior"/>
    <n v="85741"/>
    <s v="Excellent"/>
    <s v="Normal"/>
    <s v="Senior"/>
    <s v="20-24"/>
  </r>
  <r>
    <n v="1220"/>
    <s v="Deepa"/>
    <s v="Male"/>
    <n v="23"/>
    <s v="Finance"/>
    <s v="Financial Analyst"/>
    <x v="2"/>
    <s v="2019-05-12"/>
    <n v="8"/>
    <n v="64238"/>
    <n v="3.1"/>
    <n v="82.9"/>
    <n v="11"/>
    <n v="54"/>
    <n v="6385"/>
    <s v="Anitha"/>
    <s v="Contract"/>
    <s v="Average"/>
    <s v="Medium"/>
    <s v="Senior"/>
    <n v="70623"/>
    <s v="Needs Improvement"/>
    <s v="Normal"/>
    <s v="Senior"/>
    <s v="20-24"/>
  </r>
  <r>
    <n v="1221"/>
    <s v="Harsha"/>
    <s v="Female"/>
    <n v="30"/>
    <s v="HR"/>
    <s v="HR Executive"/>
    <x v="0"/>
    <s v="2021-05-21"/>
    <n v="3"/>
    <n v="40681"/>
    <n v="4.2"/>
    <n v="97.8"/>
    <n v="22"/>
    <n v="8"/>
    <n v="14160"/>
    <s v="Anitha"/>
    <s v="Full-Time"/>
    <s v="Good"/>
    <s v="Low"/>
    <s v="Mid Level"/>
    <n v="54841"/>
    <s v="Excellent"/>
    <s v="High"/>
    <s v="Mid"/>
    <s v="25-34"/>
  </r>
  <r>
    <n v="1222"/>
    <s v="Divya"/>
    <s v="Male"/>
    <n v="26"/>
    <s v="Marketing"/>
    <s v="SEO Analyst"/>
    <x v="4"/>
    <s v="2020-03-30"/>
    <n v="9"/>
    <n v="77654"/>
    <n v="3.7"/>
    <n v="93"/>
    <n v="21"/>
    <n v="23"/>
    <n v="4572"/>
    <s v="Anitha"/>
    <s v="Full-Time"/>
    <s v="Average"/>
    <s v="High"/>
    <s v="Senior"/>
    <n v="82226"/>
    <s v="Needs Improvement"/>
    <s v="High"/>
    <s v="Senior"/>
    <s v="25-34"/>
  </r>
  <r>
    <n v="1223"/>
    <s v="Ajay"/>
    <s v="Male"/>
    <n v="37"/>
    <s v="IT"/>
    <s v="Software Engineer"/>
    <x v="4"/>
    <s v="2020-10-20"/>
    <n v="7"/>
    <n v="52976"/>
    <n v="3.6"/>
    <n v="83.6"/>
    <n v="24"/>
    <n v="8"/>
    <n v="3702"/>
    <s v="Anitha"/>
    <s v="Full-Time"/>
    <s v="Average"/>
    <s v="Medium"/>
    <s v="Senior"/>
    <n v="56678"/>
    <s v="Needs Improvement"/>
    <s v="High"/>
    <s v="Senior"/>
    <s v="35-44"/>
  </r>
  <r>
    <n v="1224"/>
    <s v="Varun"/>
    <s v="Female"/>
    <n v="43"/>
    <s v="Sales"/>
    <s v="Sales Executive"/>
    <x v="1"/>
    <s v="2018-10-21"/>
    <n v="9"/>
    <n v="71178"/>
    <n v="4.5"/>
    <n v="84"/>
    <n v="14"/>
    <n v="11"/>
    <n v="4971"/>
    <s v="Suresh"/>
    <s v="Full-Time"/>
    <s v="Excellent"/>
    <s v="High"/>
    <s v="Senior"/>
    <n v="76149"/>
    <s v="Needs Improvement"/>
    <s v="Normal"/>
    <s v="Senior"/>
    <s v="35-44"/>
  </r>
  <r>
    <n v="1225"/>
    <s v="Divya"/>
    <s v="Male"/>
    <n v="41"/>
    <s v="HR"/>
    <s v="HR Executive"/>
    <x v="0"/>
    <s v="2022-08-02"/>
    <n v="10"/>
    <n v="79440"/>
    <n v="4.8"/>
    <n v="85.7"/>
    <n v="25"/>
    <n v="51"/>
    <n v="4136"/>
    <s v="Anitha"/>
    <s v="Contract"/>
    <s v="Excellent"/>
    <s v="High"/>
    <s v="Senior"/>
    <n v="83576"/>
    <s v="Needs Improvement"/>
    <s v="High"/>
    <s v="Senior"/>
    <s v="35-44"/>
  </r>
  <r>
    <n v="1226"/>
    <s v="Vijay"/>
    <s v="Male"/>
    <n v="29"/>
    <s v="Finance"/>
    <s v="Financial Analyst"/>
    <x v="2"/>
    <s v="2019-04-12"/>
    <n v="10"/>
    <n v="73047"/>
    <n v="2.8"/>
    <n v="94.7"/>
    <n v="17"/>
    <n v="11"/>
    <n v="1549"/>
    <s v="Amit"/>
    <s v="Contract"/>
    <s v="Needs Improvement"/>
    <s v="High"/>
    <s v="Senior"/>
    <n v="74596"/>
    <s v="Needs Improvement"/>
    <s v="Normal"/>
    <s v="Senior"/>
    <s v="25-34"/>
  </r>
  <r>
    <n v="1227"/>
    <s v="Meena"/>
    <s v="Male"/>
    <n v="29"/>
    <s v="Sales"/>
    <s v="Sales Manager"/>
    <x v="2"/>
    <s v="2022-11-28"/>
    <n v="7"/>
    <n v="76563"/>
    <n v="4.9000000000000004"/>
    <n v="85.1"/>
    <n v="7"/>
    <n v="58"/>
    <n v="13949"/>
    <s v="Anitha"/>
    <s v="Contract"/>
    <s v="Excellent"/>
    <s v="High"/>
    <s v="Senior"/>
    <n v="90512"/>
    <s v="Needs Improvement"/>
    <s v="Normal"/>
    <s v="Senior"/>
    <s v="25-34"/>
  </r>
  <r>
    <n v="1228"/>
    <s v="Manoj"/>
    <s v="Male"/>
    <n v="42"/>
    <s v="HR"/>
    <s v="HR Manager"/>
    <x v="2"/>
    <s v="2023-07-14"/>
    <n v="4"/>
    <n v="62053"/>
    <n v="2.8"/>
    <n v="99.9"/>
    <n v="6"/>
    <n v="54"/>
    <n v="5690"/>
    <s v="Kavya"/>
    <s v="Full-Time"/>
    <s v="Needs Improvement"/>
    <s v="Medium"/>
    <s v="Mid Level"/>
    <n v="67743"/>
    <s v="Excellent"/>
    <s v="Normal"/>
    <s v="Mid"/>
    <s v="35-44"/>
  </r>
  <r>
    <n v="1229"/>
    <s v="Vijay"/>
    <s v="Male"/>
    <n v="29"/>
    <s v="HR"/>
    <s v="HR Executive"/>
    <x v="4"/>
    <s v="2018-03-02"/>
    <n v="4"/>
    <n v="60661"/>
    <n v="2.7"/>
    <n v="95.9"/>
    <n v="2"/>
    <n v="42"/>
    <n v="5004"/>
    <s v="Ramesh"/>
    <s v="Contract"/>
    <s v="Needs Improvement"/>
    <s v="Medium"/>
    <s v="Mid Level"/>
    <n v="65665"/>
    <s v="Excellent"/>
    <s v="Normal"/>
    <s v="Mid"/>
    <s v="25-34"/>
  </r>
  <r>
    <n v="1230"/>
    <s v="Sneha"/>
    <s v="Female"/>
    <n v="43"/>
    <s v="Finance"/>
    <s v="Accountant"/>
    <x v="4"/>
    <s v="2022-06-23"/>
    <n v="6"/>
    <n v="86962"/>
    <n v="4.4000000000000004"/>
    <n v="99.8"/>
    <n v="10"/>
    <n v="47"/>
    <n v="2306"/>
    <s v="Kavya"/>
    <s v="Full-Time"/>
    <s v="Good"/>
    <s v="High"/>
    <s v="Senior"/>
    <n v="89268"/>
    <s v="Excellent"/>
    <s v="Normal"/>
    <s v="Mid"/>
    <s v="35-44"/>
  </r>
  <r>
    <n v="1231"/>
    <s v="Harsha"/>
    <s v="Female"/>
    <n v="35"/>
    <s v="Sales"/>
    <s v="Sales Executive"/>
    <x v="4"/>
    <s v="2023-07-07"/>
    <n v="5"/>
    <n v="40662"/>
    <n v="4"/>
    <n v="82.6"/>
    <n v="23"/>
    <n v="6"/>
    <n v="9938"/>
    <s v="Amit"/>
    <s v="Full-Time"/>
    <s v="Good"/>
    <s v="Low"/>
    <s v="Mid Level"/>
    <n v="50600"/>
    <s v="Needs Improvement"/>
    <s v="High"/>
    <s v="Mid"/>
    <s v="35-44"/>
  </r>
  <r>
    <n v="1232"/>
    <s v="Varun"/>
    <s v="Female"/>
    <n v="22"/>
    <s v="Sales"/>
    <s v="Sales Manager"/>
    <x v="2"/>
    <s v="2021-12-25"/>
    <n v="7"/>
    <n v="60472"/>
    <n v="2.8"/>
    <n v="93.6"/>
    <n v="16"/>
    <n v="8"/>
    <n v="1837"/>
    <s v="Kavya"/>
    <s v="Full-Time"/>
    <s v="Needs Improvement"/>
    <s v="Medium"/>
    <s v="Senior"/>
    <n v="62309"/>
    <s v="Needs Improvement"/>
    <s v="Normal"/>
    <s v="Senior"/>
    <s v="20-24"/>
  </r>
  <r>
    <n v="1233"/>
    <s v="Kiran"/>
    <s v="Female"/>
    <n v="33"/>
    <s v="IT"/>
    <s v="Software Engineer"/>
    <x v="0"/>
    <s v="2021-03-29"/>
    <n v="7"/>
    <n v="38301"/>
    <n v="4.5999999999999996"/>
    <n v="82.8"/>
    <n v="4"/>
    <n v="7"/>
    <n v="6047"/>
    <s v="Suresh"/>
    <s v="Contract"/>
    <s v="Excellent"/>
    <s v="Low"/>
    <s v="Senior"/>
    <n v="44348"/>
    <s v="Needs Improvement"/>
    <s v="Normal"/>
    <s v="Senior"/>
    <s v="25-34"/>
  </r>
  <r>
    <n v="1234"/>
    <s v="Sneha"/>
    <s v="Male"/>
    <n v="42"/>
    <s v="Sales"/>
    <s v="Sales Manager"/>
    <x v="2"/>
    <s v="2021-03-28"/>
    <n v="2"/>
    <n v="78348"/>
    <n v="3.8"/>
    <n v="94.5"/>
    <n v="9"/>
    <n v="37"/>
    <n v="10366"/>
    <s v="Kavya"/>
    <s v="Contract"/>
    <s v="Average"/>
    <s v="High"/>
    <s v="Junior"/>
    <n v="88714"/>
    <s v="Needs Improvement"/>
    <s v="Normal"/>
    <s v="Junior"/>
    <s v="35-44"/>
  </r>
  <r>
    <n v="1235"/>
    <s v="Deepa"/>
    <s v="Male"/>
    <n v="22"/>
    <s v="Finance"/>
    <s v="Accountant"/>
    <x v="3"/>
    <s v="2020-12-05"/>
    <n v="1"/>
    <n v="46250"/>
    <n v="2.7"/>
    <n v="83"/>
    <n v="23"/>
    <n v="37"/>
    <n v="10854"/>
    <s v="Suresh"/>
    <s v="Full-Time"/>
    <s v="Needs Improvement"/>
    <s v="Low"/>
    <s v="Junior"/>
    <n v="57104"/>
    <s v="Needs Improvement"/>
    <s v="High"/>
    <s v="Junior"/>
    <s v="20-24"/>
  </r>
  <r>
    <n v="1236"/>
    <s v="Keerthi"/>
    <s v="Male"/>
    <n v="26"/>
    <s v="Sales"/>
    <s v="Sales Executive"/>
    <x v="3"/>
    <s v="2023-03-05"/>
    <n v="7"/>
    <n v="29536"/>
    <n v="4.3"/>
    <n v="94.6"/>
    <n v="17"/>
    <n v="60"/>
    <n v="1595"/>
    <s v="Suresh"/>
    <s v="Full-Time"/>
    <s v="Good"/>
    <s v="Low"/>
    <s v="Senior"/>
    <n v="31131"/>
    <s v="Needs Improvement"/>
    <s v="Normal"/>
    <s v="Senior"/>
    <s v="25-34"/>
  </r>
  <r>
    <n v="1237"/>
    <s v="Divya"/>
    <s v="Female"/>
    <n v="39"/>
    <s v="IT"/>
    <s v="Data Analyst"/>
    <x v="1"/>
    <s v="2023-04-02"/>
    <n v="8"/>
    <n v="37763"/>
    <n v="2.6"/>
    <n v="84.6"/>
    <n v="6"/>
    <n v="48"/>
    <n v="11110"/>
    <s v="Kavya"/>
    <s v="Full-Time"/>
    <s v="Needs Improvement"/>
    <s v="Low"/>
    <s v="Senior"/>
    <n v="48873"/>
    <s v="Needs Improvement"/>
    <s v="Normal"/>
    <s v="Senior"/>
    <s v="35-44"/>
  </r>
  <r>
    <n v="1238"/>
    <s v="Varun"/>
    <s v="Female"/>
    <n v="25"/>
    <s v="Marketing"/>
    <s v="Marketing Executive"/>
    <x v="2"/>
    <s v="2022-01-23"/>
    <n v="0"/>
    <n v="26721"/>
    <n v="2.5"/>
    <n v="83.3"/>
    <n v="0"/>
    <n v="20"/>
    <n v="7609"/>
    <s v="Anitha"/>
    <s v="Full-Time"/>
    <s v="Needs Improvement"/>
    <s v="Low"/>
    <s v="Junior"/>
    <n v="34330"/>
    <s v="Needs Improvement"/>
    <s v="Normal"/>
    <s v="Junior"/>
    <s v="25-34"/>
  </r>
  <r>
    <n v="1239"/>
    <s v="Keerthi"/>
    <s v="Female"/>
    <n v="31"/>
    <s v="IT"/>
    <s v="Software Engineer"/>
    <x v="4"/>
    <s v="2021-04-13"/>
    <n v="0"/>
    <n v="83215"/>
    <n v="3.5"/>
    <n v="90.1"/>
    <n v="16"/>
    <n v="42"/>
    <n v="13939"/>
    <s v="Ramesh"/>
    <s v="Contract"/>
    <s v="Average"/>
    <s v="High"/>
    <s v="Junior"/>
    <n v="97154"/>
    <s v="Needs Improvement"/>
    <s v="Normal"/>
    <s v="Junior"/>
    <s v="25-34"/>
  </r>
  <r>
    <n v="1240"/>
    <s v="Pooja"/>
    <s v="Female"/>
    <n v="36"/>
    <s v="Marketing"/>
    <s v="SEO Analyst"/>
    <x v="2"/>
    <s v="2022-06-10"/>
    <n v="2"/>
    <n v="55454"/>
    <n v="4"/>
    <n v="85.2"/>
    <n v="11"/>
    <n v="47"/>
    <n v="7132"/>
    <s v="Kavya"/>
    <s v="Full-Time"/>
    <s v="Good"/>
    <s v="Medium"/>
    <s v="Junior"/>
    <n v="62586"/>
    <s v="Needs Improvement"/>
    <s v="Normal"/>
    <s v="Junior"/>
    <s v="35-44"/>
  </r>
  <r>
    <n v="1241"/>
    <s v="Varun"/>
    <s v="Male"/>
    <n v="31"/>
    <s v="Finance"/>
    <s v="Financial Analyst"/>
    <x v="1"/>
    <s v="2020-10-24"/>
    <n v="0"/>
    <n v="86775"/>
    <n v="3.2"/>
    <n v="90.3"/>
    <n v="24"/>
    <n v="30"/>
    <n v="8685"/>
    <s v="Suresh"/>
    <s v="Full-Time"/>
    <s v="Average"/>
    <s v="High"/>
    <s v="Junior"/>
    <n v="95460"/>
    <s v="Needs Improvement"/>
    <s v="High"/>
    <s v="Junior"/>
    <s v="25-34"/>
  </r>
  <r>
    <n v="1242"/>
    <s v="Ajay"/>
    <s v="Male"/>
    <n v="44"/>
    <s v="HR"/>
    <s v="HR Manager"/>
    <x v="3"/>
    <s v="2018-11-15"/>
    <n v="10"/>
    <n v="93928"/>
    <n v="4.4000000000000004"/>
    <n v="85.7"/>
    <n v="22"/>
    <n v="37"/>
    <n v="14155"/>
    <s v="Ramesh"/>
    <s v="Full-Time"/>
    <s v="Good"/>
    <s v="High"/>
    <s v="Senior"/>
    <n v="108083"/>
    <s v="Needs Improvement"/>
    <s v="High"/>
    <s v="Senior"/>
    <s v="35-44"/>
  </r>
  <r>
    <n v="1243"/>
    <s v="Vijay"/>
    <s v="Female"/>
    <n v="34"/>
    <s v="Marketing"/>
    <s v="Marketing Executive"/>
    <x v="0"/>
    <s v="2021-08-24"/>
    <n v="3"/>
    <n v="62534"/>
    <n v="4.2"/>
    <n v="89.7"/>
    <n v="19"/>
    <n v="27"/>
    <n v="2102"/>
    <s v="Ramesh"/>
    <s v="Contract"/>
    <s v="Good"/>
    <s v="Medium"/>
    <s v="Mid Level"/>
    <n v="64636"/>
    <s v="Needs Improvement"/>
    <s v="Normal"/>
    <s v="Mid"/>
    <s v="25-34"/>
  </r>
  <r>
    <n v="1244"/>
    <s v="Sonia"/>
    <s v="Male"/>
    <n v="25"/>
    <s v="IT"/>
    <s v="Data Analyst"/>
    <x v="1"/>
    <s v="2025-03-31"/>
    <n v="10"/>
    <n v="31574"/>
    <n v="4.3"/>
    <n v="93.2"/>
    <n v="5"/>
    <n v="29"/>
    <n v="4238"/>
    <s v="Kavya"/>
    <s v="Contract"/>
    <s v="Good"/>
    <s v="Low"/>
    <s v="Senior"/>
    <n v="35812"/>
    <s v="Needs Improvement"/>
    <s v="Normal"/>
    <s v="Senior"/>
    <s v="25-34"/>
  </r>
  <r>
    <n v="1245"/>
    <s v="Ajay"/>
    <s v="Female"/>
    <n v="33"/>
    <s v="Finance"/>
    <s v="Financial Analyst"/>
    <x v="1"/>
    <s v="2021-02-28"/>
    <n v="0"/>
    <n v="31525"/>
    <n v="3.1"/>
    <n v="96"/>
    <n v="21"/>
    <n v="45"/>
    <n v="3040"/>
    <s v="Amit"/>
    <s v="Full-Time"/>
    <s v="Average"/>
    <s v="Low"/>
    <s v="Junior"/>
    <n v="34565"/>
    <s v="Excellent"/>
    <s v="High"/>
    <s v="Junior"/>
    <s v="25-34"/>
  </r>
  <r>
    <n v="1246"/>
    <s v="Pooja"/>
    <s v="Female"/>
    <n v="44"/>
    <s v="HR"/>
    <s v="HR Executive"/>
    <x v="4"/>
    <s v="2025-03-28"/>
    <n v="10"/>
    <n v="87188"/>
    <n v="3.8"/>
    <n v="83"/>
    <n v="17"/>
    <n v="24"/>
    <n v="12992"/>
    <s v="Anitha"/>
    <s v="Contract"/>
    <s v="Average"/>
    <s v="High"/>
    <s v="Senior"/>
    <n v="100180"/>
    <s v="Needs Improvement"/>
    <s v="Normal"/>
    <s v="Senior"/>
    <s v="35-44"/>
  </r>
  <r>
    <n v="1247"/>
    <s v="Anu"/>
    <s v="Female"/>
    <n v="36"/>
    <s v="Sales"/>
    <s v="Sales Manager"/>
    <x v="4"/>
    <s v="2019-05-27"/>
    <n v="3"/>
    <n v="37483"/>
    <n v="4.2"/>
    <n v="86.5"/>
    <n v="10"/>
    <n v="31"/>
    <n v="1299"/>
    <s v="Amit"/>
    <s v="Full-Time"/>
    <s v="Good"/>
    <s v="Low"/>
    <s v="Mid Level"/>
    <n v="38782"/>
    <s v="Needs Improvement"/>
    <s v="Normal"/>
    <s v="Mid"/>
    <s v="35-44"/>
  </r>
  <r>
    <n v="1248"/>
    <s v="Anu"/>
    <s v="Male"/>
    <n v="30"/>
    <s v="Finance"/>
    <s v="Financial Analyst"/>
    <x v="1"/>
    <s v="2023-12-13"/>
    <n v="5"/>
    <n v="41374"/>
    <n v="3.7"/>
    <n v="96.3"/>
    <n v="19"/>
    <n v="59"/>
    <n v="7434"/>
    <s v="Anitha"/>
    <s v="Contract"/>
    <s v="Average"/>
    <s v="Low"/>
    <s v="Mid Level"/>
    <n v="48808"/>
    <s v="Excellent"/>
    <s v="Normal"/>
    <s v="Mid"/>
    <s v="25-34"/>
  </r>
  <r>
    <n v="1249"/>
    <s v="Sai"/>
    <s v="Female"/>
    <n v="28"/>
    <s v="Marketing"/>
    <s v="SEO Analyst"/>
    <x v="1"/>
    <s v="2023-08-06"/>
    <n v="7"/>
    <n v="37590"/>
    <n v="2.8"/>
    <n v="91.8"/>
    <n v="22"/>
    <n v="11"/>
    <n v="7286"/>
    <s v="Anitha"/>
    <s v="Full-Time"/>
    <s v="Needs Improvement"/>
    <s v="Low"/>
    <s v="Senior"/>
    <n v="44876"/>
    <s v="Needs Improvement"/>
    <s v="High"/>
    <s v="Senior"/>
    <s v="25-34"/>
  </r>
  <r>
    <n v="1250"/>
    <s v="Ravi"/>
    <s v="Female"/>
    <n v="45"/>
    <s v="Finance"/>
    <s v="Financial Analyst"/>
    <x v="4"/>
    <s v="2024-09-30"/>
    <n v="4"/>
    <n v="38934"/>
    <n v="3.5"/>
    <n v="88.4"/>
    <n v="14"/>
    <n v="38"/>
    <n v="2157"/>
    <s v="Amit"/>
    <s v="Contract"/>
    <s v="Average"/>
    <s v="Low"/>
    <s v="Mid Level"/>
    <n v="41091"/>
    <s v="Needs Improvement"/>
    <s v="Normal"/>
    <s v="Mid"/>
    <s v="45+"/>
  </r>
  <r>
    <n v="1251"/>
    <s v="Kiran"/>
    <s v="Male"/>
    <n v="42"/>
    <s v="IT"/>
    <s v="Software Engineer"/>
    <x v="0"/>
    <s v="2020-07-19"/>
    <n v="5"/>
    <n v="65689"/>
    <n v="4.0999999999999996"/>
    <n v="84.7"/>
    <n v="18"/>
    <n v="15"/>
    <n v="7993"/>
    <s v="Ramesh"/>
    <s v="Full-Time"/>
    <s v="Good"/>
    <s v="Medium"/>
    <s v="Mid Level"/>
    <n v="73682"/>
    <s v="Needs Improvement"/>
    <s v="Normal"/>
    <s v="Mid"/>
    <s v="35-44"/>
  </r>
  <r>
    <n v="1252"/>
    <s v="Vijay"/>
    <s v="Male"/>
    <n v="32"/>
    <s v="HR"/>
    <s v="HR Manager"/>
    <x v="4"/>
    <s v="2025-04-27"/>
    <n v="5"/>
    <n v="31804"/>
    <n v="4.3"/>
    <n v="85.5"/>
    <n v="21"/>
    <n v="43"/>
    <n v="4633"/>
    <s v="Kavya"/>
    <s v="Full-Time"/>
    <s v="Good"/>
    <s v="Low"/>
    <s v="Mid Level"/>
    <n v="36437"/>
    <s v="Needs Improvement"/>
    <s v="High"/>
    <s v="Mid"/>
    <s v="25-34"/>
  </r>
  <r>
    <n v="1253"/>
    <s v="Pooja"/>
    <s v="Female"/>
    <n v="31"/>
    <s v="HR"/>
    <s v="HR Executive"/>
    <x v="4"/>
    <s v="2023-10-14"/>
    <n v="7"/>
    <n v="62337"/>
    <n v="4"/>
    <n v="95"/>
    <n v="10"/>
    <n v="36"/>
    <n v="4994"/>
    <s v="Kavya"/>
    <s v="Contract"/>
    <s v="Good"/>
    <s v="Medium"/>
    <s v="Senior"/>
    <n v="67331"/>
    <s v="Excellent"/>
    <s v="Normal"/>
    <s v="Senior"/>
    <s v="25-34"/>
  </r>
  <r>
    <n v="1254"/>
    <s v="Harsha"/>
    <s v="Male"/>
    <n v="23"/>
    <s v="Finance"/>
    <s v="Accountant"/>
    <x v="4"/>
    <s v="2018-10-22"/>
    <n v="4"/>
    <n v="27009"/>
    <n v="3.3"/>
    <n v="95.1"/>
    <n v="2"/>
    <n v="14"/>
    <n v="11858"/>
    <s v="Amit"/>
    <s v="Contract"/>
    <s v="Average"/>
    <s v="Low"/>
    <s v="Mid Level"/>
    <n v="38867"/>
    <s v="Excellent"/>
    <s v="Normal"/>
    <s v="Mid"/>
    <s v="20-24"/>
  </r>
  <r>
    <n v="1255"/>
    <s v="Varun"/>
    <s v="Male"/>
    <n v="23"/>
    <s v="Sales"/>
    <s v="Sales Manager"/>
    <x v="2"/>
    <s v="2022-04-24"/>
    <n v="6"/>
    <n v="80867"/>
    <n v="2.9"/>
    <n v="91.9"/>
    <n v="8"/>
    <n v="11"/>
    <n v="10105"/>
    <s v="Anitha"/>
    <s v="Full-Time"/>
    <s v="Needs Improvement"/>
    <s v="High"/>
    <s v="Senior"/>
    <n v="90972"/>
    <s v="Needs Improvement"/>
    <s v="Normal"/>
    <s v="Mid"/>
    <s v="20-24"/>
  </r>
  <r>
    <n v="1256"/>
    <s v="Meena"/>
    <s v="Female"/>
    <n v="37"/>
    <s v="Finance"/>
    <s v="Financial Analyst"/>
    <x v="2"/>
    <s v="2018-09-01"/>
    <n v="2"/>
    <n v="37424"/>
    <n v="2.6"/>
    <n v="90.7"/>
    <n v="20"/>
    <n v="56"/>
    <n v="6805"/>
    <s v="Ramesh"/>
    <s v="Contract"/>
    <s v="Needs Improvement"/>
    <s v="Low"/>
    <s v="Junior"/>
    <n v="44229"/>
    <s v="Needs Improvement"/>
    <s v="Normal"/>
    <s v="Junior"/>
    <s v="35-44"/>
  </r>
  <r>
    <n v="1257"/>
    <s v="Ajay"/>
    <s v="Female"/>
    <n v="34"/>
    <s v="Marketing"/>
    <s v="Marketing Executive"/>
    <x v="4"/>
    <s v="2019-05-08"/>
    <n v="9"/>
    <n v="26388"/>
    <n v="3.5"/>
    <n v="96.1"/>
    <n v="20"/>
    <n v="11"/>
    <n v="6472"/>
    <s v="Amit"/>
    <s v="Contract"/>
    <s v="Average"/>
    <s v="Low"/>
    <s v="Senior"/>
    <n v="32860"/>
    <s v="Excellent"/>
    <s v="Normal"/>
    <s v="Senior"/>
    <s v="25-34"/>
  </r>
  <r>
    <n v="1258"/>
    <s v="Deepa"/>
    <s v="Male"/>
    <n v="44"/>
    <s v="Marketing"/>
    <s v="Marketing Executive"/>
    <x v="0"/>
    <s v="2022-08-21"/>
    <n v="4"/>
    <n v="80016"/>
    <n v="4.5999999999999996"/>
    <n v="95.1"/>
    <n v="7"/>
    <n v="44"/>
    <n v="10904"/>
    <s v="Ramesh"/>
    <s v="Contract"/>
    <s v="Excellent"/>
    <s v="High"/>
    <s v="Mid Level"/>
    <n v="90920"/>
    <s v="Excellent"/>
    <s v="Normal"/>
    <s v="Mid"/>
    <s v="35-44"/>
  </r>
  <r>
    <n v="1259"/>
    <s v="Ajay"/>
    <s v="Female"/>
    <n v="24"/>
    <s v="Marketing"/>
    <s v="Marketing Executive"/>
    <x v="1"/>
    <s v="2022-12-03"/>
    <n v="2"/>
    <n v="47038"/>
    <n v="3.9"/>
    <n v="90.1"/>
    <n v="9"/>
    <n v="10"/>
    <n v="10756"/>
    <s v="Ramesh"/>
    <s v="Contract"/>
    <s v="Average"/>
    <s v="Low"/>
    <s v="Junior"/>
    <n v="57794"/>
    <s v="Needs Improvement"/>
    <s v="Normal"/>
    <s v="Junior"/>
    <s v="20-24"/>
  </r>
  <r>
    <n v="1260"/>
    <s v="Divya"/>
    <s v="Male"/>
    <n v="23"/>
    <s v="IT"/>
    <s v="Software Engineer"/>
    <x v="3"/>
    <s v="2022-03-03"/>
    <n v="3"/>
    <n v="51415"/>
    <n v="3.5"/>
    <n v="82.7"/>
    <n v="4"/>
    <n v="50"/>
    <n v="14876"/>
    <s v="Kavya"/>
    <s v="Full-Time"/>
    <s v="Average"/>
    <s v="Medium"/>
    <s v="Mid Level"/>
    <n v="66291"/>
    <s v="Needs Improvement"/>
    <s v="Normal"/>
    <s v="Mid"/>
    <s v="20-24"/>
  </r>
  <r>
    <n v="1261"/>
    <s v="Meena"/>
    <s v="Male"/>
    <n v="25"/>
    <s v="Marketing"/>
    <s v="Marketing Executive"/>
    <x v="3"/>
    <s v="2021-10-22"/>
    <n v="5"/>
    <n v="94300"/>
    <n v="2.5"/>
    <n v="89.4"/>
    <n v="10"/>
    <n v="26"/>
    <n v="8436"/>
    <s v="Suresh"/>
    <s v="Full-Time"/>
    <s v="Needs Improvement"/>
    <s v="High"/>
    <s v="Mid Level"/>
    <n v="102736"/>
    <s v="Needs Improvement"/>
    <s v="Normal"/>
    <s v="Mid"/>
    <s v="25-34"/>
  </r>
  <r>
    <n v="1262"/>
    <s v="Sonia"/>
    <s v="Female"/>
    <n v="45"/>
    <s v="IT"/>
    <s v="Software Engineer"/>
    <x v="4"/>
    <s v="2019-09-01"/>
    <n v="5"/>
    <n v="94469"/>
    <n v="4.9000000000000004"/>
    <n v="85.3"/>
    <n v="4"/>
    <n v="23"/>
    <n v="1112"/>
    <s v="Kavya"/>
    <s v="Full-Time"/>
    <s v="Excellent"/>
    <s v="High"/>
    <s v="Mid Level"/>
    <n v="95581"/>
    <s v="Needs Improvement"/>
    <s v="Normal"/>
    <s v="Mid"/>
    <s v="45+"/>
  </r>
  <r>
    <n v="1263"/>
    <s v="Priya"/>
    <s v="Male"/>
    <n v="28"/>
    <s v="Sales"/>
    <s v="Sales Executive"/>
    <x v="4"/>
    <s v="2024-03-27"/>
    <n v="6"/>
    <n v="29348"/>
    <n v="4.0999999999999996"/>
    <n v="86"/>
    <n v="5"/>
    <n v="6"/>
    <n v="14541"/>
    <s v="Suresh"/>
    <s v="Contract"/>
    <s v="Good"/>
    <s v="Low"/>
    <s v="Senior"/>
    <n v="43889"/>
    <s v="Needs Improvement"/>
    <s v="Normal"/>
    <s v="Mid"/>
    <s v="25-34"/>
  </r>
  <r>
    <n v="1264"/>
    <s v="Ravi"/>
    <s v="Male"/>
    <n v="25"/>
    <s v="HR"/>
    <s v="HR Manager"/>
    <x v="0"/>
    <s v="2019-07-20"/>
    <n v="4"/>
    <n v="57961"/>
    <n v="3.3"/>
    <n v="90.3"/>
    <n v="3"/>
    <n v="17"/>
    <n v="11284"/>
    <s v="Anitha"/>
    <s v="Contract"/>
    <s v="Average"/>
    <s v="Medium"/>
    <s v="Mid Level"/>
    <n v="69245"/>
    <s v="Needs Improvement"/>
    <s v="Normal"/>
    <s v="Mid"/>
    <s v="25-34"/>
  </r>
  <r>
    <n v="1265"/>
    <s v="Sneha"/>
    <s v="Female"/>
    <n v="26"/>
    <s v="Marketing"/>
    <s v="Marketing Executive"/>
    <x v="4"/>
    <s v="2022-02-04"/>
    <n v="2"/>
    <n v="52863"/>
    <n v="3.5"/>
    <n v="87.4"/>
    <n v="6"/>
    <n v="9"/>
    <n v="6821"/>
    <s v="Anitha"/>
    <s v="Contract"/>
    <s v="Average"/>
    <s v="Medium"/>
    <s v="Junior"/>
    <n v="59684"/>
    <s v="Needs Improvement"/>
    <s v="Normal"/>
    <s v="Junior"/>
    <s v="25-34"/>
  </r>
  <r>
    <n v="1266"/>
    <s v="Rahul"/>
    <s v="Female"/>
    <n v="28"/>
    <s v="Marketing"/>
    <s v="Marketing Executive"/>
    <x v="0"/>
    <s v="2022-02-17"/>
    <n v="1"/>
    <n v="93931"/>
    <n v="4"/>
    <n v="97.4"/>
    <n v="13"/>
    <n v="24"/>
    <n v="6010"/>
    <s v="Amit"/>
    <s v="Full-Time"/>
    <s v="Good"/>
    <s v="High"/>
    <s v="Junior"/>
    <n v="99941"/>
    <s v="Excellent"/>
    <s v="Normal"/>
    <s v="Junior"/>
    <s v="25-34"/>
  </r>
  <r>
    <n v="1267"/>
    <s v="Rahul"/>
    <s v="Male"/>
    <n v="41"/>
    <s v="IT"/>
    <s v="Data Analyst"/>
    <x v="3"/>
    <s v="2021-04-30"/>
    <n v="2"/>
    <n v="90731"/>
    <n v="3.8"/>
    <n v="98.6"/>
    <n v="25"/>
    <n v="40"/>
    <n v="6263"/>
    <s v="Anitha"/>
    <s v="Full-Time"/>
    <s v="Average"/>
    <s v="High"/>
    <s v="Junior"/>
    <n v="96994"/>
    <s v="Excellent"/>
    <s v="High"/>
    <s v="Junior"/>
    <s v="35-44"/>
  </r>
  <r>
    <n v="1268"/>
    <s v="Rahul"/>
    <s v="Female"/>
    <n v="27"/>
    <s v="IT"/>
    <s v="Software Engineer"/>
    <x v="1"/>
    <s v="2022-11-16"/>
    <n v="8"/>
    <n v="25589"/>
    <n v="4.2"/>
    <n v="90.7"/>
    <n v="12"/>
    <n v="28"/>
    <n v="4256"/>
    <s v="Ramesh"/>
    <s v="Full-Time"/>
    <s v="Good"/>
    <s v="Low"/>
    <s v="Senior"/>
    <n v="29845"/>
    <s v="Needs Improvement"/>
    <s v="Normal"/>
    <s v="Senior"/>
    <s v="25-34"/>
  </r>
  <r>
    <n v="1269"/>
    <s v="Varun"/>
    <s v="Female"/>
    <n v="31"/>
    <s v="Sales"/>
    <s v="Sales Executive"/>
    <x v="4"/>
    <s v="2024-05-06"/>
    <n v="3"/>
    <n v="45439"/>
    <n v="4.7"/>
    <n v="92.7"/>
    <n v="6"/>
    <n v="47"/>
    <n v="11340"/>
    <s v="Amit"/>
    <s v="Contract"/>
    <s v="Excellent"/>
    <s v="Low"/>
    <s v="Mid Level"/>
    <n v="56779"/>
    <s v="Needs Improvement"/>
    <s v="Normal"/>
    <s v="Mid"/>
    <s v="25-34"/>
  </r>
  <r>
    <n v="1270"/>
    <s v="Rahul"/>
    <s v="Male"/>
    <n v="31"/>
    <s v="Finance"/>
    <s v="Accountant"/>
    <x v="0"/>
    <s v="2020-02-25"/>
    <n v="6"/>
    <n v="30899"/>
    <n v="4"/>
    <n v="98.1"/>
    <n v="1"/>
    <n v="52"/>
    <n v="14594"/>
    <s v="Anitha"/>
    <s v="Full-Time"/>
    <s v="Good"/>
    <s v="Low"/>
    <s v="Senior"/>
    <n v="45493"/>
    <s v="Excellent"/>
    <s v="Normal"/>
    <s v="Mid"/>
    <s v="25-34"/>
  </r>
  <r>
    <n v="1271"/>
    <s v="Deepa"/>
    <s v="Male"/>
    <n v="30"/>
    <s v="HR"/>
    <s v="HR Manager"/>
    <x v="1"/>
    <s v="2021-04-29"/>
    <n v="3"/>
    <n v="58157"/>
    <n v="4.2"/>
    <n v="96.4"/>
    <n v="9"/>
    <n v="7"/>
    <n v="9069"/>
    <s v="Anitha"/>
    <s v="Contract"/>
    <s v="Good"/>
    <s v="Medium"/>
    <s v="Mid Level"/>
    <n v="67226"/>
    <s v="Excellent"/>
    <s v="Normal"/>
    <s v="Mid"/>
    <s v="25-34"/>
  </r>
  <r>
    <n v="1272"/>
    <s v="Sai"/>
    <s v="Female"/>
    <n v="28"/>
    <s v="Finance"/>
    <s v="Financial Analyst"/>
    <x v="0"/>
    <s v="2023-12-12"/>
    <n v="5"/>
    <n v="51875"/>
    <n v="2.7"/>
    <n v="92.3"/>
    <n v="19"/>
    <n v="27"/>
    <n v="11185"/>
    <s v="Amit"/>
    <s v="Full-Time"/>
    <s v="Needs Improvement"/>
    <s v="Medium"/>
    <s v="Mid Level"/>
    <n v="63060"/>
    <s v="Needs Improvement"/>
    <s v="Normal"/>
    <s v="Mid"/>
    <s v="25-34"/>
  </r>
  <r>
    <n v="1273"/>
    <s v="Divya"/>
    <s v="Female"/>
    <n v="29"/>
    <s v="Sales"/>
    <s v="Sales Executive"/>
    <x v="0"/>
    <s v="2025-04-18"/>
    <n v="6"/>
    <n v="94973"/>
    <n v="4.5"/>
    <n v="89.6"/>
    <n v="8"/>
    <n v="57"/>
    <n v="12870"/>
    <s v="Anitha"/>
    <s v="Contract"/>
    <s v="Excellent"/>
    <s v="High"/>
    <s v="Senior"/>
    <n v="107843"/>
    <s v="Needs Improvement"/>
    <s v="Normal"/>
    <s v="Mid"/>
    <s v="25-34"/>
  </r>
  <r>
    <n v="1274"/>
    <s v="Rahul"/>
    <s v="Female"/>
    <n v="28"/>
    <s v="Sales"/>
    <s v="Sales Manager"/>
    <x v="1"/>
    <s v="2018-04-12"/>
    <n v="6"/>
    <n v="92433"/>
    <n v="3.6"/>
    <n v="89.1"/>
    <n v="25"/>
    <n v="5"/>
    <n v="5508"/>
    <s v="Amit"/>
    <s v="Contract"/>
    <s v="Average"/>
    <s v="High"/>
    <s v="Senior"/>
    <n v="97941"/>
    <s v="Needs Improvement"/>
    <s v="High"/>
    <s v="Mid"/>
    <s v="25-34"/>
  </r>
  <r>
    <n v="1275"/>
    <s v="Keerthi"/>
    <s v="Male"/>
    <n v="26"/>
    <s v="IT"/>
    <s v="Senior Developer"/>
    <x v="4"/>
    <s v="2024-05-24"/>
    <n v="7"/>
    <n v="80191"/>
    <n v="4.7"/>
    <n v="98.6"/>
    <n v="2"/>
    <n v="7"/>
    <n v="5937"/>
    <s v="Suresh"/>
    <s v="Full-Time"/>
    <s v="Excellent"/>
    <s v="High"/>
    <s v="Senior"/>
    <n v="86128"/>
    <s v="Excellent"/>
    <s v="Normal"/>
    <s v="Senior"/>
    <s v="25-34"/>
  </r>
  <r>
    <n v="1276"/>
    <s v="Arjun"/>
    <s v="Male"/>
    <n v="41"/>
    <s v="Sales"/>
    <s v="Sales Executive"/>
    <x v="0"/>
    <s v="2020-03-28"/>
    <n v="9"/>
    <n v="73377"/>
    <n v="2.9"/>
    <n v="85.7"/>
    <n v="0"/>
    <n v="15"/>
    <n v="3349"/>
    <s v="Amit"/>
    <s v="Full-Time"/>
    <s v="Needs Improvement"/>
    <s v="High"/>
    <s v="Senior"/>
    <n v="76726"/>
    <s v="Needs Improvement"/>
    <s v="Normal"/>
    <s v="Senior"/>
    <s v="35-44"/>
  </r>
  <r>
    <n v="1277"/>
    <s v="Arjun"/>
    <s v="Male"/>
    <n v="38"/>
    <s v="IT"/>
    <s v="Senior Developer"/>
    <x v="4"/>
    <s v="2025-02-22"/>
    <n v="9"/>
    <n v="80628"/>
    <n v="3.4"/>
    <n v="93.5"/>
    <n v="15"/>
    <n v="53"/>
    <n v="5271"/>
    <s v="Suresh"/>
    <s v="Full-Time"/>
    <s v="Average"/>
    <s v="High"/>
    <s v="Senior"/>
    <n v="85899"/>
    <s v="Needs Improvement"/>
    <s v="Normal"/>
    <s v="Senior"/>
    <s v="35-44"/>
  </r>
  <r>
    <n v="1278"/>
    <s v="Nikhil"/>
    <s v="Male"/>
    <n v="30"/>
    <s v="IT"/>
    <s v="Software Engineer"/>
    <x v="1"/>
    <s v="2022-03-20"/>
    <n v="6"/>
    <n v="44871"/>
    <n v="2.9"/>
    <n v="83.6"/>
    <n v="6"/>
    <n v="20"/>
    <n v="7734"/>
    <s v="Kavya"/>
    <s v="Full-Time"/>
    <s v="Needs Improvement"/>
    <s v="Low"/>
    <s v="Senior"/>
    <n v="52605"/>
    <s v="Needs Improvement"/>
    <s v="Normal"/>
    <s v="Mid"/>
    <s v="25-34"/>
  </r>
  <r>
    <n v="1279"/>
    <s v="Meena"/>
    <s v="Male"/>
    <n v="39"/>
    <s v="HR"/>
    <s v="HR Executive"/>
    <x v="1"/>
    <s v="2019-07-07"/>
    <n v="5"/>
    <n v="83687"/>
    <n v="4.5"/>
    <n v="96.7"/>
    <n v="0"/>
    <n v="32"/>
    <n v="3292"/>
    <s v="Amit"/>
    <s v="Full-Time"/>
    <s v="Excellent"/>
    <s v="High"/>
    <s v="Mid Level"/>
    <n v="86979"/>
    <s v="Excellent"/>
    <s v="Normal"/>
    <s v="Mid"/>
    <s v="35-44"/>
  </r>
  <r>
    <n v="1280"/>
    <s v="Anu"/>
    <s v="Female"/>
    <n v="36"/>
    <s v="HR"/>
    <s v="HR Manager"/>
    <x v="3"/>
    <s v="2022-05-25"/>
    <n v="5"/>
    <n v="91887"/>
    <n v="4.0999999999999996"/>
    <n v="87.5"/>
    <n v="1"/>
    <n v="31"/>
    <n v="8904"/>
    <s v="Anitha"/>
    <s v="Full-Time"/>
    <s v="Good"/>
    <s v="High"/>
    <s v="Mid Level"/>
    <n v="100791"/>
    <s v="Needs Improvement"/>
    <s v="Normal"/>
    <s v="Mid"/>
    <s v="35-44"/>
  </r>
  <r>
    <n v="1281"/>
    <s v="Priya"/>
    <s v="Male"/>
    <n v="28"/>
    <s v="Finance"/>
    <s v="Accountant"/>
    <x v="0"/>
    <s v="2019-05-26"/>
    <n v="7"/>
    <n v="37920"/>
    <n v="4.2"/>
    <n v="83.3"/>
    <n v="20"/>
    <n v="5"/>
    <n v="7642"/>
    <s v="Kavya"/>
    <s v="Contract"/>
    <s v="Good"/>
    <s v="Low"/>
    <s v="Senior"/>
    <n v="45562"/>
    <s v="Needs Improvement"/>
    <s v="Normal"/>
    <s v="Senior"/>
    <s v="25-34"/>
  </r>
  <r>
    <n v="1282"/>
    <s v="Manoj"/>
    <s v="Female"/>
    <n v="42"/>
    <s v="Sales"/>
    <s v="Sales Manager"/>
    <x v="4"/>
    <s v="2018-06-04"/>
    <n v="9"/>
    <n v="70125"/>
    <n v="4"/>
    <n v="95.9"/>
    <n v="17"/>
    <n v="39"/>
    <n v="12648"/>
    <s v="Suresh"/>
    <s v="Contract"/>
    <s v="Good"/>
    <s v="High"/>
    <s v="Senior"/>
    <n v="82773"/>
    <s v="Excellent"/>
    <s v="Normal"/>
    <s v="Senior"/>
    <s v="35-44"/>
  </r>
  <r>
    <n v="1283"/>
    <s v="Sai"/>
    <s v="Male"/>
    <n v="26"/>
    <s v="Sales"/>
    <s v="Sales Executive"/>
    <x v="4"/>
    <s v="2018-01-13"/>
    <n v="4"/>
    <n v="44318"/>
    <n v="3.6"/>
    <n v="85.5"/>
    <n v="18"/>
    <n v="53"/>
    <n v="10176"/>
    <s v="Amit"/>
    <s v="Contract"/>
    <s v="Average"/>
    <s v="Low"/>
    <s v="Mid Level"/>
    <n v="54494"/>
    <s v="Needs Improvement"/>
    <s v="Normal"/>
    <s v="Mid"/>
    <s v="25-34"/>
  </r>
  <r>
    <n v="1284"/>
    <s v="Kiran"/>
    <s v="Male"/>
    <n v="38"/>
    <s v="IT"/>
    <s v="Software Engineer"/>
    <x v="3"/>
    <s v="2023-04-08"/>
    <n v="6"/>
    <n v="54707"/>
    <n v="2.9"/>
    <n v="82.1"/>
    <n v="17"/>
    <n v="24"/>
    <n v="1135"/>
    <s v="Kavya"/>
    <s v="Full-Time"/>
    <s v="Needs Improvement"/>
    <s v="Medium"/>
    <s v="Senior"/>
    <n v="55842"/>
    <s v="Needs Improvement"/>
    <s v="Normal"/>
    <s v="Mid"/>
    <s v="35-44"/>
  </r>
  <r>
    <n v="1285"/>
    <s v="Manoj"/>
    <s v="Male"/>
    <n v="37"/>
    <s v="Finance"/>
    <s v="Financial Analyst"/>
    <x v="4"/>
    <s v="2022-12-04"/>
    <n v="8"/>
    <n v="93574"/>
    <n v="3.8"/>
    <n v="87.3"/>
    <n v="0"/>
    <n v="43"/>
    <n v="5220"/>
    <s v="Anitha"/>
    <s v="Contract"/>
    <s v="Average"/>
    <s v="High"/>
    <s v="Senior"/>
    <n v="98794"/>
    <s v="Needs Improvement"/>
    <s v="Normal"/>
    <s v="Senior"/>
    <s v="35-44"/>
  </r>
  <r>
    <n v="1286"/>
    <s v="Anu"/>
    <s v="Female"/>
    <n v="27"/>
    <s v="HR"/>
    <s v="HR Manager"/>
    <x v="0"/>
    <s v="2024-09-16"/>
    <n v="5"/>
    <n v="54140"/>
    <n v="5"/>
    <n v="99.2"/>
    <n v="19"/>
    <n v="6"/>
    <n v="2196"/>
    <s v="Kavya"/>
    <s v="Contract"/>
    <s v="Excellent"/>
    <s v="Medium"/>
    <s v="Mid Level"/>
    <n v="56336"/>
    <s v="Excellent"/>
    <s v="Normal"/>
    <s v="Mid"/>
    <s v="25-34"/>
  </r>
  <r>
    <n v="1287"/>
    <s v="Manoj"/>
    <s v="Female"/>
    <n v="40"/>
    <s v="Marketing"/>
    <s v="Marketing Executive"/>
    <x v="0"/>
    <s v="2025-02-20"/>
    <n v="9"/>
    <n v="25396"/>
    <n v="2.5"/>
    <n v="96.8"/>
    <n v="8"/>
    <n v="36"/>
    <n v="11691"/>
    <s v="Ramesh"/>
    <s v="Contract"/>
    <s v="Needs Improvement"/>
    <s v="Low"/>
    <s v="Senior"/>
    <n v="37087"/>
    <s v="Excellent"/>
    <s v="Normal"/>
    <s v="Senior"/>
    <s v="35-44"/>
  </r>
  <r>
    <n v="1288"/>
    <s v="Nikhil"/>
    <s v="Male"/>
    <n v="31"/>
    <s v="IT"/>
    <s v="Software Engineer"/>
    <x v="3"/>
    <s v="2023-01-17"/>
    <n v="5"/>
    <n v="28661"/>
    <n v="3.2"/>
    <n v="94.7"/>
    <n v="12"/>
    <n v="35"/>
    <n v="9190"/>
    <s v="Suresh"/>
    <s v="Contract"/>
    <s v="Average"/>
    <s v="Low"/>
    <s v="Mid Level"/>
    <n v="37851"/>
    <s v="Needs Improvement"/>
    <s v="Normal"/>
    <s v="Mid"/>
    <s v="25-34"/>
  </r>
  <r>
    <n v="1289"/>
    <s v="Sonia"/>
    <s v="Male"/>
    <n v="41"/>
    <s v="Marketing"/>
    <s v="SEO Analyst"/>
    <x v="3"/>
    <s v="2018-03-21"/>
    <n v="10"/>
    <n v="59430"/>
    <n v="3.1"/>
    <n v="89.2"/>
    <n v="13"/>
    <n v="49"/>
    <n v="5497"/>
    <s v="Amit"/>
    <s v="Full-Time"/>
    <s v="Average"/>
    <s v="Medium"/>
    <s v="Senior"/>
    <n v="64927"/>
    <s v="Needs Improvement"/>
    <s v="Normal"/>
    <s v="Senior"/>
    <s v="35-44"/>
  </r>
  <r>
    <n v="1290"/>
    <s v="Sai"/>
    <s v="Female"/>
    <n v="39"/>
    <s v="Sales"/>
    <s v="Sales Executive"/>
    <x v="0"/>
    <s v="2020-05-15"/>
    <n v="2"/>
    <n v="49660"/>
    <n v="2.9"/>
    <n v="91.2"/>
    <n v="22"/>
    <n v="19"/>
    <n v="3275"/>
    <s v="Anitha"/>
    <s v="Contract"/>
    <s v="Needs Improvement"/>
    <s v="Low"/>
    <s v="Junior"/>
    <n v="52935"/>
    <s v="Needs Improvement"/>
    <s v="High"/>
    <s v="Junior"/>
    <s v="35-44"/>
  </r>
  <r>
    <n v="1291"/>
    <s v="Rahul"/>
    <s v="Male"/>
    <n v="43"/>
    <s v="Sales"/>
    <s v="Sales Executive"/>
    <x v="0"/>
    <s v="2020-01-20"/>
    <n v="5"/>
    <n v="28645"/>
    <n v="3.2"/>
    <n v="89.9"/>
    <n v="23"/>
    <n v="9"/>
    <n v="14922"/>
    <s v="Ramesh"/>
    <s v="Contract"/>
    <s v="Average"/>
    <s v="Low"/>
    <s v="Mid Level"/>
    <n v="43567"/>
    <s v="Needs Improvement"/>
    <s v="High"/>
    <s v="Mid"/>
    <s v="35-44"/>
  </r>
  <r>
    <n v="1292"/>
    <s v="Kiran"/>
    <s v="Female"/>
    <n v="23"/>
    <s v="Marketing"/>
    <s v="SEO Analyst"/>
    <x v="1"/>
    <s v="2022-12-12"/>
    <n v="10"/>
    <n v="55252"/>
    <n v="4.3"/>
    <n v="89.6"/>
    <n v="12"/>
    <n v="37"/>
    <n v="5420"/>
    <s v="Amit"/>
    <s v="Full-Time"/>
    <s v="Good"/>
    <s v="Medium"/>
    <s v="Senior"/>
    <n v="60672"/>
    <s v="Needs Improvement"/>
    <s v="Normal"/>
    <s v="Senior"/>
    <s v="20-24"/>
  </r>
  <r>
    <n v="1293"/>
    <s v="Varun"/>
    <s v="Female"/>
    <n v="38"/>
    <s v="Sales"/>
    <s v="Sales Manager"/>
    <x v="2"/>
    <s v="2023-12-05"/>
    <n v="1"/>
    <n v="46521"/>
    <n v="3.7"/>
    <n v="97.2"/>
    <n v="15"/>
    <n v="18"/>
    <n v="11084"/>
    <s v="Ramesh"/>
    <s v="Full-Time"/>
    <s v="Average"/>
    <s v="Low"/>
    <s v="Junior"/>
    <n v="57605"/>
    <s v="Excellent"/>
    <s v="Normal"/>
    <s v="Junior"/>
    <s v="35-44"/>
  </r>
  <r>
    <n v="1294"/>
    <s v="Sneha"/>
    <s v="Male"/>
    <n v="43"/>
    <s v="Marketing"/>
    <s v="SEO Analyst"/>
    <x v="3"/>
    <s v="2025-02-24"/>
    <n v="9"/>
    <n v="61062"/>
    <n v="3"/>
    <n v="94.7"/>
    <n v="22"/>
    <n v="34"/>
    <n v="5266"/>
    <s v="Amit"/>
    <s v="Full-Time"/>
    <s v="Average"/>
    <s v="Medium"/>
    <s v="Senior"/>
    <n v="66328"/>
    <s v="Needs Improvement"/>
    <s v="High"/>
    <s v="Senior"/>
    <s v="35-44"/>
  </r>
  <r>
    <n v="1295"/>
    <s v="Kiran"/>
    <s v="Male"/>
    <n v="37"/>
    <s v="HR"/>
    <s v="HR Manager"/>
    <x v="1"/>
    <s v="2020-10-12"/>
    <n v="6"/>
    <n v="80689"/>
    <n v="3.3"/>
    <n v="87.2"/>
    <n v="16"/>
    <n v="28"/>
    <n v="8631"/>
    <s v="Kavya"/>
    <s v="Full-Time"/>
    <s v="Average"/>
    <s v="High"/>
    <s v="Senior"/>
    <n v="89320"/>
    <s v="Needs Improvement"/>
    <s v="Normal"/>
    <s v="Mid"/>
    <s v="35-44"/>
  </r>
  <r>
    <n v="1296"/>
    <s v="Vijay"/>
    <s v="Female"/>
    <n v="40"/>
    <s v="Marketing"/>
    <s v="Marketing Executive"/>
    <x v="1"/>
    <s v="2025-03-18"/>
    <n v="3"/>
    <n v="83204"/>
    <n v="4"/>
    <n v="86"/>
    <n v="15"/>
    <n v="21"/>
    <n v="5568"/>
    <s v="Suresh"/>
    <s v="Full-Time"/>
    <s v="Good"/>
    <s v="High"/>
    <s v="Mid Level"/>
    <n v="88772"/>
    <s v="Needs Improvement"/>
    <s v="Normal"/>
    <s v="Mid"/>
    <s v="35-44"/>
  </r>
  <r>
    <n v="1297"/>
    <s v="Nikhil"/>
    <s v="Female"/>
    <n v="29"/>
    <s v="IT"/>
    <s v="Software Engineer"/>
    <x v="3"/>
    <s v="2018-08-07"/>
    <n v="1"/>
    <n v="77658"/>
    <n v="3.8"/>
    <n v="96.1"/>
    <n v="6"/>
    <n v="33"/>
    <n v="8369"/>
    <s v="Kavya"/>
    <s v="Full-Time"/>
    <s v="Average"/>
    <s v="High"/>
    <s v="Junior"/>
    <n v="86027"/>
    <s v="Excellent"/>
    <s v="Normal"/>
    <s v="Junior"/>
    <s v="25-34"/>
  </r>
  <r>
    <n v="1298"/>
    <s v="Harsha"/>
    <s v="Female"/>
    <n v="34"/>
    <s v="IT"/>
    <s v="Data Analyst"/>
    <x v="1"/>
    <s v="2023-03-18"/>
    <n v="9"/>
    <n v="52586"/>
    <n v="4.2"/>
    <n v="87.8"/>
    <n v="20"/>
    <n v="36"/>
    <n v="11831"/>
    <s v="Ramesh"/>
    <s v="Contract"/>
    <s v="Good"/>
    <s v="Medium"/>
    <s v="Senior"/>
    <n v="64417"/>
    <s v="Needs Improvement"/>
    <s v="Normal"/>
    <s v="Senior"/>
    <s v="25-34"/>
  </r>
  <r>
    <n v="1299"/>
    <s v="Varun"/>
    <s v="Male"/>
    <n v="44"/>
    <s v="Finance"/>
    <s v="Financial Analyst"/>
    <x v="1"/>
    <s v="2022-10-02"/>
    <n v="0"/>
    <m/>
    <n v="3.6"/>
    <n v="84.7"/>
    <n v="0"/>
    <n v="60"/>
    <n v="11804"/>
    <s v="Suresh"/>
    <s v="Full-Time"/>
    <s v="Average"/>
    <s v="Medium"/>
    <s v="Junior"/>
    <n v="11804"/>
    <s v="Needs Improvement"/>
    <s v="Normal"/>
    <s v="Junior"/>
    <s v="35-44"/>
  </r>
  <r>
    <n v="1300"/>
    <s v="Harsha"/>
    <s v="Female"/>
    <n v="32"/>
    <s v="Marketing"/>
    <s v="Marketing Executive"/>
    <x v="1"/>
    <s v="2022-01-15"/>
    <n v="5"/>
    <n v="56618"/>
    <n v="3.2"/>
    <n v="83.8"/>
    <n v="7"/>
    <n v="24"/>
    <n v="6054"/>
    <s v="Suresh"/>
    <s v="Full-Time"/>
    <s v="Average"/>
    <s v="Medium"/>
    <s v="Mid Level"/>
    <n v="62672"/>
    <s v="Needs Improvement"/>
    <s v="Normal"/>
    <s v="Mid"/>
    <s v="25-34"/>
  </r>
  <r>
    <n v="1301"/>
    <s v="Ravi"/>
    <s v="Female"/>
    <n v="23"/>
    <s v="IT"/>
    <s v="Software Engineer"/>
    <x v="0"/>
    <s v="2024-03-25"/>
    <n v="6"/>
    <n v="46704"/>
    <n v="4.9000000000000004"/>
    <n v="87.4"/>
    <n v="15"/>
    <n v="18"/>
    <n v="14291"/>
    <s v="Kavya"/>
    <s v="Full-Time"/>
    <s v="Excellent"/>
    <s v="Low"/>
    <s v="Senior"/>
    <n v="60995"/>
    <s v="Needs Improvement"/>
    <s v="Normal"/>
    <s v="Mid"/>
    <s v="20-24"/>
  </r>
  <r>
    <n v="1302"/>
    <s v="Sai"/>
    <s v="Female"/>
    <n v="29"/>
    <s v="Sales"/>
    <s v="Sales Executive"/>
    <x v="3"/>
    <s v="2021-01-18"/>
    <n v="9"/>
    <n v="50941"/>
    <n v="2.9"/>
    <n v="92.5"/>
    <n v="25"/>
    <n v="14"/>
    <n v="10972"/>
    <s v="Amit"/>
    <s v="Contract"/>
    <s v="Needs Improvement"/>
    <s v="Medium"/>
    <s v="Senior"/>
    <n v="61913"/>
    <s v="Needs Improvement"/>
    <s v="High"/>
    <s v="Senior"/>
    <s v="25-34"/>
  </r>
  <r>
    <n v="1303"/>
    <s v="Nikhil"/>
    <s v="Female"/>
    <n v="30"/>
    <s v="Sales"/>
    <s v="Sales Manager"/>
    <x v="4"/>
    <s v="2019-07-26"/>
    <n v="4"/>
    <n v="64334"/>
    <n v="3.8"/>
    <n v="94.8"/>
    <n v="7"/>
    <n v="48"/>
    <n v="4201"/>
    <s v="Ramesh"/>
    <s v="Full-Time"/>
    <s v="Average"/>
    <s v="Medium"/>
    <s v="Mid Level"/>
    <n v="68535"/>
    <s v="Needs Improvement"/>
    <s v="Normal"/>
    <s v="Mid"/>
    <s v="25-34"/>
  </r>
  <r>
    <n v="1304"/>
    <s v="Ajay"/>
    <s v="Male"/>
    <n v="45"/>
    <s v="Finance"/>
    <s v="Accountant"/>
    <x v="2"/>
    <s v="2023-08-25"/>
    <n v="9"/>
    <n v="36402"/>
    <n v="4.5"/>
    <n v="82.7"/>
    <n v="24"/>
    <n v="7"/>
    <n v="9099"/>
    <s v="Anitha"/>
    <s v="Full-Time"/>
    <s v="Excellent"/>
    <s v="Low"/>
    <s v="Senior"/>
    <n v="45501"/>
    <s v="Needs Improvement"/>
    <s v="High"/>
    <s v="Senior"/>
    <s v="45+"/>
  </r>
  <r>
    <n v="1305"/>
    <s v="Ravi"/>
    <s v="Male"/>
    <n v="31"/>
    <s v="Sales"/>
    <s v="Sales Executive"/>
    <x v="4"/>
    <s v="2022-03-25"/>
    <n v="9"/>
    <n v="65497"/>
    <n v="4.7"/>
    <n v="84.9"/>
    <n v="16"/>
    <n v="11"/>
    <n v="7479"/>
    <s v="Kavya"/>
    <s v="Full-Time"/>
    <s v="Excellent"/>
    <s v="Medium"/>
    <s v="Senior"/>
    <n v="72976"/>
    <s v="Needs Improvement"/>
    <s v="Normal"/>
    <s v="Senior"/>
    <s v="25-34"/>
  </r>
  <r>
    <n v="1306"/>
    <s v="Sneha"/>
    <s v="Male"/>
    <n v="24"/>
    <s v="Finance"/>
    <s v="Accountant"/>
    <x v="0"/>
    <s v="2020-07-31"/>
    <n v="3"/>
    <n v="85631"/>
    <n v="4.9000000000000004"/>
    <n v="95.8"/>
    <n v="25"/>
    <n v="18"/>
    <n v="4449"/>
    <s v="Suresh"/>
    <s v="Contract"/>
    <s v="Excellent"/>
    <s v="High"/>
    <s v="Mid Level"/>
    <n v="90080"/>
    <s v="Excellent"/>
    <s v="High"/>
    <s v="Mid"/>
    <s v="20-24"/>
  </r>
  <r>
    <n v="1307"/>
    <s v="Keerthi"/>
    <s v="Male"/>
    <n v="38"/>
    <s v="Finance"/>
    <s v="Accountant"/>
    <x v="1"/>
    <s v="2020-10-09"/>
    <n v="4"/>
    <n v="52909"/>
    <n v="2.7"/>
    <n v="93.3"/>
    <n v="25"/>
    <n v="24"/>
    <n v="3282"/>
    <s v="Kavya"/>
    <s v="Full-Time"/>
    <s v="Needs Improvement"/>
    <s v="Medium"/>
    <s v="Mid Level"/>
    <n v="56191"/>
    <s v="Needs Improvement"/>
    <s v="High"/>
    <s v="Mid"/>
    <s v="35-44"/>
  </r>
  <r>
    <n v="1308"/>
    <s v="Harsha"/>
    <s v="Female"/>
    <n v="25"/>
    <s v="Marketing"/>
    <s v="Marketing Executive"/>
    <x v="3"/>
    <s v="2024-12-25"/>
    <n v="10"/>
    <n v="64985"/>
    <n v="3.6"/>
    <n v="88.3"/>
    <n v="10"/>
    <n v="17"/>
    <n v="6388"/>
    <s v="Anitha"/>
    <s v="Contract"/>
    <s v="Average"/>
    <s v="Medium"/>
    <s v="Senior"/>
    <n v="71373"/>
    <s v="Needs Improvement"/>
    <s v="Normal"/>
    <s v="Senior"/>
    <s v="25-34"/>
  </r>
  <r>
    <n v="1309"/>
    <s v="Meena"/>
    <s v="Male"/>
    <n v="33"/>
    <s v="Finance"/>
    <s v="Financial Analyst"/>
    <x v="4"/>
    <s v="2019-10-04"/>
    <n v="9"/>
    <n v="86521"/>
    <n v="4.8"/>
    <n v="92.4"/>
    <n v="6"/>
    <n v="52"/>
    <n v="7001"/>
    <s v="Ramesh"/>
    <s v="Full-Time"/>
    <s v="Excellent"/>
    <s v="High"/>
    <s v="Senior"/>
    <n v="93522"/>
    <s v="Needs Improvement"/>
    <s v="Normal"/>
    <s v="Senior"/>
    <s v="25-34"/>
  </r>
  <r>
    <n v="1310"/>
    <s v="Sneha"/>
    <s v="Female"/>
    <n v="32"/>
    <s v="Finance"/>
    <s v="Financial Analyst"/>
    <x v="0"/>
    <s v="2024-11-07"/>
    <n v="0"/>
    <n v="41222"/>
    <n v="2.6"/>
    <n v="94.6"/>
    <n v="14"/>
    <n v="12"/>
    <n v="8916"/>
    <s v="Anitha"/>
    <s v="Contract"/>
    <s v="Needs Improvement"/>
    <s v="Low"/>
    <s v="Junior"/>
    <n v="50138"/>
    <s v="Needs Improvement"/>
    <s v="Normal"/>
    <s v="Junior"/>
    <s v="25-34"/>
  </r>
  <r>
    <n v="1311"/>
    <s v="Anu"/>
    <s v="Female"/>
    <n v="33"/>
    <s v="Marketing"/>
    <s v="Marketing Executive"/>
    <x v="4"/>
    <s v="2022-01-21"/>
    <n v="5"/>
    <n v="86847"/>
    <n v="3.2"/>
    <n v="88.7"/>
    <n v="9"/>
    <n v="51"/>
    <n v="13004"/>
    <s v="Ramesh"/>
    <s v="Contract"/>
    <s v="Average"/>
    <s v="High"/>
    <s v="Mid Level"/>
    <n v="99851"/>
    <s v="Needs Improvement"/>
    <s v="Normal"/>
    <s v="Mid"/>
    <s v="25-34"/>
  </r>
  <r>
    <n v="1312"/>
    <s v="Kiran"/>
    <s v="Female"/>
    <n v="32"/>
    <s v="Finance"/>
    <s v="Financial Analyst"/>
    <x v="0"/>
    <s v="2019-09-29"/>
    <n v="7"/>
    <n v="62118"/>
    <n v="3.1"/>
    <n v="96.9"/>
    <n v="16"/>
    <n v="8"/>
    <n v="6522"/>
    <s v="Kavya"/>
    <s v="Contract"/>
    <s v="Average"/>
    <s v="Medium"/>
    <s v="Senior"/>
    <n v="68640"/>
    <s v="Excellent"/>
    <s v="Normal"/>
    <s v="Senior"/>
    <s v="25-34"/>
  </r>
  <r>
    <n v="1313"/>
    <s v="Sai"/>
    <s v="Male"/>
    <n v="25"/>
    <s v="IT"/>
    <s v="Software Engineer"/>
    <x v="1"/>
    <s v="2018-12-03"/>
    <n v="9"/>
    <n v="62586"/>
    <n v="2.8"/>
    <n v="97.3"/>
    <n v="15"/>
    <n v="27"/>
    <n v="8423"/>
    <s v="Kavya"/>
    <s v="Contract"/>
    <s v="Needs Improvement"/>
    <s v="Medium"/>
    <s v="Senior"/>
    <n v="71009"/>
    <s v="Excellent"/>
    <s v="Normal"/>
    <s v="Senior"/>
    <s v="25-34"/>
  </r>
  <r>
    <n v="1314"/>
    <s v="Pooja"/>
    <s v="Male"/>
    <n v="41"/>
    <s v="IT"/>
    <s v="Data Analyst"/>
    <x v="3"/>
    <s v="2023-06-11"/>
    <n v="0"/>
    <n v="49848"/>
    <n v="4"/>
    <n v="87.1"/>
    <n v="13"/>
    <n v="44"/>
    <n v="9558"/>
    <s v="Amit"/>
    <s v="Full-Time"/>
    <s v="Good"/>
    <s v="Low"/>
    <s v="Junior"/>
    <n v="59406"/>
    <s v="Needs Improvement"/>
    <s v="Normal"/>
    <s v="Junior"/>
    <s v="35-44"/>
  </r>
  <r>
    <n v="1315"/>
    <s v="Sai"/>
    <s v="Female"/>
    <n v="29"/>
    <s v="IT"/>
    <s v="Data Analyst"/>
    <x v="2"/>
    <s v="2024-12-17"/>
    <n v="10"/>
    <n v="80700"/>
    <n v="4.9000000000000004"/>
    <n v="85.7"/>
    <n v="3"/>
    <n v="60"/>
    <n v="12225"/>
    <s v="Ramesh"/>
    <s v="Contract"/>
    <s v="Excellent"/>
    <s v="High"/>
    <s v="Senior"/>
    <n v="92925"/>
    <s v="Needs Improvement"/>
    <s v="Normal"/>
    <s v="Senior"/>
    <s v="25-34"/>
  </r>
  <r>
    <n v="1316"/>
    <s v="Ajay"/>
    <s v="Male"/>
    <n v="31"/>
    <s v="HR"/>
    <s v="HR Executive"/>
    <x v="3"/>
    <s v="2024-11-12"/>
    <n v="5"/>
    <n v="86651"/>
    <n v="2.5"/>
    <n v="86.6"/>
    <n v="6"/>
    <n v="51"/>
    <n v="7615"/>
    <s v="Anitha"/>
    <s v="Contract"/>
    <s v="Needs Improvement"/>
    <s v="High"/>
    <s v="Mid Level"/>
    <n v="94266"/>
    <s v="Needs Improvement"/>
    <s v="Normal"/>
    <s v="Mid"/>
    <s v="25-34"/>
  </r>
  <r>
    <n v="1317"/>
    <s v="Harsha"/>
    <s v="Female"/>
    <n v="34"/>
    <s v="Sales"/>
    <s v="Sales Executive"/>
    <x v="2"/>
    <s v="2019-04-07"/>
    <n v="10"/>
    <n v="41806"/>
    <n v="4.0999999999999996"/>
    <n v="86.4"/>
    <n v="14"/>
    <n v="20"/>
    <n v="5418"/>
    <s v="Ramesh"/>
    <s v="Contract"/>
    <s v="Good"/>
    <s v="Low"/>
    <s v="Senior"/>
    <n v="47224"/>
    <s v="Needs Improvement"/>
    <s v="Normal"/>
    <s v="Senior"/>
    <s v="25-34"/>
  </r>
  <r>
    <n v="1318"/>
    <s v="Arjun"/>
    <s v="Female"/>
    <n v="42"/>
    <s v="Finance"/>
    <s v="Accountant"/>
    <x v="4"/>
    <s v="2019-02-26"/>
    <n v="6"/>
    <n v="62523"/>
    <n v="4.2"/>
    <n v="90.8"/>
    <n v="21"/>
    <n v="52"/>
    <n v="5638"/>
    <s v="Anitha"/>
    <s v="Contract"/>
    <s v="Good"/>
    <s v="Medium"/>
    <s v="Senior"/>
    <n v="68161"/>
    <s v="Needs Improvement"/>
    <s v="High"/>
    <s v="Mid"/>
    <s v="35-44"/>
  </r>
  <r>
    <n v="1319"/>
    <s v="Sneha"/>
    <s v="Male"/>
    <n v="30"/>
    <s v="IT"/>
    <s v="Senior Developer"/>
    <x v="1"/>
    <s v="2024-08-30"/>
    <n v="6"/>
    <n v="41858"/>
    <n v="3.5"/>
    <n v="89.9"/>
    <n v="11"/>
    <n v="28"/>
    <n v="4955"/>
    <s v="Anitha"/>
    <s v="Contract"/>
    <s v="Average"/>
    <s v="Low"/>
    <s v="Senior"/>
    <n v="46813"/>
    <s v="Needs Improvement"/>
    <s v="Normal"/>
    <s v="Mid"/>
    <s v="25-34"/>
  </r>
  <r>
    <n v="1320"/>
    <s v="Arjun"/>
    <s v="Male"/>
    <n v="37"/>
    <s v="Marketing"/>
    <s v="SEO Analyst"/>
    <x v="3"/>
    <s v="2023-12-21"/>
    <n v="0"/>
    <n v="67145"/>
    <n v="4"/>
    <n v="87.1"/>
    <n v="12"/>
    <n v="17"/>
    <n v="8842"/>
    <s v="Amit"/>
    <s v="Full-Time"/>
    <s v="Good"/>
    <s v="Medium"/>
    <s v="Junior"/>
    <n v="75987"/>
    <s v="Needs Improvement"/>
    <s v="Normal"/>
    <s v="Junior"/>
    <s v="35-44"/>
  </r>
  <r>
    <n v="1321"/>
    <s v="Nikhil"/>
    <s v="Male"/>
    <n v="24"/>
    <s v="Sales"/>
    <s v="Sales Manager"/>
    <x v="0"/>
    <s v="2022-02-19"/>
    <n v="0"/>
    <n v="84086"/>
    <n v="4.9000000000000004"/>
    <n v="93.4"/>
    <n v="3"/>
    <n v="13"/>
    <n v="9123"/>
    <s v="Anitha"/>
    <s v="Full-Time"/>
    <s v="Excellent"/>
    <s v="High"/>
    <s v="Junior"/>
    <n v="93209"/>
    <s v="Needs Improvement"/>
    <s v="Normal"/>
    <s v="Junior"/>
    <s v="20-24"/>
  </r>
  <r>
    <n v="1322"/>
    <s v="Divya"/>
    <s v="Male"/>
    <n v="36"/>
    <s v="Marketing"/>
    <s v="SEO Analyst"/>
    <x v="2"/>
    <s v="2018-02-24"/>
    <n v="1"/>
    <n v="60613"/>
    <n v="3.2"/>
    <n v="95.7"/>
    <n v="24"/>
    <n v="35"/>
    <n v="5421"/>
    <s v="Suresh"/>
    <s v="Full-Time"/>
    <s v="Average"/>
    <s v="Medium"/>
    <s v="Junior"/>
    <n v="66034"/>
    <s v="Excellent"/>
    <s v="High"/>
    <s v="Junior"/>
    <s v="35-44"/>
  </r>
  <r>
    <n v="1323"/>
    <s v="Pooja"/>
    <s v="Male"/>
    <n v="35"/>
    <s v="Finance"/>
    <s v="Financial Analyst"/>
    <x v="1"/>
    <s v="2022-04-24"/>
    <n v="3"/>
    <n v="60653"/>
    <n v="4.5999999999999996"/>
    <n v="95.3"/>
    <n v="9"/>
    <n v="38"/>
    <n v="4661"/>
    <s v="Kavya"/>
    <s v="Contract"/>
    <s v="Excellent"/>
    <s v="Medium"/>
    <s v="Mid Level"/>
    <n v="65314"/>
    <s v="Excellent"/>
    <s v="Normal"/>
    <s v="Mid"/>
    <s v="35-44"/>
  </r>
  <r>
    <n v="1324"/>
    <s v="Ravi"/>
    <s v="Female"/>
    <n v="25"/>
    <s v="Marketing"/>
    <s v="SEO Analyst"/>
    <x v="2"/>
    <s v="2023-11-02"/>
    <n v="6"/>
    <n v="90933"/>
    <n v="3"/>
    <n v="98.1"/>
    <n v="7"/>
    <n v="44"/>
    <n v="14473"/>
    <s v="Kavya"/>
    <s v="Contract"/>
    <s v="Average"/>
    <s v="High"/>
    <s v="Senior"/>
    <n v="105406"/>
    <s v="Excellent"/>
    <s v="Normal"/>
    <s v="Mid"/>
    <s v="25-34"/>
  </r>
  <r>
    <n v="1325"/>
    <s v="Anu"/>
    <s v="Male"/>
    <n v="22"/>
    <s v="Marketing"/>
    <s v="Marketing Executive"/>
    <x v="1"/>
    <s v="2018-02-28"/>
    <n v="6"/>
    <n v="44033"/>
    <n v="4.3"/>
    <n v="83"/>
    <n v="22"/>
    <n v="20"/>
    <n v="14419"/>
    <s v="Kavya"/>
    <s v="Full-Time"/>
    <s v="Good"/>
    <s v="Low"/>
    <s v="Senior"/>
    <n v="58452"/>
    <s v="Needs Improvement"/>
    <s v="High"/>
    <s v="Mid"/>
    <s v="20-24"/>
  </r>
  <r>
    <n v="1326"/>
    <s v="Rahul"/>
    <s v="Male"/>
    <n v="30"/>
    <s v="IT"/>
    <s v="Software Engineer"/>
    <x v="0"/>
    <s v="2024-12-23"/>
    <n v="3"/>
    <n v="83950"/>
    <n v="2.9"/>
    <n v="90.4"/>
    <n v="5"/>
    <n v="5"/>
    <n v="4623"/>
    <s v="Anitha"/>
    <s v="Full-Time"/>
    <s v="Needs Improvement"/>
    <s v="High"/>
    <s v="Mid Level"/>
    <n v="88573"/>
    <s v="Needs Improvement"/>
    <s v="Normal"/>
    <s v="Mid"/>
    <s v="25-34"/>
  </r>
  <r>
    <n v="1327"/>
    <s v="Priya"/>
    <s v="Female"/>
    <n v="25"/>
    <s v="IT"/>
    <s v="Senior Developer"/>
    <x v="0"/>
    <s v="2022-09-09"/>
    <n v="10"/>
    <n v="82766"/>
    <n v="4.9000000000000004"/>
    <n v="94.7"/>
    <n v="23"/>
    <n v="31"/>
    <n v="4691"/>
    <s v="Anitha"/>
    <s v="Contract"/>
    <s v="Excellent"/>
    <s v="High"/>
    <s v="Senior"/>
    <n v="87457"/>
    <s v="Needs Improvement"/>
    <s v="High"/>
    <s v="Senior"/>
    <s v="25-34"/>
  </r>
  <r>
    <n v="1328"/>
    <s v="Anu"/>
    <s v="Female"/>
    <n v="41"/>
    <s v="Sales"/>
    <s v="Sales Manager"/>
    <x v="2"/>
    <s v="2018-07-02"/>
    <n v="6"/>
    <n v="55088"/>
    <n v="3.4"/>
    <n v="98.6"/>
    <n v="8"/>
    <n v="5"/>
    <n v="1152"/>
    <s v="Amit"/>
    <s v="Full-Time"/>
    <s v="Average"/>
    <s v="Medium"/>
    <s v="Senior"/>
    <n v="56240"/>
    <s v="Excellent"/>
    <s v="Normal"/>
    <s v="Mid"/>
    <s v="35-44"/>
  </r>
  <r>
    <n v="1329"/>
    <s v="Keerthi"/>
    <s v="Male"/>
    <n v="30"/>
    <s v="IT"/>
    <s v="Software Engineer"/>
    <x v="1"/>
    <s v="2024-01-27"/>
    <n v="7"/>
    <n v="83233"/>
    <n v="4.0999999999999996"/>
    <n v="92"/>
    <n v="13"/>
    <n v="10"/>
    <n v="4481"/>
    <s v="Suresh"/>
    <s v="Full-Time"/>
    <s v="Good"/>
    <s v="High"/>
    <s v="Senior"/>
    <n v="87714"/>
    <s v="Needs Improvement"/>
    <s v="Normal"/>
    <s v="Senior"/>
    <s v="25-34"/>
  </r>
  <r>
    <n v="1330"/>
    <s v="Rahul"/>
    <s v="Male"/>
    <n v="41"/>
    <s v="IT"/>
    <s v="Senior Developer"/>
    <x v="3"/>
    <s v="2018-12-17"/>
    <n v="2"/>
    <n v="90391"/>
    <n v="4.0999999999999996"/>
    <n v="90.3"/>
    <n v="12"/>
    <n v="49"/>
    <n v="13259"/>
    <s v="Anitha"/>
    <s v="Contract"/>
    <s v="Good"/>
    <s v="High"/>
    <s v="Junior"/>
    <n v="103650"/>
    <s v="Needs Improvement"/>
    <s v="Normal"/>
    <s v="Junior"/>
    <s v="35-44"/>
  </r>
  <r>
    <n v="1331"/>
    <s v="Nikhil"/>
    <s v="Male"/>
    <n v="24"/>
    <s v="Marketing"/>
    <s v="Marketing Executive"/>
    <x v="0"/>
    <s v="2023-08-21"/>
    <n v="5"/>
    <n v="89268"/>
    <n v="3.3"/>
    <n v="97.1"/>
    <n v="0"/>
    <n v="36"/>
    <n v="3195"/>
    <s v="Kavya"/>
    <s v="Full-Time"/>
    <s v="Average"/>
    <s v="High"/>
    <s v="Mid Level"/>
    <n v="92463"/>
    <s v="Excellent"/>
    <s v="Normal"/>
    <s v="Mid"/>
    <s v="20-24"/>
  </r>
  <r>
    <n v="1332"/>
    <s v="Nikhil"/>
    <s v="Male"/>
    <n v="26"/>
    <s v="Marketing"/>
    <s v="Marketing Executive"/>
    <x v="1"/>
    <s v="2021-07-06"/>
    <n v="9"/>
    <n v="80938"/>
    <n v="4.7"/>
    <n v="91.3"/>
    <n v="14"/>
    <n v="60"/>
    <n v="4621"/>
    <s v="Kavya"/>
    <s v="Contract"/>
    <s v="Excellent"/>
    <s v="High"/>
    <s v="Senior"/>
    <n v="85559"/>
    <s v="Needs Improvement"/>
    <s v="Normal"/>
    <s v="Senior"/>
    <s v="25-34"/>
  </r>
  <r>
    <n v="1333"/>
    <s v="Sneha"/>
    <s v="Male"/>
    <n v="41"/>
    <s v="Sales"/>
    <s v="Sales Manager"/>
    <x v="4"/>
    <s v="2024-12-24"/>
    <n v="4"/>
    <n v="55742"/>
    <n v="2.6"/>
    <n v="98.3"/>
    <n v="19"/>
    <n v="49"/>
    <n v="10371"/>
    <s v="Suresh"/>
    <s v="Full-Time"/>
    <s v="Needs Improvement"/>
    <s v="Medium"/>
    <s v="Mid Level"/>
    <n v="66113"/>
    <s v="Excellent"/>
    <s v="Normal"/>
    <s v="Mid"/>
    <s v="35-44"/>
  </r>
  <r>
    <n v="1334"/>
    <s v="Deepa"/>
    <s v="Male"/>
    <n v="30"/>
    <s v="Sales"/>
    <s v="Sales Manager"/>
    <x v="4"/>
    <s v="2019-04-21"/>
    <n v="4"/>
    <n v="75634"/>
    <n v="2.7"/>
    <n v="95.3"/>
    <n v="1"/>
    <n v="53"/>
    <n v="8225"/>
    <s v="Kavya"/>
    <s v="Contract"/>
    <s v="Needs Improvement"/>
    <s v="High"/>
    <s v="Mid Level"/>
    <n v="83859"/>
    <s v="Excellent"/>
    <s v="Normal"/>
    <s v="Mid"/>
    <s v="25-34"/>
  </r>
  <r>
    <n v="1335"/>
    <s v="Deepa"/>
    <s v="Male"/>
    <n v="30"/>
    <s v="Finance"/>
    <s v="Financial Analyst"/>
    <x v="3"/>
    <s v="2018-01-06"/>
    <n v="10"/>
    <n v="33791"/>
    <n v="4.5"/>
    <n v="98.7"/>
    <n v="7"/>
    <n v="42"/>
    <n v="14101"/>
    <s v="Amit"/>
    <s v="Full-Time"/>
    <s v="Excellent"/>
    <s v="Low"/>
    <s v="Senior"/>
    <n v="47892"/>
    <s v="Excellent"/>
    <s v="Normal"/>
    <s v="Senior"/>
    <s v="25-34"/>
  </r>
  <r>
    <n v="1336"/>
    <s v="Vijay"/>
    <s v="Female"/>
    <n v="37"/>
    <s v="HR"/>
    <s v="HR Executive"/>
    <x v="0"/>
    <s v="2022-06-16"/>
    <n v="6"/>
    <n v="66806"/>
    <n v="3.4"/>
    <n v="85.9"/>
    <n v="15"/>
    <n v="52"/>
    <n v="4902"/>
    <s v="Anitha"/>
    <s v="Full-Time"/>
    <s v="Average"/>
    <s v="Medium"/>
    <s v="Senior"/>
    <n v="71708"/>
    <s v="Needs Improvement"/>
    <s v="Normal"/>
    <s v="Mid"/>
    <s v="35-44"/>
  </r>
  <r>
    <n v="1337"/>
    <s v="Keerthi"/>
    <s v="Male"/>
    <n v="37"/>
    <s v="Marketing"/>
    <s v="SEO Analyst"/>
    <x v="3"/>
    <s v="2020-06-11"/>
    <n v="5"/>
    <n v="32706"/>
    <n v="4.8"/>
    <n v="91.8"/>
    <n v="7"/>
    <n v="51"/>
    <n v="10322"/>
    <s v="Amit"/>
    <s v="Full-Time"/>
    <s v="Excellent"/>
    <s v="Low"/>
    <s v="Mid Level"/>
    <n v="43028"/>
    <s v="Needs Improvement"/>
    <s v="Normal"/>
    <s v="Mid"/>
    <s v="35-44"/>
  </r>
  <r>
    <n v="1338"/>
    <s v="Rahul"/>
    <s v="Female"/>
    <n v="27"/>
    <s v="IT"/>
    <s v="Data Analyst"/>
    <x v="4"/>
    <s v="2021-05-28"/>
    <n v="7"/>
    <n v="60413"/>
    <n v="3.8"/>
    <n v="98.7"/>
    <n v="11"/>
    <n v="56"/>
    <n v="5669"/>
    <s v="Amit"/>
    <s v="Contract"/>
    <s v="Average"/>
    <s v="Medium"/>
    <s v="Senior"/>
    <n v="66082"/>
    <s v="Excellent"/>
    <s v="Normal"/>
    <s v="Senior"/>
    <s v="25-34"/>
  </r>
  <r>
    <n v="1339"/>
    <s v="Deepa"/>
    <s v="Female"/>
    <n v="29"/>
    <s v="Marketing"/>
    <s v="Marketing Executive"/>
    <x v="4"/>
    <s v="2023-08-22"/>
    <n v="7"/>
    <n v="71798"/>
    <n v="3.5"/>
    <n v="91"/>
    <n v="3"/>
    <n v="52"/>
    <n v="5855"/>
    <s v="Kavya"/>
    <s v="Full-Time"/>
    <s v="Average"/>
    <s v="High"/>
    <s v="Senior"/>
    <n v="77653"/>
    <s v="Needs Improvement"/>
    <s v="Normal"/>
    <s v="Senior"/>
    <s v="25-34"/>
  </r>
  <r>
    <n v="1340"/>
    <s v="Meena"/>
    <s v="Male"/>
    <n v="31"/>
    <s v="HR"/>
    <s v="HR Manager"/>
    <x v="4"/>
    <s v="2020-04-24"/>
    <n v="5"/>
    <n v="90479"/>
    <n v="3.3"/>
    <n v="95.2"/>
    <n v="25"/>
    <n v="47"/>
    <n v="11872"/>
    <s v="Amit"/>
    <s v="Full-Time"/>
    <s v="Average"/>
    <s v="High"/>
    <s v="Mid Level"/>
    <n v="102351"/>
    <s v="Excellent"/>
    <s v="High"/>
    <s v="Mid"/>
    <s v="25-34"/>
  </r>
  <r>
    <n v="1341"/>
    <s v="Pooja"/>
    <s v="Female"/>
    <n v="37"/>
    <s v="Marketing"/>
    <s v="SEO Analyst"/>
    <x v="2"/>
    <s v="2019-12-25"/>
    <n v="9"/>
    <n v="85379"/>
    <n v="4.0999999999999996"/>
    <n v="88.3"/>
    <n v="17"/>
    <n v="36"/>
    <n v="7633"/>
    <s v="Ramesh"/>
    <s v="Contract"/>
    <s v="Good"/>
    <s v="High"/>
    <s v="Senior"/>
    <n v="93012"/>
    <s v="Needs Improvement"/>
    <s v="Normal"/>
    <s v="Senior"/>
    <s v="35-44"/>
  </r>
  <r>
    <n v="1342"/>
    <s v="Sai"/>
    <s v="Male"/>
    <n v="26"/>
    <s v="Sales"/>
    <s v="Sales Manager"/>
    <x v="2"/>
    <s v="2019-05-07"/>
    <n v="9"/>
    <n v="83857"/>
    <n v="2.8"/>
    <n v="98.7"/>
    <n v="4"/>
    <n v="42"/>
    <n v="9415"/>
    <s v="Ramesh"/>
    <s v="Contract"/>
    <s v="Needs Improvement"/>
    <s v="High"/>
    <s v="Senior"/>
    <n v="93272"/>
    <s v="Excellent"/>
    <s v="Normal"/>
    <s v="Senior"/>
    <s v="25-34"/>
  </r>
  <r>
    <n v="1343"/>
    <s v="Varun"/>
    <s v="Female"/>
    <n v="44"/>
    <s v="Finance"/>
    <s v="Financial Analyst"/>
    <x v="4"/>
    <s v="2019-03-30"/>
    <n v="10"/>
    <n v="42746"/>
    <n v="2.8"/>
    <n v="89.8"/>
    <n v="15"/>
    <n v="38"/>
    <n v="3271"/>
    <s v="Anitha"/>
    <s v="Full-Time"/>
    <s v="Needs Improvement"/>
    <s v="Low"/>
    <s v="Senior"/>
    <n v="46017"/>
    <s v="Needs Improvement"/>
    <s v="Normal"/>
    <s v="Senior"/>
    <s v="35-44"/>
  </r>
  <r>
    <n v="1344"/>
    <s v="Varun"/>
    <s v="Female"/>
    <n v="43"/>
    <s v="Finance"/>
    <s v="Accountant"/>
    <x v="0"/>
    <s v="2021-11-22"/>
    <n v="3"/>
    <n v="69578"/>
    <n v="4.8"/>
    <n v="93.3"/>
    <n v="12"/>
    <n v="14"/>
    <n v="11907"/>
    <s v="Anitha"/>
    <s v="Contract"/>
    <s v="Excellent"/>
    <s v="Medium"/>
    <s v="Mid Level"/>
    <n v="81485"/>
    <s v="Needs Improvement"/>
    <s v="Normal"/>
    <s v="Mid"/>
    <s v="35-44"/>
  </r>
  <r>
    <n v="1345"/>
    <s v="Divya"/>
    <s v="Female"/>
    <n v="31"/>
    <s v="HR"/>
    <s v="HR Manager"/>
    <x v="4"/>
    <s v="2025-04-19"/>
    <n v="8"/>
    <n v="71534"/>
    <n v="4.5999999999999996"/>
    <n v="84.8"/>
    <n v="11"/>
    <n v="33"/>
    <n v="6830"/>
    <s v="Kavya"/>
    <s v="Contract"/>
    <s v="Excellent"/>
    <s v="High"/>
    <s v="Senior"/>
    <n v="78364"/>
    <s v="Needs Improvement"/>
    <s v="Normal"/>
    <s v="Senior"/>
    <s v="25-34"/>
  </r>
  <r>
    <n v="1346"/>
    <s v="Sai"/>
    <s v="Male"/>
    <n v="44"/>
    <s v="IT"/>
    <s v="Senior Developer"/>
    <x v="4"/>
    <s v="2024-07-26"/>
    <n v="10"/>
    <n v="75755"/>
    <n v="3.6"/>
    <n v="100"/>
    <n v="9"/>
    <n v="22"/>
    <n v="7044"/>
    <s v="Ramesh"/>
    <s v="Full-Time"/>
    <s v="Average"/>
    <s v="High"/>
    <s v="Senior"/>
    <n v="82799"/>
    <s v="Excellent"/>
    <s v="Normal"/>
    <s v="Senior"/>
    <s v="35-44"/>
  </r>
  <r>
    <n v="1347"/>
    <s v="Vijay"/>
    <s v="Male"/>
    <n v="39"/>
    <s v="Marketing"/>
    <s v="SEO Analyst"/>
    <x v="4"/>
    <s v="2019-04-08"/>
    <n v="9"/>
    <n v="68398"/>
    <n v="3.1"/>
    <n v="97.5"/>
    <n v="21"/>
    <n v="59"/>
    <n v="2243"/>
    <s v="Kavya"/>
    <s v="Contract"/>
    <s v="Average"/>
    <s v="Medium"/>
    <s v="Senior"/>
    <n v="70641"/>
    <s v="Excellent"/>
    <s v="High"/>
    <s v="Senior"/>
    <s v="35-44"/>
  </r>
  <r>
    <n v="1348"/>
    <s v="Nikhil"/>
    <s v="Male"/>
    <n v="45"/>
    <s v="IT"/>
    <s v="Data Analyst"/>
    <x v="2"/>
    <s v="2020-12-21"/>
    <n v="8"/>
    <n v="89217"/>
    <n v="3.6"/>
    <n v="85.8"/>
    <n v="8"/>
    <n v="36"/>
    <n v="13508"/>
    <s v="Suresh"/>
    <s v="Full-Time"/>
    <s v="Average"/>
    <s v="High"/>
    <s v="Senior"/>
    <n v="102725"/>
    <s v="Needs Improvement"/>
    <s v="Normal"/>
    <s v="Senior"/>
    <s v="45+"/>
  </r>
  <r>
    <n v="1349"/>
    <s v="Ravi"/>
    <s v="Male"/>
    <n v="23"/>
    <s v="HR"/>
    <s v="HR Executive"/>
    <x v="3"/>
    <s v="2020-03-27"/>
    <n v="8"/>
    <n v="41107"/>
    <n v="4.8"/>
    <n v="87.2"/>
    <n v="12"/>
    <n v="40"/>
    <n v="5534"/>
    <s v="Amit"/>
    <s v="Contract"/>
    <s v="Excellent"/>
    <s v="Low"/>
    <s v="Senior"/>
    <n v="46641"/>
    <s v="Needs Improvement"/>
    <s v="Normal"/>
    <s v="Senior"/>
    <s v="20-24"/>
  </r>
  <r>
    <n v="1350"/>
    <s v="Sai"/>
    <s v="Male"/>
    <n v="44"/>
    <s v="IT"/>
    <s v="Data Analyst"/>
    <x v="1"/>
    <s v="2021-05-31"/>
    <n v="2"/>
    <n v="40592"/>
    <n v="2.9"/>
    <n v="90"/>
    <n v="16"/>
    <n v="46"/>
    <n v="4698"/>
    <s v="Ramesh"/>
    <s v="Full-Time"/>
    <s v="Needs Improvement"/>
    <s v="Low"/>
    <s v="Junior"/>
    <n v="45290"/>
    <s v="Needs Improvement"/>
    <s v="Normal"/>
    <s v="Junior"/>
    <s v="35-44"/>
  </r>
  <r>
    <n v="1351"/>
    <s v="Varun"/>
    <s v="Male"/>
    <n v="38"/>
    <s v="HR"/>
    <s v="HR Executive"/>
    <x v="3"/>
    <s v="2018-11-23"/>
    <n v="9"/>
    <n v="46355"/>
    <n v="3.1"/>
    <n v="91.2"/>
    <n v="15"/>
    <n v="15"/>
    <n v="3599"/>
    <s v="Ramesh"/>
    <s v="Contract"/>
    <s v="Average"/>
    <s v="Low"/>
    <s v="Senior"/>
    <n v="49954"/>
    <s v="Needs Improvement"/>
    <s v="Normal"/>
    <s v="Senior"/>
    <s v="35-44"/>
  </r>
  <r>
    <n v="1352"/>
    <s v="Deepa"/>
    <s v="Male"/>
    <n v="43"/>
    <s v="HR"/>
    <s v="HR Executive"/>
    <x v="0"/>
    <s v="2019-11-28"/>
    <n v="5"/>
    <n v="56131"/>
    <n v="4.5999999999999996"/>
    <n v="85.5"/>
    <n v="23"/>
    <n v="11"/>
    <n v="6671"/>
    <s v="Anitha"/>
    <s v="Contract"/>
    <s v="Excellent"/>
    <s v="Medium"/>
    <s v="Mid Level"/>
    <n v="62802"/>
    <s v="Needs Improvement"/>
    <s v="High"/>
    <s v="Mid"/>
    <s v="35-44"/>
  </r>
  <r>
    <n v="1353"/>
    <s v="Manoj"/>
    <s v="Female"/>
    <n v="42"/>
    <s v="Finance"/>
    <s v="Financial Analyst"/>
    <x v="4"/>
    <s v="2019-06-28"/>
    <n v="6"/>
    <n v="89365"/>
    <n v="4.9000000000000004"/>
    <n v="83.1"/>
    <n v="10"/>
    <n v="18"/>
    <n v="6559"/>
    <s v="Amit"/>
    <s v="Contract"/>
    <s v="Excellent"/>
    <s v="High"/>
    <s v="Senior"/>
    <n v="95924"/>
    <s v="Needs Improvement"/>
    <s v="Normal"/>
    <s v="Mid"/>
    <s v="35-44"/>
  </r>
  <r>
    <n v="1354"/>
    <s v="Arjun"/>
    <s v="Female"/>
    <n v="42"/>
    <s v="HR"/>
    <s v="HR Executive"/>
    <x v="4"/>
    <s v="2021-12-09"/>
    <n v="10"/>
    <n v="34755"/>
    <n v="4.0999999999999996"/>
    <n v="93"/>
    <n v="2"/>
    <n v="11"/>
    <n v="4346"/>
    <s v="Suresh"/>
    <s v="Contract"/>
    <s v="Good"/>
    <s v="Low"/>
    <s v="Senior"/>
    <n v="39101"/>
    <s v="Needs Improvement"/>
    <s v="Normal"/>
    <s v="Senior"/>
    <s v="35-44"/>
  </r>
  <r>
    <n v="1355"/>
    <s v="Kiran"/>
    <s v="Female"/>
    <n v="25"/>
    <s v="IT"/>
    <s v="Senior Developer"/>
    <x v="2"/>
    <s v="2024-01-05"/>
    <n v="4"/>
    <n v="77854"/>
    <n v="2.8"/>
    <n v="92.1"/>
    <n v="24"/>
    <n v="23"/>
    <n v="2683"/>
    <s v="Anitha"/>
    <s v="Contract"/>
    <s v="Needs Improvement"/>
    <s v="High"/>
    <s v="Mid Level"/>
    <n v="80537"/>
    <s v="Needs Improvement"/>
    <s v="High"/>
    <s v="Mid"/>
    <s v="25-34"/>
  </r>
  <r>
    <n v="1356"/>
    <s v="Arjun"/>
    <s v="Female"/>
    <n v="25"/>
    <s v="HR"/>
    <s v="HR Executive"/>
    <x v="1"/>
    <s v="2024-01-03"/>
    <n v="7"/>
    <n v="73647"/>
    <n v="2.9"/>
    <n v="90.8"/>
    <n v="1"/>
    <n v="18"/>
    <n v="3761"/>
    <s v="Suresh"/>
    <s v="Full-Time"/>
    <s v="Needs Improvement"/>
    <s v="High"/>
    <s v="Senior"/>
    <n v="77408"/>
    <s v="Needs Improvement"/>
    <s v="Normal"/>
    <s v="Senior"/>
    <s v="25-34"/>
  </r>
  <r>
    <n v="1357"/>
    <s v="Manoj"/>
    <s v="Male"/>
    <n v="43"/>
    <s v="HR"/>
    <s v="HR Manager"/>
    <x v="0"/>
    <s v="2018-03-16"/>
    <n v="2"/>
    <n v="30416"/>
    <n v="3.7"/>
    <n v="87.6"/>
    <n v="20"/>
    <n v="48"/>
    <n v="1181"/>
    <s v="Ramesh"/>
    <s v="Contract"/>
    <s v="Average"/>
    <s v="Low"/>
    <s v="Junior"/>
    <n v="31597"/>
    <s v="Needs Improvement"/>
    <s v="Normal"/>
    <s v="Junior"/>
    <s v="35-44"/>
  </r>
  <r>
    <n v="1358"/>
    <s v="Harsha"/>
    <s v="Male"/>
    <n v="23"/>
    <s v="Finance"/>
    <s v="Accountant"/>
    <x v="1"/>
    <s v="2018-10-14"/>
    <n v="4"/>
    <n v="52196"/>
    <n v="3.3"/>
    <n v="87"/>
    <n v="17"/>
    <n v="57"/>
    <n v="10955"/>
    <s v="Amit"/>
    <s v="Contract"/>
    <s v="Average"/>
    <s v="Medium"/>
    <s v="Mid Level"/>
    <n v="63151"/>
    <s v="Needs Improvement"/>
    <s v="Normal"/>
    <s v="Mid"/>
    <s v="20-24"/>
  </r>
  <r>
    <n v="1359"/>
    <s v="Ajay"/>
    <s v="Male"/>
    <n v="31"/>
    <s v="HR"/>
    <s v="HR Manager"/>
    <x v="1"/>
    <s v="2022-12-01"/>
    <n v="0"/>
    <n v="32280"/>
    <n v="4.9000000000000004"/>
    <n v="90.8"/>
    <n v="20"/>
    <n v="34"/>
    <n v="7532"/>
    <s v="Ramesh"/>
    <s v="Contract"/>
    <s v="Excellent"/>
    <s v="Low"/>
    <s v="Junior"/>
    <n v="39812"/>
    <s v="Needs Improvement"/>
    <s v="Normal"/>
    <s v="Junior"/>
    <s v="25-34"/>
  </r>
  <r>
    <n v="1360"/>
    <s v="Rahul"/>
    <s v="Male"/>
    <n v="28"/>
    <s v="Sales"/>
    <s v="Sales Manager"/>
    <x v="3"/>
    <s v="2023-06-29"/>
    <n v="8"/>
    <n v="73920"/>
    <n v="4.3"/>
    <n v="92.1"/>
    <n v="12"/>
    <n v="54"/>
    <n v="14426"/>
    <s v="Anitha"/>
    <s v="Full-Time"/>
    <s v="Good"/>
    <s v="High"/>
    <s v="Senior"/>
    <n v="88346"/>
    <s v="Needs Improvement"/>
    <s v="Normal"/>
    <s v="Senior"/>
    <s v="25-34"/>
  </r>
  <r>
    <n v="1361"/>
    <s v="Pooja"/>
    <s v="Male"/>
    <n v="40"/>
    <s v="Marketing"/>
    <s v="Marketing Executive"/>
    <x v="1"/>
    <s v="2022-03-11"/>
    <n v="4"/>
    <n v="72680"/>
    <n v="2.6"/>
    <n v="92.1"/>
    <n v="19"/>
    <n v="58"/>
    <n v="13809"/>
    <s v="Suresh"/>
    <s v="Contract"/>
    <s v="Needs Improvement"/>
    <s v="High"/>
    <s v="Mid Level"/>
    <n v="86489"/>
    <s v="Needs Improvement"/>
    <s v="Normal"/>
    <s v="Mid"/>
    <s v="35-44"/>
  </r>
  <r>
    <n v="1362"/>
    <s v="Vijay"/>
    <s v="Male"/>
    <n v="39"/>
    <s v="HR"/>
    <s v="HR Manager"/>
    <x v="3"/>
    <s v="2025-01-22"/>
    <n v="2"/>
    <n v="59763"/>
    <n v="4.0999999999999996"/>
    <n v="93.9"/>
    <n v="24"/>
    <n v="8"/>
    <n v="14073"/>
    <s v="Kavya"/>
    <s v="Contract"/>
    <s v="Good"/>
    <s v="Medium"/>
    <s v="Junior"/>
    <n v="73836"/>
    <s v="Needs Improvement"/>
    <s v="High"/>
    <s v="Junior"/>
    <s v="35-44"/>
  </r>
  <r>
    <n v="1363"/>
    <s v="Nikhil"/>
    <s v="Female"/>
    <n v="30"/>
    <s v="Marketing"/>
    <s v="Marketing Executive"/>
    <x v="1"/>
    <s v="2024-07-18"/>
    <n v="3"/>
    <n v="61664"/>
    <n v="4.9000000000000004"/>
    <n v="94.2"/>
    <n v="24"/>
    <n v="7"/>
    <n v="14640"/>
    <s v="Anitha"/>
    <s v="Full-Time"/>
    <s v="Excellent"/>
    <s v="Medium"/>
    <s v="Mid Level"/>
    <n v="76304"/>
    <s v="Needs Improvement"/>
    <s v="High"/>
    <s v="Mid"/>
    <s v="25-34"/>
  </r>
  <r>
    <n v="1364"/>
    <s v="Kiran"/>
    <s v="Male"/>
    <n v="29"/>
    <s v="Finance"/>
    <s v="Accountant"/>
    <x v="0"/>
    <s v="2024-09-02"/>
    <n v="6"/>
    <n v="89583"/>
    <n v="4.8"/>
    <n v="91.9"/>
    <n v="4"/>
    <n v="15"/>
    <n v="7387"/>
    <s v="Ramesh"/>
    <s v="Full-Time"/>
    <s v="Excellent"/>
    <s v="High"/>
    <s v="Senior"/>
    <n v="96970"/>
    <s v="Needs Improvement"/>
    <s v="Normal"/>
    <s v="Mid"/>
    <s v="25-34"/>
  </r>
  <r>
    <n v="1365"/>
    <s v="Ravi"/>
    <s v="Female"/>
    <n v="41"/>
    <s v="Marketing"/>
    <s v="SEO Analyst"/>
    <x v="1"/>
    <s v="2024-02-13"/>
    <n v="0"/>
    <n v="62252"/>
    <n v="3.5"/>
    <n v="98.9"/>
    <n v="22"/>
    <n v="25"/>
    <n v="4986"/>
    <s v="Amit"/>
    <s v="Contract"/>
    <s v="Average"/>
    <s v="Medium"/>
    <s v="Junior"/>
    <n v="67238"/>
    <s v="Excellent"/>
    <s v="High"/>
    <s v="Junior"/>
    <s v="35-44"/>
  </r>
  <r>
    <n v="1366"/>
    <s v="Sonia"/>
    <s v="Female"/>
    <n v="34"/>
    <s v="Sales"/>
    <s v="Sales Executive"/>
    <x v="0"/>
    <s v="2020-12-12"/>
    <n v="3"/>
    <n v="27337"/>
    <n v="4"/>
    <n v="97.2"/>
    <n v="9"/>
    <n v="27"/>
    <n v="9739"/>
    <s v="Anitha"/>
    <s v="Full-Time"/>
    <s v="Good"/>
    <s v="Low"/>
    <s v="Mid Level"/>
    <n v="37076"/>
    <s v="Excellent"/>
    <s v="Normal"/>
    <s v="Mid"/>
    <s v="25-34"/>
  </r>
  <r>
    <n v="1367"/>
    <s v="Vijay"/>
    <s v="Male"/>
    <n v="27"/>
    <s v="HR"/>
    <s v="HR Executive"/>
    <x v="1"/>
    <s v="2018-04-16"/>
    <n v="7"/>
    <n v="55014"/>
    <n v="2.5"/>
    <n v="82.7"/>
    <n v="25"/>
    <n v="54"/>
    <n v="2804"/>
    <s v="Anitha"/>
    <s v="Contract"/>
    <s v="Needs Improvement"/>
    <s v="Medium"/>
    <s v="Senior"/>
    <n v="57818"/>
    <s v="Needs Improvement"/>
    <s v="High"/>
    <s v="Senior"/>
    <s v="25-34"/>
  </r>
  <r>
    <n v="1368"/>
    <s v="Sai"/>
    <s v="Male"/>
    <n v="34"/>
    <s v="Sales"/>
    <s v="Sales Executive"/>
    <x v="2"/>
    <s v="2021-12-26"/>
    <n v="3"/>
    <n v="63989"/>
    <n v="3.1"/>
    <n v="88.9"/>
    <n v="9"/>
    <n v="33"/>
    <n v="12777"/>
    <s v="Anitha"/>
    <s v="Contract"/>
    <s v="Average"/>
    <s v="Medium"/>
    <s v="Mid Level"/>
    <n v="76766"/>
    <s v="Needs Improvement"/>
    <s v="Normal"/>
    <s v="Mid"/>
    <s v="25-34"/>
  </r>
  <r>
    <n v="1369"/>
    <s v="Ravi"/>
    <s v="Female"/>
    <n v="25"/>
    <s v="HR"/>
    <s v="HR Executive"/>
    <x v="0"/>
    <s v="2024-06-16"/>
    <n v="4"/>
    <n v="71946"/>
    <n v="2.5"/>
    <n v="88.9"/>
    <n v="16"/>
    <n v="40"/>
    <n v="1464"/>
    <s v="Anitha"/>
    <s v="Contract"/>
    <s v="Needs Improvement"/>
    <s v="High"/>
    <s v="Mid Level"/>
    <n v="73410"/>
    <s v="Needs Improvement"/>
    <s v="Normal"/>
    <s v="Mid"/>
    <s v="25-34"/>
  </r>
  <r>
    <n v="1370"/>
    <s v="Meena"/>
    <s v="Female"/>
    <n v="44"/>
    <s v="IT"/>
    <s v="Software Engineer"/>
    <x v="0"/>
    <s v="2023-07-24"/>
    <n v="0"/>
    <n v="32249"/>
    <n v="4.9000000000000004"/>
    <n v="84.9"/>
    <n v="5"/>
    <n v="60"/>
    <n v="8327"/>
    <s v="Amit"/>
    <s v="Contract"/>
    <s v="Excellent"/>
    <s v="Low"/>
    <s v="Junior"/>
    <n v="40576"/>
    <s v="Needs Improvement"/>
    <s v="Normal"/>
    <s v="Junior"/>
    <s v="35-44"/>
  </r>
  <r>
    <n v="1371"/>
    <s v="Manoj"/>
    <s v="Male"/>
    <n v="35"/>
    <s v="HR"/>
    <s v="HR Manager"/>
    <x v="3"/>
    <s v="2021-09-19"/>
    <n v="8"/>
    <n v="73981"/>
    <n v="4.8"/>
    <n v="89.1"/>
    <n v="11"/>
    <n v="31"/>
    <n v="11098"/>
    <s v="Amit"/>
    <s v="Contract"/>
    <s v="Excellent"/>
    <s v="High"/>
    <s v="Senior"/>
    <n v="85079"/>
    <s v="Needs Improvement"/>
    <s v="Normal"/>
    <s v="Senior"/>
    <s v="35-44"/>
  </r>
  <r>
    <n v="1372"/>
    <s v="Keerthi"/>
    <s v="Female"/>
    <n v="22"/>
    <s v="Sales"/>
    <s v="Sales Manager"/>
    <x v="2"/>
    <s v="2024-01-26"/>
    <n v="6"/>
    <n v="75200"/>
    <n v="2.9"/>
    <n v="86.4"/>
    <n v="22"/>
    <n v="7"/>
    <n v="1291"/>
    <s v="Amit"/>
    <s v="Contract"/>
    <s v="Needs Improvement"/>
    <s v="High"/>
    <s v="Senior"/>
    <n v="76491"/>
    <s v="Needs Improvement"/>
    <s v="High"/>
    <s v="Mid"/>
    <s v="20-24"/>
  </r>
  <r>
    <n v="1373"/>
    <s v="Varun"/>
    <s v="Male"/>
    <n v="44"/>
    <s v="HR"/>
    <s v="HR Manager"/>
    <x v="0"/>
    <s v="2024-04-23"/>
    <n v="5"/>
    <n v="83804"/>
    <n v="2.9"/>
    <n v="91.5"/>
    <n v="16"/>
    <n v="17"/>
    <n v="4927"/>
    <s v="Suresh"/>
    <s v="Full-Time"/>
    <s v="Needs Improvement"/>
    <s v="High"/>
    <s v="Mid Level"/>
    <n v="88731"/>
    <s v="Needs Improvement"/>
    <s v="Normal"/>
    <s v="Mid"/>
    <s v="35-44"/>
  </r>
  <r>
    <n v="1374"/>
    <s v="Ajay"/>
    <s v="Female"/>
    <n v="41"/>
    <s v="Sales"/>
    <s v="Sales Manager"/>
    <x v="0"/>
    <s v="2025-04-30"/>
    <n v="9"/>
    <n v="27045"/>
    <n v="4.9000000000000004"/>
    <n v="95.9"/>
    <n v="5"/>
    <n v="31"/>
    <n v="7679"/>
    <s v="Anitha"/>
    <s v="Contract"/>
    <s v="Excellent"/>
    <s v="Low"/>
    <s v="Senior"/>
    <n v="34724"/>
    <s v="Excellent"/>
    <s v="Normal"/>
    <s v="Senior"/>
    <s v="35-44"/>
  </r>
  <r>
    <n v="1375"/>
    <s v="Varun"/>
    <s v="Male"/>
    <n v="24"/>
    <s v="Finance"/>
    <s v="Financial Analyst"/>
    <x v="4"/>
    <s v="2019-07-11"/>
    <n v="4"/>
    <n v="77852"/>
    <n v="4.0999999999999996"/>
    <n v="88"/>
    <n v="10"/>
    <n v="32"/>
    <n v="14864"/>
    <s v="Ramesh"/>
    <s v="Contract"/>
    <s v="Good"/>
    <s v="High"/>
    <s v="Mid Level"/>
    <n v="92716"/>
    <s v="Needs Improvement"/>
    <s v="Normal"/>
    <s v="Mid"/>
    <s v="20-24"/>
  </r>
  <r>
    <n v="1376"/>
    <s v="Vijay"/>
    <s v="Female"/>
    <n v="23"/>
    <s v="IT"/>
    <s v="Software Engineer"/>
    <x v="0"/>
    <s v="2024-08-17"/>
    <n v="2"/>
    <n v="58340"/>
    <n v="2.8"/>
    <n v="86.6"/>
    <n v="23"/>
    <n v="44"/>
    <n v="1322"/>
    <s v="Ramesh"/>
    <s v="Full-Time"/>
    <s v="Needs Improvement"/>
    <s v="Medium"/>
    <s v="Junior"/>
    <n v="59662"/>
    <s v="Needs Improvement"/>
    <s v="High"/>
    <s v="Junior"/>
    <s v="20-24"/>
  </r>
  <r>
    <n v="1377"/>
    <s v="Sai"/>
    <s v="Female"/>
    <n v="35"/>
    <s v="IT"/>
    <s v="Data Analyst"/>
    <x v="3"/>
    <s v="2023-01-23"/>
    <n v="7"/>
    <n v="52242"/>
    <n v="3.9"/>
    <n v="84.3"/>
    <n v="5"/>
    <n v="39"/>
    <n v="5420"/>
    <s v="Kavya"/>
    <s v="Full-Time"/>
    <s v="Average"/>
    <s v="Medium"/>
    <s v="Senior"/>
    <n v="57662"/>
    <s v="Needs Improvement"/>
    <s v="Normal"/>
    <s v="Senior"/>
    <s v="35-44"/>
  </r>
  <r>
    <n v="1378"/>
    <s v="Kiran"/>
    <s v="Male"/>
    <n v="28"/>
    <s v="Sales"/>
    <s v="Sales Executive"/>
    <x v="1"/>
    <s v="2021-01-19"/>
    <n v="0"/>
    <n v="34263"/>
    <n v="3.2"/>
    <n v="98.4"/>
    <n v="21"/>
    <n v="55"/>
    <n v="11007"/>
    <s v="Anitha"/>
    <s v="Full-Time"/>
    <s v="Average"/>
    <s v="Low"/>
    <s v="Junior"/>
    <n v="45270"/>
    <s v="Excellent"/>
    <s v="High"/>
    <s v="Junior"/>
    <s v="25-34"/>
  </r>
  <r>
    <n v="1379"/>
    <s v="Nikhil"/>
    <s v="Female"/>
    <n v="30"/>
    <s v="Marketing"/>
    <s v="SEO Analyst"/>
    <x v="1"/>
    <s v="2022-12-24"/>
    <n v="0"/>
    <n v="65553"/>
    <n v="4.0999999999999996"/>
    <n v="87.9"/>
    <n v="15"/>
    <n v="53"/>
    <n v="3394"/>
    <s v="Anitha"/>
    <s v="Full-Time"/>
    <s v="Good"/>
    <s v="Medium"/>
    <s v="Junior"/>
    <n v="68947"/>
    <s v="Needs Improvement"/>
    <s v="Normal"/>
    <s v="Junior"/>
    <s v="25-34"/>
  </r>
  <r>
    <n v="1380"/>
    <s v="Keerthi"/>
    <s v="Female"/>
    <n v="30"/>
    <s v="Finance"/>
    <s v="Accountant"/>
    <x v="0"/>
    <s v="2020-01-19"/>
    <n v="0"/>
    <n v="93544"/>
    <n v="2.9"/>
    <n v="95.9"/>
    <n v="23"/>
    <n v="46"/>
    <n v="13135"/>
    <s v="Amit"/>
    <s v="Contract"/>
    <s v="Needs Improvement"/>
    <s v="High"/>
    <s v="Junior"/>
    <n v="106679"/>
    <s v="Excellent"/>
    <s v="High"/>
    <s v="Junior"/>
    <s v="25-34"/>
  </r>
  <r>
    <n v="1381"/>
    <s v="Pooja"/>
    <s v="Male"/>
    <n v="22"/>
    <s v="HR"/>
    <s v="HR Manager"/>
    <x v="2"/>
    <s v="2019-07-17"/>
    <n v="1"/>
    <n v="41683"/>
    <n v="3.1"/>
    <n v="95.5"/>
    <n v="2"/>
    <n v="31"/>
    <n v="5472"/>
    <s v="Ramesh"/>
    <s v="Contract"/>
    <s v="Average"/>
    <s v="Low"/>
    <s v="Junior"/>
    <n v="47155"/>
    <s v="Excellent"/>
    <s v="Normal"/>
    <s v="Junior"/>
    <s v="20-24"/>
  </r>
  <r>
    <n v="1382"/>
    <s v="Sneha"/>
    <s v="Male"/>
    <n v="44"/>
    <s v="Finance"/>
    <s v="Accountant"/>
    <x v="4"/>
    <s v="2023-08-24"/>
    <n v="3"/>
    <n v="31533"/>
    <n v="3.6"/>
    <n v="82.1"/>
    <n v="10"/>
    <n v="26"/>
    <n v="7545"/>
    <s v="Suresh"/>
    <s v="Full-Time"/>
    <s v="Average"/>
    <s v="Low"/>
    <s v="Mid Level"/>
    <n v="39078"/>
    <s v="Needs Improvement"/>
    <s v="Normal"/>
    <s v="Mid"/>
    <s v="35-44"/>
  </r>
  <r>
    <n v="1383"/>
    <s v="Sai"/>
    <s v="Female"/>
    <n v="41"/>
    <s v="Marketing"/>
    <s v="SEO Analyst"/>
    <x v="1"/>
    <s v="2024-04-09"/>
    <n v="9"/>
    <n v="60581"/>
    <n v="3.2"/>
    <n v="86.9"/>
    <n v="8"/>
    <n v="55"/>
    <n v="13258"/>
    <s v="Suresh"/>
    <s v="Contract"/>
    <s v="Average"/>
    <s v="Medium"/>
    <s v="Senior"/>
    <n v="73839"/>
    <s v="Needs Improvement"/>
    <s v="Normal"/>
    <s v="Senior"/>
    <s v="35-44"/>
  </r>
  <r>
    <n v="1384"/>
    <s v="Arjun"/>
    <s v="Male"/>
    <n v="37"/>
    <s v="Marketing"/>
    <s v="Marketing Executive"/>
    <x v="4"/>
    <s v="2022-09-22"/>
    <n v="2"/>
    <n v="32481"/>
    <n v="3.2"/>
    <n v="88.2"/>
    <n v="17"/>
    <n v="21"/>
    <n v="13613"/>
    <s v="Kavya"/>
    <s v="Full-Time"/>
    <s v="Average"/>
    <s v="Low"/>
    <s v="Junior"/>
    <n v="46094"/>
    <s v="Needs Improvement"/>
    <s v="Normal"/>
    <s v="Junior"/>
    <s v="35-44"/>
  </r>
  <r>
    <n v="1385"/>
    <s v="Sonia"/>
    <s v="Male"/>
    <n v="32"/>
    <s v="Finance"/>
    <s v="Accountant"/>
    <x v="2"/>
    <s v="2024-07-07"/>
    <n v="7"/>
    <n v="37968"/>
    <n v="2.7"/>
    <n v="89.9"/>
    <n v="5"/>
    <n v="25"/>
    <n v="8517"/>
    <s v="Suresh"/>
    <s v="Full-Time"/>
    <s v="Needs Improvement"/>
    <s v="Low"/>
    <s v="Senior"/>
    <n v="46485"/>
    <s v="Needs Improvement"/>
    <s v="Normal"/>
    <s v="Senior"/>
    <s v="25-34"/>
  </r>
  <r>
    <n v="1386"/>
    <s v="Harsha"/>
    <s v="Female"/>
    <n v="41"/>
    <s v="IT"/>
    <s v="Software Engineer"/>
    <x v="4"/>
    <s v="2024-10-12"/>
    <n v="4"/>
    <n v="47639"/>
    <n v="4.9000000000000004"/>
    <n v="97.2"/>
    <n v="10"/>
    <n v="5"/>
    <n v="8103"/>
    <s v="Suresh"/>
    <s v="Full-Time"/>
    <s v="Excellent"/>
    <s v="Low"/>
    <s v="Mid Level"/>
    <n v="55742"/>
    <s v="Excellent"/>
    <s v="Normal"/>
    <s v="Mid"/>
    <s v="35-44"/>
  </r>
  <r>
    <n v="1387"/>
    <s v="Pooja"/>
    <s v="Male"/>
    <n v="45"/>
    <s v="IT"/>
    <s v="Software Engineer"/>
    <x v="3"/>
    <s v="2021-04-02"/>
    <n v="3"/>
    <n v="45990"/>
    <n v="3.4"/>
    <n v="98.1"/>
    <n v="12"/>
    <n v="56"/>
    <n v="10313"/>
    <s v="Kavya"/>
    <s v="Contract"/>
    <s v="Average"/>
    <s v="Low"/>
    <s v="Mid Level"/>
    <n v="56303"/>
    <s v="Excellent"/>
    <s v="Normal"/>
    <s v="Mid"/>
    <s v="45+"/>
  </r>
  <r>
    <n v="1388"/>
    <s v="Anu"/>
    <s v="Female"/>
    <n v="39"/>
    <s v="IT"/>
    <s v="Senior Developer"/>
    <x v="0"/>
    <s v="2021-02-09"/>
    <n v="10"/>
    <n v="88500"/>
    <n v="2.5"/>
    <n v="83.3"/>
    <n v="1"/>
    <n v="8"/>
    <n v="14809"/>
    <s v="Ramesh"/>
    <s v="Contract"/>
    <s v="Needs Improvement"/>
    <s v="High"/>
    <s v="Senior"/>
    <n v="103309"/>
    <s v="Needs Improvement"/>
    <s v="Normal"/>
    <s v="Senior"/>
    <s v="35-44"/>
  </r>
  <r>
    <n v="1389"/>
    <s v="Priya"/>
    <s v="Female"/>
    <n v="38"/>
    <s v="Finance"/>
    <s v="Financial Analyst"/>
    <x v="1"/>
    <s v="2022-08-27"/>
    <n v="4"/>
    <n v="75742"/>
    <n v="3.4"/>
    <n v="94.3"/>
    <n v="23"/>
    <n v="43"/>
    <n v="8522"/>
    <s v="Kavya"/>
    <s v="Contract"/>
    <s v="Average"/>
    <s v="High"/>
    <s v="Mid Level"/>
    <n v="84264"/>
    <s v="Needs Improvement"/>
    <s v="High"/>
    <s v="Mid"/>
    <s v="35-44"/>
  </r>
  <r>
    <n v="1390"/>
    <s v="Sonia"/>
    <s v="Male"/>
    <n v="34"/>
    <s v="HR"/>
    <s v="HR Executive"/>
    <x v="4"/>
    <s v="2023-01-01"/>
    <n v="4"/>
    <n v="31164"/>
    <n v="4.4000000000000004"/>
    <n v="86.9"/>
    <n v="21"/>
    <n v="43"/>
    <n v="4160"/>
    <s v="Suresh"/>
    <s v="Contract"/>
    <s v="Good"/>
    <s v="Low"/>
    <s v="Mid Level"/>
    <n v="35324"/>
    <s v="Needs Improvement"/>
    <s v="High"/>
    <s v="Mid"/>
    <s v="25-34"/>
  </r>
  <r>
    <n v="1391"/>
    <s v="Vijay"/>
    <s v="Male"/>
    <n v="43"/>
    <s v="IT"/>
    <s v="Software Engineer"/>
    <x v="3"/>
    <s v="2023-05-02"/>
    <n v="10"/>
    <n v="82716"/>
    <n v="3.9"/>
    <n v="93.8"/>
    <n v="4"/>
    <n v="51"/>
    <n v="14236"/>
    <s v="Amit"/>
    <s v="Contract"/>
    <s v="Average"/>
    <s v="High"/>
    <s v="Senior"/>
    <n v="96952"/>
    <s v="Needs Improvement"/>
    <s v="Normal"/>
    <s v="Senior"/>
    <s v="35-44"/>
  </r>
  <r>
    <n v="1392"/>
    <s v="Priya"/>
    <s v="Male"/>
    <n v="31"/>
    <s v="Finance"/>
    <s v="Financial Analyst"/>
    <x v="3"/>
    <s v="2020-10-16"/>
    <n v="6"/>
    <n v="87872"/>
    <n v="4.0999999999999996"/>
    <n v="87.5"/>
    <n v="16"/>
    <n v="47"/>
    <n v="7369"/>
    <s v="Ramesh"/>
    <s v="Contract"/>
    <s v="Good"/>
    <s v="High"/>
    <s v="Senior"/>
    <n v="95241"/>
    <s v="Needs Improvement"/>
    <s v="Normal"/>
    <s v="Mid"/>
    <s v="25-34"/>
  </r>
  <r>
    <n v="1393"/>
    <s v="Divya"/>
    <s v="Male"/>
    <n v="23"/>
    <s v="IT"/>
    <s v="Software Engineer"/>
    <x v="0"/>
    <s v="2018-10-25"/>
    <n v="10"/>
    <n v="69951"/>
    <n v="4.7"/>
    <n v="83.4"/>
    <n v="10"/>
    <n v="37"/>
    <n v="10617"/>
    <s v="Anitha"/>
    <s v="Full-Time"/>
    <s v="Excellent"/>
    <s v="Medium"/>
    <s v="Senior"/>
    <n v="80568"/>
    <s v="Needs Improvement"/>
    <s v="Normal"/>
    <s v="Senior"/>
    <s v="20-24"/>
  </r>
  <r>
    <n v="1394"/>
    <s v="Kiran"/>
    <s v="Female"/>
    <n v="34"/>
    <s v="IT"/>
    <s v="Software Engineer"/>
    <x v="1"/>
    <s v="2024-06-09"/>
    <n v="10"/>
    <n v="31818"/>
    <n v="4.7"/>
    <n v="93.8"/>
    <n v="14"/>
    <n v="40"/>
    <n v="8806"/>
    <s v="Anitha"/>
    <s v="Contract"/>
    <s v="Excellent"/>
    <s v="Low"/>
    <s v="Senior"/>
    <n v="40624"/>
    <s v="Needs Improvement"/>
    <s v="Normal"/>
    <s v="Senior"/>
    <s v="25-34"/>
  </r>
  <r>
    <n v="1395"/>
    <s v="Arjun"/>
    <s v="Male"/>
    <n v="41"/>
    <s v="HR"/>
    <s v="HR Manager"/>
    <x v="3"/>
    <s v="2024-12-17"/>
    <n v="0"/>
    <n v="64064"/>
    <n v="5"/>
    <n v="83.2"/>
    <n v="13"/>
    <n v="23"/>
    <n v="4604"/>
    <s v="Kavya"/>
    <s v="Full-Time"/>
    <s v="Excellent"/>
    <s v="Medium"/>
    <s v="Junior"/>
    <n v="68668"/>
    <s v="Needs Improvement"/>
    <s v="Normal"/>
    <s v="Junior"/>
    <s v="35-44"/>
  </r>
  <r>
    <n v="1396"/>
    <s v="Sneha"/>
    <s v="Male"/>
    <n v="30"/>
    <s v="IT"/>
    <s v="Senior Developer"/>
    <x v="2"/>
    <s v="2021-07-16"/>
    <n v="2"/>
    <n v="78133"/>
    <n v="4.7"/>
    <n v="96.6"/>
    <n v="17"/>
    <n v="47"/>
    <n v="12934"/>
    <s v="Amit"/>
    <s v="Contract"/>
    <s v="Excellent"/>
    <s v="High"/>
    <s v="Junior"/>
    <n v="91067"/>
    <s v="Excellent"/>
    <s v="Normal"/>
    <s v="Junior"/>
    <s v="25-34"/>
  </r>
  <r>
    <n v="1397"/>
    <s v="Anu"/>
    <s v="Female"/>
    <n v="42"/>
    <s v="HR"/>
    <s v="HR Manager"/>
    <x v="4"/>
    <s v="2018-10-03"/>
    <n v="7"/>
    <n v="34178"/>
    <n v="3.7"/>
    <n v="83.8"/>
    <n v="12"/>
    <n v="31"/>
    <n v="11641"/>
    <s v="Ramesh"/>
    <s v="Contract"/>
    <s v="Average"/>
    <s v="Low"/>
    <s v="Senior"/>
    <n v="45819"/>
    <s v="Needs Improvement"/>
    <s v="Normal"/>
    <s v="Senior"/>
    <s v="35-44"/>
  </r>
  <r>
    <n v="1398"/>
    <s v="Kiran"/>
    <s v="Male"/>
    <n v="23"/>
    <s v="Finance"/>
    <s v="Accountant"/>
    <x v="0"/>
    <s v="2021-06-07"/>
    <n v="6"/>
    <n v="34463"/>
    <n v="2.8"/>
    <n v="93.9"/>
    <n v="6"/>
    <n v="27"/>
    <n v="9550"/>
    <s v="Anitha"/>
    <s v="Contract"/>
    <s v="Needs Improvement"/>
    <s v="Low"/>
    <s v="Senior"/>
    <n v="44013"/>
    <s v="Needs Improvement"/>
    <s v="Normal"/>
    <s v="Mid"/>
    <s v="20-24"/>
  </r>
  <r>
    <n v="1399"/>
    <s v="Keerthi"/>
    <s v="Male"/>
    <n v="28"/>
    <s v="HR"/>
    <s v="HR Executive"/>
    <x v="0"/>
    <s v="2018-03-04"/>
    <n v="0"/>
    <n v="36132"/>
    <n v="4.9000000000000004"/>
    <n v="96.8"/>
    <n v="10"/>
    <n v="41"/>
    <n v="12755"/>
    <s v="Ramesh"/>
    <s v="Contract"/>
    <s v="Excellent"/>
    <s v="Low"/>
    <s v="Junior"/>
    <n v="48887"/>
    <s v="Excellent"/>
    <s v="Normal"/>
    <s v="Junior"/>
    <s v="25-34"/>
  </r>
  <r>
    <n v="1400"/>
    <s v="Nikhil"/>
    <s v="Male"/>
    <n v="26"/>
    <s v="Finance"/>
    <s v="Financial Analyst"/>
    <x v="2"/>
    <s v="2024-01-18"/>
    <n v="3"/>
    <n v="28825"/>
    <n v="3"/>
    <n v="99.9"/>
    <n v="22"/>
    <n v="55"/>
    <n v="4591"/>
    <s v="Ramesh"/>
    <s v="Contract"/>
    <s v="Average"/>
    <s v="Low"/>
    <s v="Mid Level"/>
    <n v="33416"/>
    <s v="Excellent"/>
    <s v="High"/>
    <s v="Mid"/>
    <s v="25-34"/>
  </r>
  <r>
    <n v="1401"/>
    <s v="Priya"/>
    <s v="Female"/>
    <n v="43"/>
    <s v="HR"/>
    <s v="HR Manager"/>
    <x v="0"/>
    <s v="2018-04-15"/>
    <n v="2"/>
    <n v="37653"/>
    <n v="4.0999999999999996"/>
    <n v="82.7"/>
    <n v="21"/>
    <n v="19"/>
    <n v="5766"/>
    <s v="Anitha"/>
    <s v="Full-Time"/>
    <s v="Good"/>
    <s v="Low"/>
    <s v="Junior"/>
    <n v="43419"/>
    <s v="Needs Improvement"/>
    <s v="High"/>
    <s v="Junior"/>
    <s v="35-44"/>
  </r>
  <r>
    <n v="1402"/>
    <s v="Ravi"/>
    <s v="Male"/>
    <n v="36"/>
    <s v="HR"/>
    <s v="HR Manager"/>
    <x v="2"/>
    <s v="2024-11-24"/>
    <n v="6"/>
    <n v="84503"/>
    <n v="4.0999999999999996"/>
    <n v="87.9"/>
    <n v="18"/>
    <n v="16"/>
    <n v="4692"/>
    <s v="Kavya"/>
    <s v="Contract"/>
    <s v="Good"/>
    <s v="High"/>
    <s v="Senior"/>
    <n v="89195"/>
    <s v="Needs Improvement"/>
    <s v="Normal"/>
    <s v="Mid"/>
    <s v="35-44"/>
  </r>
  <r>
    <n v="1403"/>
    <s v="Sonia"/>
    <s v="Male"/>
    <n v="34"/>
    <s v="HR"/>
    <s v="HR Manager"/>
    <x v="3"/>
    <s v="2019-04-24"/>
    <n v="4"/>
    <n v="60007"/>
    <n v="2.7"/>
    <n v="85.7"/>
    <n v="2"/>
    <n v="21"/>
    <n v="3715"/>
    <s v="Suresh"/>
    <s v="Full-Time"/>
    <s v="Needs Improvement"/>
    <s v="Medium"/>
    <s v="Mid Level"/>
    <n v="63722"/>
    <s v="Needs Improvement"/>
    <s v="Normal"/>
    <s v="Mid"/>
    <s v="25-34"/>
  </r>
  <r>
    <n v="1404"/>
    <s v="Pooja"/>
    <s v="Male"/>
    <n v="40"/>
    <s v="HR"/>
    <s v="HR Executive"/>
    <x v="4"/>
    <s v="2021-03-31"/>
    <n v="3"/>
    <n v="87643"/>
    <n v="3.2"/>
    <n v="88.8"/>
    <n v="15"/>
    <n v="15"/>
    <n v="7428"/>
    <s v="Suresh"/>
    <s v="Full-Time"/>
    <s v="Average"/>
    <s v="High"/>
    <s v="Mid Level"/>
    <n v="95071"/>
    <s v="Needs Improvement"/>
    <s v="Normal"/>
    <s v="Mid"/>
    <s v="35-44"/>
  </r>
  <r>
    <n v="1405"/>
    <s v="Sneha"/>
    <s v="Female"/>
    <n v="26"/>
    <s v="HR"/>
    <s v="HR Executive"/>
    <x v="0"/>
    <s v="2018-05-09"/>
    <n v="9"/>
    <n v="35868"/>
    <n v="4.2"/>
    <n v="87.4"/>
    <n v="5"/>
    <n v="39"/>
    <n v="14665"/>
    <s v="Amit"/>
    <s v="Full-Time"/>
    <s v="Good"/>
    <s v="Low"/>
    <s v="Senior"/>
    <n v="50533"/>
    <s v="Needs Improvement"/>
    <s v="Normal"/>
    <s v="Senior"/>
    <s v="25-34"/>
  </r>
  <r>
    <n v="1406"/>
    <s v="Nikhil"/>
    <s v="Male"/>
    <n v="26"/>
    <s v="HR"/>
    <s v="HR Executive"/>
    <x v="3"/>
    <s v="2021-02-05"/>
    <n v="6"/>
    <n v="90577"/>
    <n v="3.9"/>
    <n v="86.7"/>
    <n v="13"/>
    <n v="53"/>
    <n v="4854"/>
    <s v="Kavya"/>
    <s v="Contract"/>
    <s v="Average"/>
    <s v="High"/>
    <s v="Senior"/>
    <n v="95431"/>
    <s v="Needs Improvement"/>
    <s v="Normal"/>
    <s v="Mid"/>
    <s v="25-34"/>
  </r>
  <r>
    <n v="1407"/>
    <s v="Ravi"/>
    <s v="Male"/>
    <n v="43"/>
    <s v="Finance"/>
    <s v="Accountant"/>
    <x v="4"/>
    <s v="2019-04-30"/>
    <n v="7"/>
    <n v="47387"/>
    <n v="2.6"/>
    <n v="95.1"/>
    <n v="15"/>
    <n v="24"/>
    <n v="5599"/>
    <s v="Suresh"/>
    <s v="Full-Time"/>
    <s v="Needs Improvement"/>
    <s v="Low"/>
    <s v="Senior"/>
    <n v="52986"/>
    <s v="Excellent"/>
    <s v="Normal"/>
    <s v="Senior"/>
    <s v="35-44"/>
  </r>
  <r>
    <n v="1408"/>
    <s v="Deepa"/>
    <s v="Male"/>
    <n v="41"/>
    <s v="IT"/>
    <s v="Software Engineer"/>
    <x v="4"/>
    <s v="2024-07-22"/>
    <n v="1"/>
    <n v="58345"/>
    <n v="4.8"/>
    <n v="94"/>
    <n v="2"/>
    <n v="46"/>
    <n v="5331"/>
    <s v="Amit"/>
    <s v="Full-Time"/>
    <s v="Excellent"/>
    <s v="Medium"/>
    <s v="Junior"/>
    <n v="63676"/>
    <s v="Needs Improvement"/>
    <s v="Normal"/>
    <s v="Junior"/>
    <s v="35-44"/>
  </r>
  <r>
    <n v="1409"/>
    <s v="Rahul"/>
    <s v="Male"/>
    <n v="38"/>
    <s v="Marketing"/>
    <s v="Marketing Executive"/>
    <x v="2"/>
    <s v="2022-10-25"/>
    <n v="7"/>
    <n v="63231"/>
    <n v="4"/>
    <n v="87.8"/>
    <n v="18"/>
    <n v="20"/>
    <n v="8273"/>
    <s v="Anitha"/>
    <s v="Contract"/>
    <s v="Good"/>
    <s v="Medium"/>
    <s v="Senior"/>
    <n v="71504"/>
    <s v="Needs Improvement"/>
    <s v="Normal"/>
    <s v="Senior"/>
    <s v="35-44"/>
  </r>
  <r>
    <n v="1410"/>
    <s v="Sai"/>
    <s v="Male"/>
    <n v="24"/>
    <s v="Sales"/>
    <s v="Sales Executive"/>
    <x v="4"/>
    <s v="2022-12-05"/>
    <n v="0"/>
    <n v="76972"/>
    <n v="3.6"/>
    <n v="96.4"/>
    <n v="17"/>
    <n v="28"/>
    <n v="13530"/>
    <s v="Amit"/>
    <s v="Full-Time"/>
    <s v="Average"/>
    <s v="High"/>
    <s v="Junior"/>
    <n v="90502"/>
    <s v="Excellent"/>
    <s v="Normal"/>
    <s v="Junior"/>
    <s v="20-24"/>
  </r>
  <r>
    <n v="1411"/>
    <s v="Rahul"/>
    <s v="Male"/>
    <n v="42"/>
    <s v="Finance"/>
    <s v="Financial Analyst"/>
    <x v="4"/>
    <s v="2020-02-15"/>
    <n v="10"/>
    <n v="27569"/>
    <n v="4.9000000000000004"/>
    <n v="86.8"/>
    <n v="12"/>
    <n v="8"/>
    <n v="14909"/>
    <s v="Amit"/>
    <s v="Contract"/>
    <s v="Excellent"/>
    <s v="Low"/>
    <s v="Senior"/>
    <n v="42478"/>
    <s v="Needs Improvement"/>
    <s v="Normal"/>
    <s v="Senior"/>
    <s v="35-44"/>
  </r>
  <r>
    <n v="1412"/>
    <s v="Deepa"/>
    <s v="Female"/>
    <n v="34"/>
    <s v="HR"/>
    <s v="HR Manager"/>
    <x v="0"/>
    <s v="2019-04-12"/>
    <n v="10"/>
    <n v="50894"/>
    <n v="3.6"/>
    <n v="82.5"/>
    <n v="20"/>
    <n v="12"/>
    <n v="10160"/>
    <s v="Anitha"/>
    <s v="Contract"/>
    <s v="Average"/>
    <s v="Medium"/>
    <s v="Senior"/>
    <n v="61054"/>
    <s v="Needs Improvement"/>
    <s v="Normal"/>
    <s v="Senior"/>
    <s v="25-34"/>
  </r>
  <r>
    <n v="1413"/>
    <s v="Sai"/>
    <s v="Female"/>
    <n v="28"/>
    <s v="IT"/>
    <s v="Software Engineer"/>
    <x v="1"/>
    <s v="2022-02-12"/>
    <n v="5"/>
    <n v="33454"/>
    <n v="4.2"/>
    <n v="85.2"/>
    <n v="5"/>
    <n v="6"/>
    <n v="11613"/>
    <s v="Kavya"/>
    <s v="Full-Time"/>
    <s v="Good"/>
    <s v="Low"/>
    <s v="Mid Level"/>
    <n v="45067"/>
    <s v="Needs Improvement"/>
    <s v="Normal"/>
    <s v="Mid"/>
    <s v="25-34"/>
  </r>
  <r>
    <n v="1414"/>
    <s v="Pooja"/>
    <s v="Male"/>
    <n v="25"/>
    <s v="IT"/>
    <s v="Senior Developer"/>
    <x v="1"/>
    <s v="2024-08-29"/>
    <n v="9"/>
    <n v="49909"/>
    <n v="4.4000000000000004"/>
    <n v="89.4"/>
    <n v="3"/>
    <n v="45"/>
    <n v="8048"/>
    <s v="Ramesh"/>
    <s v="Contract"/>
    <s v="Good"/>
    <s v="Low"/>
    <s v="Senior"/>
    <n v="57957"/>
    <s v="Needs Improvement"/>
    <s v="Normal"/>
    <s v="Senior"/>
    <s v="25-34"/>
  </r>
  <r>
    <n v="1415"/>
    <s v="Sneha"/>
    <s v="Male"/>
    <n v="22"/>
    <s v="Sales"/>
    <s v="Sales Manager"/>
    <x v="4"/>
    <s v="2024-08-06"/>
    <n v="9"/>
    <n v="66586"/>
    <n v="3.8"/>
    <n v="96.5"/>
    <n v="21"/>
    <n v="5"/>
    <n v="5465"/>
    <s v="Anitha"/>
    <s v="Full-Time"/>
    <s v="Average"/>
    <s v="Medium"/>
    <s v="Senior"/>
    <n v="72051"/>
    <s v="Excellent"/>
    <s v="High"/>
    <s v="Senior"/>
    <s v="20-24"/>
  </r>
  <r>
    <n v="1416"/>
    <s v="Manoj"/>
    <s v="Female"/>
    <n v="39"/>
    <s v="Finance"/>
    <s v="Accountant"/>
    <x v="3"/>
    <s v="2019-10-14"/>
    <n v="7"/>
    <n v="86122"/>
    <n v="4.8"/>
    <n v="88.1"/>
    <n v="21"/>
    <n v="49"/>
    <n v="6262"/>
    <s v="Anitha"/>
    <s v="Contract"/>
    <s v="Excellent"/>
    <s v="High"/>
    <s v="Senior"/>
    <n v="92384"/>
    <s v="Needs Improvement"/>
    <s v="High"/>
    <s v="Senior"/>
    <s v="35-44"/>
  </r>
  <r>
    <n v="1417"/>
    <s v="Ajay"/>
    <s v="Female"/>
    <n v="34"/>
    <s v="IT"/>
    <s v="Software Engineer"/>
    <x v="3"/>
    <s v="2021-06-20"/>
    <n v="2"/>
    <n v="90006"/>
    <n v="3.8"/>
    <n v="88.5"/>
    <n v="6"/>
    <n v="27"/>
    <n v="3275"/>
    <s v="Anitha"/>
    <s v="Full-Time"/>
    <s v="Average"/>
    <s v="High"/>
    <s v="Junior"/>
    <n v="93281"/>
    <s v="Needs Improvement"/>
    <s v="Normal"/>
    <s v="Junior"/>
    <s v="25-34"/>
  </r>
  <r>
    <n v="1418"/>
    <s v="Ajay"/>
    <s v="Female"/>
    <n v="27"/>
    <s v="Sales"/>
    <s v="Sales Manager"/>
    <x v="2"/>
    <s v="2024-08-02"/>
    <n v="8"/>
    <n v="39225"/>
    <n v="2.5"/>
    <n v="90.3"/>
    <n v="8"/>
    <n v="16"/>
    <n v="1469"/>
    <s v="Amit"/>
    <s v="Contract"/>
    <s v="Needs Improvement"/>
    <s v="Low"/>
    <s v="Senior"/>
    <n v="40694"/>
    <s v="Needs Improvement"/>
    <s v="Normal"/>
    <s v="Senior"/>
    <s v="25-34"/>
  </r>
  <r>
    <n v="1419"/>
    <s v="Divya"/>
    <s v="Male"/>
    <n v="28"/>
    <s v="HR"/>
    <s v="HR Manager"/>
    <x v="3"/>
    <s v="2023-08-08"/>
    <n v="0"/>
    <n v="86245"/>
    <n v="3.4"/>
    <n v="97.1"/>
    <n v="8"/>
    <n v="55"/>
    <n v="13138"/>
    <s v="Suresh"/>
    <s v="Contract"/>
    <s v="Average"/>
    <s v="High"/>
    <s v="Junior"/>
    <n v="99383"/>
    <s v="Excellent"/>
    <s v="Normal"/>
    <s v="Junior"/>
    <s v="25-34"/>
  </r>
  <r>
    <n v="1420"/>
    <s v="Sai"/>
    <s v="Female"/>
    <n v="39"/>
    <s v="Sales"/>
    <s v="Sales Manager"/>
    <x v="3"/>
    <s v="2024-09-23"/>
    <n v="1"/>
    <n v="89981"/>
    <n v="4.2"/>
    <n v="85.5"/>
    <n v="15"/>
    <n v="44"/>
    <n v="6075"/>
    <s v="Kavya"/>
    <s v="Contract"/>
    <s v="Good"/>
    <s v="High"/>
    <s v="Junior"/>
    <n v="96056"/>
    <s v="Needs Improvement"/>
    <s v="Normal"/>
    <s v="Junior"/>
    <s v="35-44"/>
  </r>
  <r>
    <n v="1421"/>
    <s v="Anu"/>
    <s v="Female"/>
    <n v="37"/>
    <s v="HR"/>
    <s v="HR Manager"/>
    <x v="0"/>
    <s v="2025-03-12"/>
    <n v="6"/>
    <n v="37574"/>
    <n v="3.3"/>
    <n v="87.9"/>
    <n v="22"/>
    <n v="29"/>
    <n v="3753"/>
    <s v="Anitha"/>
    <s v="Full-Time"/>
    <s v="Average"/>
    <s v="Low"/>
    <s v="Senior"/>
    <n v="41327"/>
    <s v="Needs Improvement"/>
    <s v="High"/>
    <s v="Mid"/>
    <s v="35-44"/>
  </r>
  <r>
    <n v="1422"/>
    <s v="Sneha"/>
    <s v="Male"/>
    <n v="42"/>
    <s v="IT"/>
    <s v="Senior Developer"/>
    <x v="2"/>
    <s v="2024-10-14"/>
    <n v="10"/>
    <n v="69366"/>
    <n v="3.3"/>
    <n v="93.2"/>
    <n v="2"/>
    <n v="21"/>
    <n v="11381"/>
    <s v="Suresh"/>
    <s v="Full-Time"/>
    <s v="Average"/>
    <s v="Medium"/>
    <s v="Senior"/>
    <n v="80747"/>
    <s v="Needs Improvement"/>
    <s v="Normal"/>
    <s v="Senior"/>
    <s v="35-44"/>
  </r>
  <r>
    <n v="1423"/>
    <s v="Deepa"/>
    <s v="Female"/>
    <n v="34"/>
    <s v="Finance"/>
    <s v="Financial Analyst"/>
    <x v="0"/>
    <s v="2018-03-30"/>
    <n v="2"/>
    <n v="62621"/>
    <n v="4.0999999999999996"/>
    <n v="91.1"/>
    <n v="18"/>
    <n v="32"/>
    <n v="12274"/>
    <s v="Anitha"/>
    <s v="Contract"/>
    <s v="Good"/>
    <s v="Medium"/>
    <s v="Junior"/>
    <n v="74895"/>
    <s v="Needs Improvement"/>
    <s v="Normal"/>
    <s v="Junior"/>
    <s v="25-34"/>
  </r>
  <r>
    <n v="1424"/>
    <s v="Priya"/>
    <s v="Male"/>
    <n v="42"/>
    <s v="HR"/>
    <s v="HR Manager"/>
    <x v="2"/>
    <s v="2020-01-25"/>
    <n v="0"/>
    <n v="29712"/>
    <n v="4.3"/>
    <n v="97.5"/>
    <n v="5"/>
    <n v="39"/>
    <n v="8478"/>
    <s v="Suresh"/>
    <s v="Full-Time"/>
    <s v="Good"/>
    <s v="Low"/>
    <s v="Junior"/>
    <n v="38190"/>
    <s v="Excellent"/>
    <s v="Normal"/>
    <s v="Junior"/>
    <s v="35-44"/>
  </r>
  <r>
    <n v="1425"/>
    <s v="Vijay"/>
    <s v="Female"/>
    <n v="40"/>
    <s v="Finance"/>
    <s v="Financial Analyst"/>
    <x v="0"/>
    <s v="2024-09-01"/>
    <n v="5"/>
    <n v="87597"/>
    <n v="3.7"/>
    <n v="93.3"/>
    <n v="17"/>
    <n v="14"/>
    <n v="8239"/>
    <s v="Anitha"/>
    <s v="Full-Time"/>
    <s v="Average"/>
    <s v="High"/>
    <s v="Mid Level"/>
    <n v="95836"/>
    <s v="Needs Improvement"/>
    <s v="Normal"/>
    <s v="Mid"/>
    <s v="35-44"/>
  </r>
  <r>
    <n v="1426"/>
    <s v="Meena"/>
    <s v="Female"/>
    <n v="33"/>
    <s v="HR"/>
    <s v="HR Executive"/>
    <x v="1"/>
    <s v="2021-10-18"/>
    <n v="4"/>
    <n v="89149"/>
    <n v="4.5999999999999996"/>
    <n v="88.7"/>
    <n v="25"/>
    <n v="56"/>
    <n v="9860"/>
    <s v="Anitha"/>
    <s v="Contract"/>
    <s v="Excellent"/>
    <s v="High"/>
    <s v="Mid Level"/>
    <n v="99009"/>
    <s v="Needs Improvement"/>
    <s v="High"/>
    <s v="Mid"/>
    <s v="25-34"/>
  </r>
  <r>
    <n v="1427"/>
    <s v="Divya"/>
    <s v="Female"/>
    <n v="32"/>
    <s v="Marketing"/>
    <s v="Marketing Executive"/>
    <x v="4"/>
    <s v="2021-10-10"/>
    <n v="5"/>
    <n v="67808"/>
    <n v="3.5"/>
    <n v="87.1"/>
    <n v="20"/>
    <n v="38"/>
    <n v="2392"/>
    <s v="Suresh"/>
    <s v="Full-Time"/>
    <s v="Average"/>
    <s v="Medium"/>
    <s v="Mid Level"/>
    <n v="70200"/>
    <s v="Needs Improvement"/>
    <s v="Normal"/>
    <s v="Mid"/>
    <s v="25-34"/>
  </r>
  <r>
    <n v="1428"/>
    <s v="Arjun"/>
    <s v="Female"/>
    <n v="42"/>
    <s v="Sales"/>
    <s v="Sales Manager"/>
    <x v="3"/>
    <s v="2018-10-10"/>
    <n v="7"/>
    <n v="69547"/>
    <n v="4"/>
    <n v="82.6"/>
    <n v="7"/>
    <n v="53"/>
    <n v="14965"/>
    <s v="Amit"/>
    <s v="Full-Time"/>
    <s v="Good"/>
    <s v="Medium"/>
    <s v="Senior"/>
    <n v="84512"/>
    <s v="Needs Improvement"/>
    <s v="Normal"/>
    <s v="Senior"/>
    <s v="35-44"/>
  </r>
  <r>
    <n v="1429"/>
    <s v="Vijay"/>
    <s v="Male"/>
    <n v="35"/>
    <s v="Marketing"/>
    <s v="SEO Analyst"/>
    <x v="3"/>
    <s v="2019-10-22"/>
    <n v="3"/>
    <n v="80912"/>
    <n v="4"/>
    <n v="87.7"/>
    <n v="22"/>
    <n v="37"/>
    <n v="1502"/>
    <s v="Anitha"/>
    <s v="Full-Time"/>
    <s v="Good"/>
    <s v="High"/>
    <s v="Mid Level"/>
    <n v="82414"/>
    <s v="Needs Improvement"/>
    <s v="High"/>
    <s v="Mid"/>
    <s v="35-44"/>
  </r>
  <r>
    <n v="1430"/>
    <s v="Sai"/>
    <s v="Male"/>
    <n v="35"/>
    <s v="Finance"/>
    <s v="Accountant"/>
    <x v="2"/>
    <s v="2021-05-12"/>
    <n v="8"/>
    <n v="32958"/>
    <n v="4.3"/>
    <n v="93.6"/>
    <n v="6"/>
    <n v="53"/>
    <n v="14166"/>
    <s v="Suresh"/>
    <s v="Contract"/>
    <s v="Good"/>
    <s v="Low"/>
    <s v="Senior"/>
    <n v="47124"/>
    <s v="Needs Improvement"/>
    <s v="Normal"/>
    <s v="Senior"/>
    <s v="35-44"/>
  </r>
  <r>
    <n v="1431"/>
    <s v="Sonia"/>
    <s v="Female"/>
    <n v="27"/>
    <s v="HR"/>
    <s v="HR Executive"/>
    <x v="3"/>
    <s v="2021-10-05"/>
    <n v="2"/>
    <n v="28666"/>
    <n v="4"/>
    <n v="88.3"/>
    <n v="1"/>
    <n v="34"/>
    <n v="7713"/>
    <s v="Anitha"/>
    <s v="Contract"/>
    <s v="Good"/>
    <s v="Low"/>
    <s v="Junior"/>
    <n v="36379"/>
    <s v="Needs Improvement"/>
    <s v="Normal"/>
    <s v="Junior"/>
    <s v="25-34"/>
  </r>
  <r>
    <n v="1432"/>
    <s v="Sai"/>
    <s v="Male"/>
    <n v="32"/>
    <s v="HR"/>
    <s v="HR Executive"/>
    <x v="1"/>
    <s v="2022-01-02"/>
    <n v="8"/>
    <n v="68212"/>
    <n v="2.8"/>
    <n v="84.2"/>
    <n v="4"/>
    <n v="17"/>
    <n v="11223"/>
    <s v="Anitha"/>
    <s v="Contract"/>
    <s v="Needs Improvement"/>
    <s v="Medium"/>
    <s v="Senior"/>
    <n v="79435"/>
    <s v="Needs Improvement"/>
    <s v="Normal"/>
    <s v="Senior"/>
    <s v="25-34"/>
  </r>
  <r>
    <n v="1433"/>
    <s v="Ajay"/>
    <s v="Male"/>
    <n v="42"/>
    <s v="Sales"/>
    <s v="Sales Manager"/>
    <x v="2"/>
    <s v="2019-11-18"/>
    <n v="4"/>
    <n v="34101"/>
    <n v="4.5999999999999996"/>
    <n v="99.4"/>
    <n v="4"/>
    <n v="27"/>
    <n v="4666"/>
    <s v="Amit"/>
    <s v="Full-Time"/>
    <s v="Excellent"/>
    <s v="Low"/>
    <s v="Mid Level"/>
    <n v="38767"/>
    <s v="Excellent"/>
    <s v="Normal"/>
    <s v="Mid"/>
    <s v="35-44"/>
  </r>
  <r>
    <n v="1434"/>
    <s v="Divya"/>
    <s v="Male"/>
    <n v="35"/>
    <s v="Finance"/>
    <s v="Financial Analyst"/>
    <x v="2"/>
    <s v="2020-09-13"/>
    <n v="7"/>
    <n v="92385"/>
    <n v="3.1"/>
    <n v="95"/>
    <n v="9"/>
    <n v="54"/>
    <n v="5268"/>
    <s v="Ramesh"/>
    <s v="Contract"/>
    <s v="Average"/>
    <s v="High"/>
    <s v="Senior"/>
    <n v="97653"/>
    <s v="Excellent"/>
    <s v="Normal"/>
    <s v="Senior"/>
    <s v="35-44"/>
  </r>
  <r>
    <n v="1435"/>
    <s v="Sonia"/>
    <s v="Female"/>
    <n v="41"/>
    <s v="IT"/>
    <s v="Software Engineer"/>
    <x v="3"/>
    <s v="2023-09-04"/>
    <n v="9"/>
    <n v="63334"/>
    <n v="2.6"/>
    <n v="98.9"/>
    <n v="1"/>
    <n v="48"/>
    <n v="12082"/>
    <s v="Anitha"/>
    <s v="Full-Time"/>
    <s v="Needs Improvement"/>
    <s v="Medium"/>
    <s v="Senior"/>
    <n v="75416"/>
    <s v="Excellent"/>
    <s v="Normal"/>
    <s v="Senior"/>
    <s v="35-44"/>
  </r>
  <r>
    <n v="1436"/>
    <s v="Meena"/>
    <s v="Male"/>
    <n v="38"/>
    <s v="Sales"/>
    <s v="Sales Executive"/>
    <x v="2"/>
    <s v="2018-09-17"/>
    <n v="7"/>
    <n v="58320"/>
    <n v="4.5"/>
    <n v="83.9"/>
    <n v="12"/>
    <n v="36"/>
    <n v="4577"/>
    <s v="Anitha"/>
    <s v="Contract"/>
    <s v="Excellent"/>
    <s v="Medium"/>
    <s v="Senior"/>
    <n v="62897"/>
    <s v="Needs Improvement"/>
    <s v="Normal"/>
    <s v="Senior"/>
    <s v="35-44"/>
  </r>
  <r>
    <n v="1437"/>
    <s v="Sneha"/>
    <s v="Male"/>
    <n v="34"/>
    <s v="HR"/>
    <s v="HR Manager"/>
    <x v="0"/>
    <s v="2018-04-22"/>
    <n v="7"/>
    <n v="61911"/>
    <n v="4.3"/>
    <n v="86.5"/>
    <n v="20"/>
    <n v="15"/>
    <n v="6569"/>
    <s v="Kavya"/>
    <s v="Full-Time"/>
    <s v="Good"/>
    <s v="Medium"/>
    <s v="Senior"/>
    <n v="68480"/>
    <s v="Needs Improvement"/>
    <s v="Normal"/>
    <s v="Senior"/>
    <s v="25-34"/>
  </r>
  <r>
    <n v="1438"/>
    <s v="Manoj"/>
    <s v="Male"/>
    <n v="31"/>
    <s v="Finance"/>
    <s v="Accountant"/>
    <x v="4"/>
    <s v="2019-09-28"/>
    <n v="10"/>
    <n v="93613"/>
    <n v="3.8"/>
    <n v="87.4"/>
    <n v="3"/>
    <n v="16"/>
    <n v="9683"/>
    <s v="Suresh"/>
    <s v="Contract"/>
    <s v="Average"/>
    <s v="High"/>
    <s v="Senior"/>
    <n v="103296"/>
    <s v="Needs Improvement"/>
    <s v="Normal"/>
    <s v="Senior"/>
    <s v="25-34"/>
  </r>
  <r>
    <n v="1439"/>
    <s v="Deepa"/>
    <s v="Male"/>
    <n v="37"/>
    <s v="Marketing"/>
    <s v="Marketing Executive"/>
    <x v="1"/>
    <s v="2025-05-12"/>
    <n v="5"/>
    <n v="79725"/>
    <n v="2.9"/>
    <n v="90"/>
    <n v="1"/>
    <n v="36"/>
    <n v="13639"/>
    <s v="Anitha"/>
    <s v="Full-Time"/>
    <s v="Needs Improvement"/>
    <s v="High"/>
    <s v="Mid Level"/>
    <n v="93364"/>
    <s v="Needs Improvement"/>
    <s v="Normal"/>
    <s v="Mid"/>
    <s v="35-44"/>
  </r>
  <r>
    <n v="1440"/>
    <s v="Priya"/>
    <s v="Male"/>
    <n v="24"/>
    <s v="HR"/>
    <s v="HR Manager"/>
    <x v="0"/>
    <s v="2019-01-21"/>
    <n v="4"/>
    <n v="89813"/>
    <n v="4.8"/>
    <n v="99.2"/>
    <n v="16"/>
    <n v="21"/>
    <n v="7138"/>
    <s v="Kavya"/>
    <s v="Contract"/>
    <s v="Excellent"/>
    <s v="High"/>
    <s v="Mid Level"/>
    <n v="96951"/>
    <s v="Excellent"/>
    <s v="Normal"/>
    <s v="Mid"/>
    <s v="20-24"/>
  </r>
  <r>
    <n v="1441"/>
    <s v="Manoj"/>
    <s v="Male"/>
    <n v="29"/>
    <s v="HR"/>
    <s v="HR Manager"/>
    <x v="4"/>
    <s v="2025-03-29"/>
    <n v="5"/>
    <n v="79481"/>
    <n v="3.8"/>
    <n v="90.1"/>
    <n v="14"/>
    <n v="43"/>
    <n v="12307"/>
    <s v="Anitha"/>
    <s v="Contract"/>
    <s v="Average"/>
    <s v="High"/>
    <s v="Mid Level"/>
    <n v="91788"/>
    <s v="Needs Improvement"/>
    <s v="Normal"/>
    <s v="Mid"/>
    <s v="25-34"/>
  </r>
  <r>
    <n v="1442"/>
    <s v="Meena"/>
    <s v="Female"/>
    <n v="35"/>
    <s v="Marketing"/>
    <s v="SEO Analyst"/>
    <x v="3"/>
    <s v="2019-11-29"/>
    <n v="9"/>
    <n v="54408"/>
    <n v="3.1"/>
    <n v="87"/>
    <n v="4"/>
    <n v="38"/>
    <n v="6831"/>
    <s v="Ramesh"/>
    <s v="Contract"/>
    <s v="Average"/>
    <s v="Medium"/>
    <s v="Senior"/>
    <n v="61239"/>
    <s v="Needs Improvement"/>
    <s v="Normal"/>
    <s v="Senior"/>
    <s v="35-44"/>
  </r>
  <r>
    <n v="1443"/>
    <s v="Varun"/>
    <s v="Female"/>
    <n v="28"/>
    <s v="Marketing"/>
    <s v="SEO Analyst"/>
    <x v="0"/>
    <s v="2019-07-21"/>
    <n v="1"/>
    <n v="51135"/>
    <n v="3.5"/>
    <n v="89.3"/>
    <n v="16"/>
    <n v="17"/>
    <n v="7116"/>
    <s v="Ramesh"/>
    <s v="Contract"/>
    <s v="Average"/>
    <s v="Medium"/>
    <s v="Junior"/>
    <n v="58251"/>
    <s v="Needs Improvement"/>
    <s v="Normal"/>
    <s v="Junior"/>
    <s v="25-34"/>
  </r>
  <r>
    <n v="1444"/>
    <s v="Divya"/>
    <s v="Male"/>
    <n v="31"/>
    <s v="Marketing"/>
    <s v="SEO Analyst"/>
    <x v="2"/>
    <s v="2020-09-22"/>
    <n v="2"/>
    <n v="47521"/>
    <n v="3.7"/>
    <n v="90.7"/>
    <n v="17"/>
    <n v="33"/>
    <n v="14076"/>
    <s v="Ramesh"/>
    <s v="Full-Time"/>
    <s v="Average"/>
    <s v="Low"/>
    <s v="Junior"/>
    <n v="61597"/>
    <s v="Needs Improvement"/>
    <s v="Normal"/>
    <s v="Junior"/>
    <s v="25-34"/>
  </r>
  <r>
    <n v="1445"/>
    <s v="Varun"/>
    <s v="Female"/>
    <n v="25"/>
    <s v="Marketing"/>
    <s v="Marketing Executive"/>
    <x v="2"/>
    <s v="2020-02-22"/>
    <n v="7"/>
    <n v="33989"/>
    <n v="3.7"/>
    <n v="92.8"/>
    <n v="18"/>
    <n v="21"/>
    <n v="1511"/>
    <s v="Suresh"/>
    <s v="Full-Time"/>
    <s v="Average"/>
    <s v="Low"/>
    <s v="Senior"/>
    <n v="35500"/>
    <s v="Needs Improvement"/>
    <s v="Normal"/>
    <s v="Senior"/>
    <s v="25-34"/>
  </r>
  <r>
    <n v="1446"/>
    <s v="Harsha"/>
    <s v="Male"/>
    <n v="39"/>
    <s v="Marketing"/>
    <s v="Marketing Executive"/>
    <x v="0"/>
    <s v="2019-07-10"/>
    <n v="6"/>
    <n v="68781"/>
    <n v="3.8"/>
    <n v="94.3"/>
    <n v="24"/>
    <n v="5"/>
    <n v="11479"/>
    <s v="Suresh"/>
    <s v="Contract"/>
    <s v="Average"/>
    <s v="Medium"/>
    <s v="Senior"/>
    <n v="80260"/>
    <s v="Needs Improvement"/>
    <s v="High"/>
    <s v="Mid"/>
    <s v="35-44"/>
  </r>
  <r>
    <n v="1447"/>
    <s v="Divya"/>
    <s v="Female"/>
    <n v="32"/>
    <s v="Marketing"/>
    <s v="SEO Analyst"/>
    <x v="0"/>
    <s v="2019-10-03"/>
    <n v="9"/>
    <n v="25112"/>
    <n v="2.7"/>
    <n v="92"/>
    <n v="19"/>
    <n v="60"/>
    <n v="7853"/>
    <s v="Anitha"/>
    <s v="Contract"/>
    <s v="Needs Improvement"/>
    <s v="Low"/>
    <s v="Senior"/>
    <n v="32965"/>
    <s v="Needs Improvement"/>
    <s v="Normal"/>
    <s v="Senior"/>
    <s v="25-34"/>
  </r>
  <r>
    <n v="1448"/>
    <s v="Vijay"/>
    <s v="Female"/>
    <n v="25"/>
    <s v="Marketing"/>
    <s v="Marketing Executive"/>
    <x v="0"/>
    <s v="2018-10-11"/>
    <n v="0"/>
    <n v="84821"/>
    <n v="3.6"/>
    <n v="86.2"/>
    <n v="14"/>
    <n v="41"/>
    <n v="11118"/>
    <s v="Ramesh"/>
    <s v="Contract"/>
    <s v="Average"/>
    <s v="High"/>
    <s v="Junior"/>
    <n v="95939"/>
    <s v="Needs Improvement"/>
    <s v="Normal"/>
    <s v="Junior"/>
    <s v="25-34"/>
  </r>
  <r>
    <n v="1449"/>
    <s v="Varun"/>
    <s v="Male"/>
    <n v="44"/>
    <s v="Sales"/>
    <s v="Sales Manager"/>
    <x v="3"/>
    <s v="2018-09-08"/>
    <n v="5"/>
    <m/>
    <n v="4.5"/>
    <n v="98.7"/>
    <n v="6"/>
    <n v="7"/>
    <n v="10031"/>
    <s v="Amit"/>
    <s v="Contract"/>
    <s v="Excellent"/>
    <s v="Medium"/>
    <s v="Mid Level"/>
    <n v="10031"/>
    <s v="Excellent"/>
    <s v="Normal"/>
    <s v="Mid"/>
    <s v="35-44"/>
  </r>
  <r>
    <n v="1450"/>
    <s v="Anu"/>
    <s v="Female"/>
    <n v="44"/>
    <s v="HR"/>
    <s v="HR Executive"/>
    <x v="2"/>
    <s v="2023-12-14"/>
    <n v="1"/>
    <n v="92315"/>
    <n v="3.3"/>
    <n v="94.1"/>
    <n v="18"/>
    <n v="21"/>
    <n v="14665"/>
    <s v="Ramesh"/>
    <s v="Full-Time"/>
    <s v="Average"/>
    <s v="High"/>
    <s v="Junior"/>
    <n v="106980"/>
    <s v="Needs Improvement"/>
    <s v="Normal"/>
    <s v="Junior"/>
    <s v="35-44"/>
  </r>
  <r>
    <n v="1451"/>
    <s v="Harsha"/>
    <s v="Female"/>
    <n v="34"/>
    <s v="IT"/>
    <s v="Software Engineer"/>
    <x v="2"/>
    <s v="2024-09-29"/>
    <n v="3"/>
    <n v="74441"/>
    <n v="4"/>
    <n v="89.7"/>
    <n v="12"/>
    <n v="37"/>
    <n v="2761"/>
    <s v="Ramesh"/>
    <s v="Full-Time"/>
    <s v="Good"/>
    <s v="High"/>
    <s v="Mid Level"/>
    <n v="77202"/>
    <s v="Needs Improvement"/>
    <s v="Normal"/>
    <s v="Mid"/>
    <s v="25-34"/>
  </r>
  <r>
    <n v="1452"/>
    <s v="Keerthi"/>
    <s v="Male"/>
    <n v="22"/>
    <s v="Finance"/>
    <s v="Accountant"/>
    <x v="2"/>
    <s v="2024-09-29"/>
    <n v="7"/>
    <n v="76387"/>
    <n v="4.9000000000000004"/>
    <n v="91.9"/>
    <n v="0"/>
    <n v="10"/>
    <n v="4836"/>
    <s v="Kavya"/>
    <s v="Contract"/>
    <s v="Excellent"/>
    <s v="High"/>
    <s v="Senior"/>
    <n v="81223"/>
    <s v="Needs Improvement"/>
    <s v="Normal"/>
    <s v="Senior"/>
    <s v="20-24"/>
  </r>
  <r>
    <n v="1453"/>
    <s v="Varun"/>
    <s v="Female"/>
    <n v="28"/>
    <s v="Marketing"/>
    <s v="Marketing Executive"/>
    <x v="0"/>
    <s v="2018-12-17"/>
    <n v="2"/>
    <n v="63691"/>
    <n v="2.5"/>
    <n v="95.7"/>
    <n v="8"/>
    <n v="8"/>
    <n v="12569"/>
    <s v="Kavya"/>
    <s v="Contract"/>
    <s v="Needs Improvement"/>
    <s v="Medium"/>
    <s v="Junior"/>
    <n v="76260"/>
    <s v="Excellent"/>
    <s v="Normal"/>
    <s v="Junior"/>
    <s v="25-34"/>
  </r>
  <r>
    <n v="1454"/>
    <s v="Divya"/>
    <s v="Female"/>
    <n v="32"/>
    <s v="Sales"/>
    <s v="Sales Executive"/>
    <x v="4"/>
    <s v="2018-12-20"/>
    <n v="4"/>
    <n v="82667"/>
    <n v="4.0999999999999996"/>
    <n v="88.8"/>
    <n v="16"/>
    <n v="19"/>
    <n v="10435"/>
    <s v="Ramesh"/>
    <s v="Full-Time"/>
    <s v="Good"/>
    <s v="High"/>
    <s v="Mid Level"/>
    <n v="93102"/>
    <s v="Needs Improvement"/>
    <s v="Normal"/>
    <s v="Mid"/>
    <s v="25-34"/>
  </r>
  <r>
    <n v="1455"/>
    <s v="Divya"/>
    <s v="Female"/>
    <n v="45"/>
    <s v="HR"/>
    <s v="HR Manager"/>
    <x v="0"/>
    <s v="2018-01-12"/>
    <n v="6"/>
    <n v="83154"/>
    <n v="4.5"/>
    <n v="91.9"/>
    <n v="11"/>
    <n v="47"/>
    <n v="14073"/>
    <s v="Amit"/>
    <s v="Full-Time"/>
    <s v="Excellent"/>
    <s v="High"/>
    <s v="Senior"/>
    <n v="97227"/>
    <s v="Needs Improvement"/>
    <s v="Normal"/>
    <s v="Mid"/>
    <s v="45+"/>
  </r>
  <r>
    <n v="1456"/>
    <s v="Anu"/>
    <s v="Male"/>
    <n v="23"/>
    <s v="Finance"/>
    <s v="Financial Analyst"/>
    <x v="0"/>
    <s v="2019-02-24"/>
    <n v="10"/>
    <n v="79822"/>
    <n v="4.9000000000000004"/>
    <n v="90.9"/>
    <n v="6"/>
    <n v="45"/>
    <n v="6612"/>
    <s v="Amit"/>
    <s v="Contract"/>
    <s v="Excellent"/>
    <s v="High"/>
    <s v="Senior"/>
    <n v="86434"/>
    <s v="Needs Improvement"/>
    <s v="Normal"/>
    <s v="Senior"/>
    <s v="20-24"/>
  </r>
  <r>
    <n v="1457"/>
    <s v="Divya"/>
    <s v="Female"/>
    <n v="41"/>
    <s v="Marketing"/>
    <s v="SEO Analyst"/>
    <x v="3"/>
    <s v="2021-04-18"/>
    <n v="4"/>
    <n v="68029"/>
    <n v="3.1"/>
    <n v="87.6"/>
    <n v="2"/>
    <n v="56"/>
    <n v="2060"/>
    <s v="Amit"/>
    <s v="Contract"/>
    <s v="Average"/>
    <s v="Medium"/>
    <s v="Mid Level"/>
    <n v="70089"/>
    <s v="Needs Improvement"/>
    <s v="Normal"/>
    <s v="Mid"/>
    <s v="35-44"/>
  </r>
  <r>
    <n v="1458"/>
    <s v="Keerthi"/>
    <s v="Female"/>
    <n v="38"/>
    <s v="Finance"/>
    <s v="Financial Analyst"/>
    <x v="1"/>
    <s v="2023-06-21"/>
    <n v="4"/>
    <n v="60725"/>
    <n v="4.0999999999999996"/>
    <n v="85.2"/>
    <n v="12"/>
    <n v="56"/>
    <n v="14032"/>
    <s v="Ramesh"/>
    <s v="Contract"/>
    <s v="Good"/>
    <s v="Medium"/>
    <s v="Mid Level"/>
    <n v="74757"/>
    <s v="Needs Improvement"/>
    <s v="Normal"/>
    <s v="Mid"/>
    <s v="35-44"/>
  </r>
  <r>
    <n v="1459"/>
    <s v="Manoj"/>
    <s v="Female"/>
    <n v="45"/>
    <s v="Marketing"/>
    <s v="Marketing Executive"/>
    <x v="2"/>
    <s v="2018-07-14"/>
    <n v="2"/>
    <n v="72911"/>
    <n v="3.2"/>
    <n v="95.1"/>
    <n v="21"/>
    <n v="13"/>
    <n v="9641"/>
    <s v="Kavya"/>
    <s v="Full-Time"/>
    <s v="Average"/>
    <s v="High"/>
    <s v="Junior"/>
    <n v="82552"/>
    <s v="Excellent"/>
    <s v="High"/>
    <s v="Junior"/>
    <s v="45+"/>
  </r>
  <r>
    <n v="1460"/>
    <s v="Rahul"/>
    <s v="Female"/>
    <n v="34"/>
    <s v="HR"/>
    <s v="HR Manager"/>
    <x v="1"/>
    <s v="2020-10-08"/>
    <n v="7"/>
    <n v="35479"/>
    <n v="4.9000000000000004"/>
    <n v="98.1"/>
    <n v="7"/>
    <n v="27"/>
    <n v="2902"/>
    <s v="Ramesh"/>
    <s v="Contract"/>
    <s v="Excellent"/>
    <s v="Low"/>
    <s v="Senior"/>
    <n v="38381"/>
    <s v="Excellent"/>
    <s v="Normal"/>
    <s v="Senior"/>
    <s v="25-34"/>
  </r>
  <r>
    <n v="1461"/>
    <s v="Ravi"/>
    <s v="Female"/>
    <n v="39"/>
    <s v="Finance"/>
    <s v="Financial Analyst"/>
    <x v="0"/>
    <s v="2023-09-11"/>
    <n v="5"/>
    <n v="92690"/>
    <n v="4.8"/>
    <n v="95.9"/>
    <n v="23"/>
    <n v="36"/>
    <n v="3645"/>
    <s v="Ramesh"/>
    <s v="Contract"/>
    <s v="Excellent"/>
    <s v="High"/>
    <s v="Mid Level"/>
    <n v="96335"/>
    <s v="Excellent"/>
    <s v="High"/>
    <s v="Mid"/>
    <s v="35-44"/>
  </r>
  <r>
    <n v="1462"/>
    <s v="Ravi"/>
    <s v="Male"/>
    <n v="43"/>
    <s v="HR"/>
    <s v="HR Executive"/>
    <x v="2"/>
    <s v="2024-07-24"/>
    <n v="9"/>
    <n v="32520"/>
    <n v="4.4000000000000004"/>
    <n v="95.4"/>
    <n v="20"/>
    <n v="35"/>
    <n v="9641"/>
    <s v="Amit"/>
    <s v="Full-Time"/>
    <s v="Good"/>
    <s v="Low"/>
    <s v="Senior"/>
    <n v="42161"/>
    <s v="Excellent"/>
    <s v="Normal"/>
    <s v="Senior"/>
    <s v="35-44"/>
  </r>
  <r>
    <n v="1463"/>
    <s v="Keerthi"/>
    <s v="Male"/>
    <n v="31"/>
    <s v="Marketing"/>
    <s v="SEO Analyst"/>
    <x v="2"/>
    <s v="2019-05-17"/>
    <n v="5"/>
    <n v="44539"/>
    <n v="2.6"/>
    <n v="87.2"/>
    <n v="8"/>
    <n v="58"/>
    <n v="3641"/>
    <s v="Anitha"/>
    <s v="Full-Time"/>
    <s v="Needs Improvement"/>
    <s v="Low"/>
    <s v="Mid Level"/>
    <n v="48180"/>
    <s v="Needs Improvement"/>
    <s v="Normal"/>
    <s v="Mid"/>
    <s v="25-34"/>
  </r>
  <r>
    <n v="1464"/>
    <s v="Sonia"/>
    <s v="Male"/>
    <n v="37"/>
    <s v="Sales"/>
    <s v="Sales Manager"/>
    <x v="1"/>
    <s v="2024-05-19"/>
    <n v="3"/>
    <n v="84073"/>
    <n v="2.8"/>
    <n v="96.8"/>
    <n v="9"/>
    <n v="18"/>
    <n v="3247"/>
    <s v="Amit"/>
    <s v="Contract"/>
    <s v="Needs Improvement"/>
    <s v="High"/>
    <s v="Mid Level"/>
    <n v="87320"/>
    <s v="Excellent"/>
    <s v="Normal"/>
    <s v="Mid"/>
    <s v="35-44"/>
  </r>
  <r>
    <n v="1465"/>
    <s v="Harsha"/>
    <s v="Male"/>
    <n v="42"/>
    <s v="IT"/>
    <s v="Senior Developer"/>
    <x v="1"/>
    <s v="2018-11-12"/>
    <n v="0"/>
    <n v="65843"/>
    <n v="3.6"/>
    <n v="100"/>
    <n v="2"/>
    <n v="6"/>
    <n v="6611"/>
    <s v="Ramesh"/>
    <s v="Contract"/>
    <s v="Average"/>
    <s v="Medium"/>
    <s v="Junior"/>
    <n v="72454"/>
    <s v="Excellent"/>
    <s v="Normal"/>
    <s v="Junior"/>
    <s v="35-44"/>
  </r>
  <r>
    <n v="1466"/>
    <s v="Sonia"/>
    <s v="Male"/>
    <n v="26"/>
    <s v="Finance"/>
    <s v="Accountant"/>
    <x v="3"/>
    <s v="2022-03-27"/>
    <n v="4"/>
    <n v="75531"/>
    <n v="4.5999999999999996"/>
    <n v="84.5"/>
    <n v="8"/>
    <n v="53"/>
    <n v="12358"/>
    <s v="Amit"/>
    <s v="Contract"/>
    <s v="Excellent"/>
    <s v="High"/>
    <s v="Mid Level"/>
    <n v="87889"/>
    <s v="Needs Improvement"/>
    <s v="Normal"/>
    <s v="Mid"/>
    <s v="25-34"/>
  </r>
  <r>
    <n v="1467"/>
    <s v="Divya"/>
    <s v="Female"/>
    <n v="40"/>
    <s v="Sales"/>
    <s v="Sales Manager"/>
    <x v="2"/>
    <s v="2022-01-15"/>
    <n v="0"/>
    <n v="62270"/>
    <n v="4.7"/>
    <n v="86.9"/>
    <n v="0"/>
    <n v="49"/>
    <n v="6422"/>
    <s v="Anitha"/>
    <s v="Contract"/>
    <s v="Excellent"/>
    <s v="Medium"/>
    <s v="Junior"/>
    <n v="68692"/>
    <s v="Needs Improvement"/>
    <s v="Normal"/>
    <s v="Junior"/>
    <s v="35-44"/>
  </r>
  <r>
    <n v="1468"/>
    <s v="Anu"/>
    <s v="Male"/>
    <n v="27"/>
    <s v="HR"/>
    <s v="HR Executive"/>
    <x v="1"/>
    <s v="2022-10-31"/>
    <n v="6"/>
    <n v="87225"/>
    <n v="2.8"/>
    <n v="91.6"/>
    <n v="7"/>
    <n v="15"/>
    <n v="14524"/>
    <s v="Suresh"/>
    <s v="Contract"/>
    <s v="Needs Improvement"/>
    <s v="High"/>
    <s v="Senior"/>
    <n v="101749"/>
    <s v="Needs Improvement"/>
    <s v="Normal"/>
    <s v="Mid"/>
    <s v="25-34"/>
  </r>
  <r>
    <n v="1469"/>
    <s v="Harsha"/>
    <s v="Female"/>
    <n v="41"/>
    <s v="IT"/>
    <s v="Software Engineer"/>
    <x v="4"/>
    <s v="2024-11-18"/>
    <n v="10"/>
    <n v="49949"/>
    <n v="3.3"/>
    <n v="83.8"/>
    <n v="23"/>
    <n v="56"/>
    <n v="3774"/>
    <s v="Amit"/>
    <s v="Contract"/>
    <s v="Average"/>
    <s v="Low"/>
    <s v="Senior"/>
    <n v="53723"/>
    <s v="Needs Improvement"/>
    <s v="High"/>
    <s v="Senior"/>
    <s v="35-44"/>
  </r>
  <r>
    <n v="1470"/>
    <s v="Deepa"/>
    <s v="Female"/>
    <n v="42"/>
    <s v="Sales"/>
    <s v="Sales Executive"/>
    <x v="3"/>
    <s v="2020-04-16"/>
    <n v="0"/>
    <n v="75869"/>
    <n v="4.8"/>
    <n v="94.1"/>
    <n v="12"/>
    <n v="5"/>
    <n v="6347"/>
    <s v="Ramesh"/>
    <s v="Contract"/>
    <s v="Excellent"/>
    <s v="High"/>
    <s v="Junior"/>
    <n v="82216"/>
    <s v="Needs Improvement"/>
    <s v="Normal"/>
    <s v="Junior"/>
    <s v="35-44"/>
  </r>
  <r>
    <n v="1471"/>
    <s v="Anu"/>
    <s v="Male"/>
    <n v="35"/>
    <s v="HR"/>
    <s v="HR Manager"/>
    <x v="3"/>
    <s v="2023-04-15"/>
    <n v="0"/>
    <n v="71780"/>
    <n v="4.5"/>
    <n v="85"/>
    <n v="19"/>
    <n v="50"/>
    <n v="9992"/>
    <s v="Anitha"/>
    <s v="Contract"/>
    <s v="Excellent"/>
    <s v="High"/>
    <s v="Junior"/>
    <n v="81772"/>
    <s v="Needs Improvement"/>
    <s v="Normal"/>
    <s v="Junior"/>
    <s v="35-44"/>
  </r>
  <r>
    <n v="1472"/>
    <s v="Nikhil"/>
    <s v="Female"/>
    <n v="33"/>
    <s v="Marketing"/>
    <s v="Marketing Executive"/>
    <x v="1"/>
    <s v="2020-12-10"/>
    <n v="0"/>
    <n v="59267"/>
    <n v="3.9"/>
    <n v="89.8"/>
    <n v="3"/>
    <n v="29"/>
    <n v="3288"/>
    <s v="Anitha"/>
    <s v="Contract"/>
    <s v="Average"/>
    <s v="Medium"/>
    <s v="Junior"/>
    <n v="62555"/>
    <s v="Needs Improvement"/>
    <s v="Normal"/>
    <s v="Junior"/>
    <s v="25-34"/>
  </r>
  <r>
    <n v="1473"/>
    <s v="Divya"/>
    <s v="Male"/>
    <n v="25"/>
    <s v="IT"/>
    <s v="Senior Developer"/>
    <x v="3"/>
    <s v="2021-05-17"/>
    <n v="4"/>
    <n v="25397"/>
    <n v="2.6"/>
    <n v="89.4"/>
    <n v="11"/>
    <n v="5"/>
    <n v="4981"/>
    <s v="Kavya"/>
    <s v="Contract"/>
    <s v="Needs Improvement"/>
    <s v="Low"/>
    <s v="Mid Level"/>
    <n v="30378"/>
    <s v="Needs Improvement"/>
    <s v="Normal"/>
    <s v="Mid"/>
    <s v="25-34"/>
  </r>
  <r>
    <n v="1474"/>
    <s v="Arjun"/>
    <s v="Female"/>
    <n v="39"/>
    <s v="IT"/>
    <s v="Data Analyst"/>
    <x v="2"/>
    <s v="2021-09-14"/>
    <n v="9"/>
    <n v="66469"/>
    <n v="4.9000000000000004"/>
    <n v="84.5"/>
    <n v="10"/>
    <n v="20"/>
    <n v="5446"/>
    <s v="Ramesh"/>
    <s v="Contract"/>
    <s v="Excellent"/>
    <s v="Medium"/>
    <s v="Senior"/>
    <n v="71915"/>
    <s v="Needs Improvement"/>
    <s v="Normal"/>
    <s v="Senior"/>
    <s v="35-44"/>
  </r>
  <r>
    <n v="1475"/>
    <s v="Pooja"/>
    <s v="Female"/>
    <n v="44"/>
    <s v="Marketing"/>
    <s v="SEO Analyst"/>
    <x v="3"/>
    <s v="2018-08-21"/>
    <n v="8"/>
    <n v="58863"/>
    <n v="2.9"/>
    <n v="82.3"/>
    <n v="8"/>
    <n v="7"/>
    <n v="9080"/>
    <s v="Kavya"/>
    <s v="Full-Time"/>
    <s v="Needs Improvement"/>
    <s v="Medium"/>
    <s v="Senior"/>
    <n v="67943"/>
    <s v="Needs Improvement"/>
    <s v="Normal"/>
    <s v="Senior"/>
    <s v="35-44"/>
  </r>
  <r>
    <n v="1476"/>
    <s v="Ravi"/>
    <s v="Female"/>
    <n v="41"/>
    <s v="Finance"/>
    <s v="Financial Analyst"/>
    <x v="1"/>
    <s v="2019-03-16"/>
    <n v="5"/>
    <n v="41925"/>
    <n v="4.9000000000000004"/>
    <n v="84.9"/>
    <n v="6"/>
    <n v="55"/>
    <n v="6984"/>
    <s v="Kavya"/>
    <s v="Full-Time"/>
    <s v="Excellent"/>
    <s v="Low"/>
    <s v="Mid Level"/>
    <n v="48909"/>
    <s v="Needs Improvement"/>
    <s v="Normal"/>
    <s v="Mid"/>
    <s v="35-44"/>
  </r>
  <r>
    <n v="1477"/>
    <s v="Varun"/>
    <s v="Female"/>
    <n v="44"/>
    <s v="Marketing"/>
    <s v="Marketing Executive"/>
    <x v="0"/>
    <s v="2020-02-17"/>
    <n v="1"/>
    <n v="81628"/>
    <n v="3.2"/>
    <n v="94.3"/>
    <n v="3"/>
    <n v="55"/>
    <n v="9544"/>
    <s v="Amit"/>
    <s v="Contract"/>
    <s v="Average"/>
    <s v="High"/>
    <s v="Junior"/>
    <n v="91172"/>
    <s v="Needs Improvement"/>
    <s v="Normal"/>
    <s v="Junior"/>
    <s v="35-44"/>
  </r>
  <r>
    <n v="1478"/>
    <s v="Sai"/>
    <s v="Female"/>
    <n v="37"/>
    <s v="HR"/>
    <s v="HR Manager"/>
    <x v="3"/>
    <s v="2023-10-07"/>
    <n v="0"/>
    <n v="37555"/>
    <n v="2.8"/>
    <n v="84.2"/>
    <n v="1"/>
    <n v="34"/>
    <n v="6235"/>
    <s v="Suresh"/>
    <s v="Contract"/>
    <s v="Needs Improvement"/>
    <s v="Low"/>
    <s v="Junior"/>
    <n v="43790"/>
    <s v="Needs Improvement"/>
    <s v="Normal"/>
    <s v="Junior"/>
    <s v="35-44"/>
  </r>
  <r>
    <n v="1479"/>
    <s v="Anu"/>
    <s v="Male"/>
    <n v="27"/>
    <s v="Finance"/>
    <s v="Accountant"/>
    <x v="3"/>
    <s v="2019-05-20"/>
    <n v="7"/>
    <n v="40757"/>
    <n v="2.6"/>
    <n v="95.4"/>
    <n v="16"/>
    <n v="36"/>
    <n v="12682"/>
    <s v="Ramesh"/>
    <s v="Full-Time"/>
    <s v="Needs Improvement"/>
    <s v="Low"/>
    <s v="Senior"/>
    <n v="53439"/>
    <s v="Excellent"/>
    <s v="Normal"/>
    <s v="Senior"/>
    <s v="25-34"/>
  </r>
  <r>
    <n v="1480"/>
    <s v="Sneha"/>
    <s v="Male"/>
    <n v="34"/>
    <s v="Marketing"/>
    <s v="Marketing Executive"/>
    <x v="2"/>
    <s v="2021-09-23"/>
    <n v="8"/>
    <n v="28527"/>
    <n v="4.2"/>
    <n v="99.1"/>
    <n v="8"/>
    <n v="52"/>
    <n v="9530"/>
    <s v="Kavya"/>
    <s v="Contract"/>
    <s v="Good"/>
    <s v="Low"/>
    <s v="Senior"/>
    <n v="38057"/>
    <s v="Excellent"/>
    <s v="Normal"/>
    <s v="Senior"/>
    <s v="25-34"/>
  </r>
  <r>
    <n v="1481"/>
    <s v="Nikhil"/>
    <s v="Male"/>
    <n v="44"/>
    <s v="Finance"/>
    <s v="Accountant"/>
    <x v="3"/>
    <s v="2019-01-26"/>
    <n v="4"/>
    <n v="37651"/>
    <n v="3.2"/>
    <n v="91.4"/>
    <n v="0"/>
    <n v="42"/>
    <n v="5990"/>
    <s v="Suresh"/>
    <s v="Contract"/>
    <s v="Average"/>
    <s v="Low"/>
    <s v="Mid Level"/>
    <n v="43641"/>
    <s v="Needs Improvement"/>
    <s v="Normal"/>
    <s v="Mid"/>
    <s v="35-44"/>
  </r>
  <r>
    <n v="1482"/>
    <s v="Meena"/>
    <s v="Female"/>
    <n v="33"/>
    <s v="HR"/>
    <s v="HR Manager"/>
    <x v="0"/>
    <s v="2024-01-26"/>
    <n v="4"/>
    <n v="92479"/>
    <n v="4.5999999999999996"/>
    <n v="96.9"/>
    <n v="20"/>
    <n v="52"/>
    <n v="13972"/>
    <s v="Suresh"/>
    <s v="Full-Time"/>
    <s v="Excellent"/>
    <s v="High"/>
    <s v="Mid Level"/>
    <n v="106451"/>
    <s v="Excellent"/>
    <s v="Normal"/>
    <s v="Mid"/>
    <s v="25-34"/>
  </r>
  <r>
    <n v="1483"/>
    <s v="Nikhil"/>
    <s v="Male"/>
    <n v="44"/>
    <s v="IT"/>
    <s v="Data Analyst"/>
    <x v="1"/>
    <s v="2018-04-24"/>
    <n v="3"/>
    <n v="37824"/>
    <n v="4.3"/>
    <n v="99.4"/>
    <n v="6"/>
    <n v="6"/>
    <n v="11856"/>
    <s v="Amit"/>
    <s v="Contract"/>
    <s v="Good"/>
    <s v="Low"/>
    <s v="Mid Level"/>
    <n v="49680"/>
    <s v="Excellent"/>
    <s v="Normal"/>
    <s v="Mid"/>
    <s v="35-44"/>
  </r>
  <r>
    <n v="1484"/>
    <s v="Arjun"/>
    <s v="Male"/>
    <n v="42"/>
    <s v="HR"/>
    <s v="HR Manager"/>
    <x v="0"/>
    <s v="2021-01-13"/>
    <n v="7"/>
    <n v="92267"/>
    <n v="3"/>
    <n v="92.5"/>
    <n v="3"/>
    <n v="15"/>
    <n v="2700"/>
    <s v="Amit"/>
    <s v="Full-Time"/>
    <s v="Average"/>
    <s v="High"/>
    <s v="Senior"/>
    <n v="94967"/>
    <s v="Needs Improvement"/>
    <s v="Normal"/>
    <s v="Senior"/>
    <s v="35-44"/>
  </r>
  <r>
    <n v="1485"/>
    <s v="Varun"/>
    <s v="Male"/>
    <n v="42"/>
    <s v="IT"/>
    <s v="Software Engineer"/>
    <x v="0"/>
    <s v="2022-12-30"/>
    <n v="4"/>
    <n v="70063"/>
    <n v="4"/>
    <n v="99.7"/>
    <n v="12"/>
    <n v="15"/>
    <n v="14274"/>
    <s v="Ramesh"/>
    <s v="Contract"/>
    <s v="Good"/>
    <s v="High"/>
    <s v="Mid Level"/>
    <n v="84337"/>
    <s v="Excellent"/>
    <s v="Normal"/>
    <s v="Mid"/>
    <s v="35-44"/>
  </r>
  <r>
    <n v="1486"/>
    <s v="Rahul"/>
    <s v="Male"/>
    <n v="45"/>
    <s v="Marketing"/>
    <s v="SEO Analyst"/>
    <x v="1"/>
    <s v="2023-04-10"/>
    <n v="10"/>
    <n v="85186"/>
    <n v="3.5"/>
    <n v="86.5"/>
    <n v="13"/>
    <n v="37"/>
    <n v="9236"/>
    <s v="Suresh"/>
    <s v="Full-Time"/>
    <s v="Average"/>
    <s v="High"/>
    <s v="Senior"/>
    <n v="94422"/>
    <s v="Needs Improvement"/>
    <s v="Normal"/>
    <s v="Senior"/>
    <s v="45+"/>
  </r>
  <r>
    <n v="1487"/>
    <s v="Vijay"/>
    <s v="Female"/>
    <n v="24"/>
    <s v="Finance"/>
    <s v="Accountant"/>
    <x v="1"/>
    <s v="2018-05-08"/>
    <n v="0"/>
    <n v="27266"/>
    <n v="3.8"/>
    <n v="84"/>
    <n v="8"/>
    <n v="25"/>
    <n v="1987"/>
    <s v="Amit"/>
    <s v="Full-Time"/>
    <s v="Average"/>
    <s v="Low"/>
    <s v="Junior"/>
    <n v="29253"/>
    <s v="Needs Improvement"/>
    <s v="Normal"/>
    <s v="Junior"/>
    <s v="20-24"/>
  </r>
  <r>
    <n v="1488"/>
    <s v="Sonia"/>
    <s v="Female"/>
    <n v="40"/>
    <s v="Finance"/>
    <s v="Financial Analyst"/>
    <x v="1"/>
    <s v="2018-01-04"/>
    <n v="9"/>
    <n v="81759"/>
    <n v="3.5"/>
    <n v="93.3"/>
    <n v="12"/>
    <n v="5"/>
    <n v="12337"/>
    <s v="Anitha"/>
    <s v="Full-Time"/>
    <s v="Average"/>
    <s v="High"/>
    <s v="Senior"/>
    <n v="94096"/>
    <s v="Needs Improvement"/>
    <s v="Normal"/>
    <s v="Senior"/>
    <s v="35-44"/>
  </r>
  <r>
    <n v="1489"/>
    <s v="Kiran"/>
    <s v="Male"/>
    <n v="31"/>
    <s v="Sales"/>
    <s v="Sales Executive"/>
    <x v="2"/>
    <s v="2023-09-20"/>
    <n v="0"/>
    <n v="88614"/>
    <n v="2.7"/>
    <n v="85.4"/>
    <n v="7"/>
    <n v="8"/>
    <n v="5857"/>
    <s v="Amit"/>
    <s v="Contract"/>
    <s v="Needs Improvement"/>
    <s v="High"/>
    <s v="Junior"/>
    <n v="94471"/>
    <s v="Needs Improvement"/>
    <s v="Normal"/>
    <s v="Junior"/>
    <s v="25-34"/>
  </r>
  <r>
    <n v="1490"/>
    <s v="Keerthi"/>
    <s v="Male"/>
    <n v="44"/>
    <s v="Sales"/>
    <s v="Sales Executive"/>
    <x v="4"/>
    <s v="2022-10-03"/>
    <n v="1"/>
    <n v="80258"/>
    <n v="3.4"/>
    <n v="88.4"/>
    <n v="8"/>
    <n v="33"/>
    <n v="3951"/>
    <s v="Suresh"/>
    <s v="Contract"/>
    <s v="Average"/>
    <s v="High"/>
    <s v="Junior"/>
    <n v="84209"/>
    <s v="Needs Improvement"/>
    <s v="Normal"/>
    <s v="Junior"/>
    <s v="35-44"/>
  </r>
  <r>
    <n v="1491"/>
    <s v="Sneha"/>
    <s v="Male"/>
    <n v="32"/>
    <s v="Finance"/>
    <s v="Accountant"/>
    <x v="4"/>
    <s v="2019-01-10"/>
    <n v="9"/>
    <n v="88584"/>
    <n v="4"/>
    <n v="88.6"/>
    <n v="19"/>
    <n v="34"/>
    <n v="1581"/>
    <s v="Anitha"/>
    <s v="Full-Time"/>
    <s v="Good"/>
    <s v="High"/>
    <s v="Senior"/>
    <n v="90165"/>
    <s v="Needs Improvement"/>
    <s v="Normal"/>
    <s v="Senior"/>
    <s v="25-34"/>
  </r>
  <r>
    <n v="1492"/>
    <s v="Priya"/>
    <s v="Male"/>
    <n v="23"/>
    <s v="Sales"/>
    <s v="Sales Manager"/>
    <x v="2"/>
    <s v="2018-06-05"/>
    <n v="10"/>
    <n v="46420"/>
    <n v="4.0999999999999996"/>
    <n v="99.8"/>
    <n v="14"/>
    <n v="40"/>
    <n v="7714"/>
    <s v="Suresh"/>
    <s v="Full-Time"/>
    <s v="Good"/>
    <s v="Low"/>
    <s v="Senior"/>
    <n v="54134"/>
    <s v="Excellent"/>
    <s v="Normal"/>
    <s v="Senior"/>
    <s v="20-24"/>
  </r>
  <r>
    <n v="1493"/>
    <s v="Ajay"/>
    <s v="Female"/>
    <n v="39"/>
    <s v="HR"/>
    <s v="HR Manager"/>
    <x v="3"/>
    <s v="2024-08-27"/>
    <n v="6"/>
    <n v="37275"/>
    <n v="3.2"/>
    <n v="88.8"/>
    <n v="12"/>
    <n v="45"/>
    <n v="10705"/>
    <s v="Ramesh"/>
    <s v="Contract"/>
    <s v="Average"/>
    <s v="Low"/>
    <s v="Senior"/>
    <n v="47980"/>
    <s v="Needs Improvement"/>
    <s v="Normal"/>
    <s v="Mid"/>
    <s v="35-44"/>
  </r>
  <r>
    <n v="1494"/>
    <s v="Varun"/>
    <s v="Female"/>
    <n v="28"/>
    <s v="IT"/>
    <s v="Senior Developer"/>
    <x v="1"/>
    <s v="2024-12-16"/>
    <n v="6"/>
    <n v="90352"/>
    <n v="3.2"/>
    <n v="88.7"/>
    <n v="4"/>
    <n v="59"/>
    <n v="3252"/>
    <s v="Kavya"/>
    <s v="Contract"/>
    <s v="Average"/>
    <s v="High"/>
    <s v="Senior"/>
    <n v="93604"/>
    <s v="Needs Improvement"/>
    <s v="Normal"/>
    <s v="Mid"/>
    <s v="25-34"/>
  </r>
  <r>
    <n v="1495"/>
    <s v="Meena"/>
    <s v="Female"/>
    <n v="38"/>
    <s v="HR"/>
    <s v="HR Executive"/>
    <x v="3"/>
    <s v="2022-01-02"/>
    <n v="1"/>
    <n v="42891"/>
    <n v="4.2"/>
    <n v="97.7"/>
    <n v="17"/>
    <n v="18"/>
    <n v="14942"/>
    <s v="Amit"/>
    <s v="Contract"/>
    <s v="Good"/>
    <s v="Low"/>
    <s v="Junior"/>
    <n v="57833"/>
    <s v="Excellent"/>
    <s v="Normal"/>
    <s v="Junior"/>
    <s v="35-44"/>
  </r>
  <r>
    <n v="1496"/>
    <s v="Ajay"/>
    <s v="Female"/>
    <n v="25"/>
    <s v="Marketing"/>
    <s v="SEO Analyst"/>
    <x v="3"/>
    <s v="2022-01-22"/>
    <n v="9"/>
    <n v="65137"/>
    <n v="2.8"/>
    <n v="94.8"/>
    <n v="16"/>
    <n v="51"/>
    <n v="2860"/>
    <s v="Anitha"/>
    <s v="Contract"/>
    <s v="Needs Improvement"/>
    <s v="Medium"/>
    <s v="Senior"/>
    <n v="67997"/>
    <s v="Needs Improvement"/>
    <s v="Normal"/>
    <s v="Senior"/>
    <s v="25-34"/>
  </r>
  <r>
    <n v="1497"/>
    <s v="Vijay"/>
    <s v="Male"/>
    <n v="37"/>
    <s v="Marketing"/>
    <s v="Marketing Executive"/>
    <x v="1"/>
    <s v="2024-08-12"/>
    <n v="6"/>
    <n v="25836"/>
    <n v="3.5"/>
    <n v="82.9"/>
    <n v="20"/>
    <n v="59"/>
    <n v="9925"/>
    <s v="Ramesh"/>
    <s v="Full-Time"/>
    <s v="Average"/>
    <s v="Low"/>
    <s v="Senior"/>
    <n v="35761"/>
    <s v="Needs Improvement"/>
    <s v="Normal"/>
    <s v="Mid"/>
    <s v="35-44"/>
  </r>
  <r>
    <n v="1498"/>
    <s v="Nikhil"/>
    <s v="Female"/>
    <n v="36"/>
    <s v="HR"/>
    <s v="HR Manager"/>
    <x v="1"/>
    <s v="2018-02-15"/>
    <n v="6"/>
    <n v="31666"/>
    <n v="2.5"/>
    <n v="96.9"/>
    <n v="20"/>
    <n v="42"/>
    <n v="10622"/>
    <s v="Ramesh"/>
    <s v="Contract"/>
    <s v="Needs Improvement"/>
    <s v="Low"/>
    <s v="Senior"/>
    <n v="42288"/>
    <s v="Excellent"/>
    <s v="Normal"/>
    <s v="Mid"/>
    <s v="35-44"/>
  </r>
  <r>
    <n v="1499"/>
    <s v="Nikhil"/>
    <s v="Female"/>
    <n v="44"/>
    <s v="IT"/>
    <s v="Senior Developer"/>
    <x v="2"/>
    <s v="2022-08-12"/>
    <n v="4"/>
    <n v="26443"/>
    <n v="4.7"/>
    <n v="83.9"/>
    <n v="4"/>
    <n v="26"/>
    <n v="3245"/>
    <s v="Suresh"/>
    <s v="Contract"/>
    <s v="Excellent"/>
    <s v="Low"/>
    <s v="Mid Level"/>
    <n v="29688"/>
    <s v="Needs Improvement"/>
    <s v="Normal"/>
    <s v="Mid"/>
    <s v="35-44"/>
  </r>
  <r>
    <n v="1500"/>
    <s v="Harsha"/>
    <s v="Female"/>
    <n v="33"/>
    <s v="Marketing"/>
    <s v="SEO Analyst"/>
    <x v="1"/>
    <s v="2019-10-15"/>
    <n v="5"/>
    <n v="28100"/>
    <n v="4.3"/>
    <n v="99"/>
    <n v="16"/>
    <n v="43"/>
    <n v="1109"/>
    <s v="Anitha"/>
    <s v="Contract"/>
    <s v="Good"/>
    <s v="Low"/>
    <s v="Mid Level"/>
    <n v="29209"/>
    <s v="Excellent"/>
    <s v="Normal"/>
    <s v="Mid"/>
    <s v="25-34"/>
  </r>
  <r>
    <n v="1501"/>
    <s v="Manoj"/>
    <s v="Female"/>
    <n v="27"/>
    <s v="HR"/>
    <s v="HR Manager"/>
    <x v="4"/>
    <s v="2024-10-27"/>
    <n v="2"/>
    <n v="79852"/>
    <n v="4.5"/>
    <n v="84"/>
    <n v="25"/>
    <n v="54"/>
    <n v="3421"/>
    <s v="Ramesh"/>
    <s v="Full-Time"/>
    <s v="Excellent"/>
    <s v="High"/>
    <s v="Junior"/>
    <n v="83273"/>
    <s v="Needs Improvement"/>
    <s v="High"/>
    <s v="Junior"/>
    <s v="25-34"/>
  </r>
  <r>
    <n v="1502"/>
    <s v="Anu"/>
    <s v="Male"/>
    <n v="44"/>
    <s v="Marketing"/>
    <s v="Marketing Executive"/>
    <x v="1"/>
    <s v="2021-01-29"/>
    <n v="4"/>
    <n v="88197"/>
    <n v="3.3"/>
    <n v="83.1"/>
    <n v="19"/>
    <n v="21"/>
    <n v="1735"/>
    <s v="Anitha"/>
    <s v="Contract"/>
    <s v="Average"/>
    <s v="High"/>
    <s v="Mid Level"/>
    <n v="89932"/>
    <s v="Needs Improvement"/>
    <s v="Normal"/>
    <s v="Mid"/>
    <s v="35-44"/>
  </r>
  <r>
    <n v="1503"/>
    <s v="Meena"/>
    <s v="Male"/>
    <n v="24"/>
    <s v="IT"/>
    <s v="Software Engineer"/>
    <x v="3"/>
    <s v="2022-10-28"/>
    <n v="10"/>
    <n v="43236"/>
    <n v="3.2"/>
    <n v="91.5"/>
    <n v="18"/>
    <n v="38"/>
    <n v="9401"/>
    <s v="Suresh"/>
    <s v="Full-Time"/>
    <s v="Average"/>
    <s v="Low"/>
    <s v="Senior"/>
    <n v="52637"/>
    <s v="Needs Improvement"/>
    <s v="Normal"/>
    <s v="Senior"/>
    <s v="20-24"/>
  </r>
  <r>
    <n v="1504"/>
    <s v="Kiran"/>
    <s v="Female"/>
    <n v="34"/>
    <s v="Sales"/>
    <s v="Sales Executive"/>
    <x v="4"/>
    <s v="2022-03-14"/>
    <n v="5"/>
    <n v="53854"/>
    <n v="4.9000000000000004"/>
    <n v="86.3"/>
    <n v="15"/>
    <n v="29"/>
    <n v="2339"/>
    <s v="Ramesh"/>
    <s v="Full-Time"/>
    <s v="Excellent"/>
    <s v="Medium"/>
    <s v="Mid Level"/>
    <n v="56193"/>
    <s v="Needs Improvement"/>
    <s v="Normal"/>
    <s v="Mid"/>
    <s v="25-34"/>
  </r>
  <r>
    <n v="1505"/>
    <s v="Sai"/>
    <s v="Male"/>
    <n v="32"/>
    <s v="Sales"/>
    <s v="Sales Executive"/>
    <x v="3"/>
    <s v="2021-02-16"/>
    <n v="8"/>
    <n v="89806"/>
    <n v="4.0999999999999996"/>
    <n v="97.6"/>
    <n v="19"/>
    <n v="46"/>
    <n v="7662"/>
    <s v="Suresh"/>
    <s v="Full-Time"/>
    <s v="Good"/>
    <s v="High"/>
    <s v="Senior"/>
    <n v="97468"/>
    <s v="Excellent"/>
    <s v="Normal"/>
    <s v="Senior"/>
    <s v="25-34"/>
  </r>
  <r>
    <n v="1506"/>
    <s v="Ravi"/>
    <s v="Male"/>
    <n v="36"/>
    <s v="Sales"/>
    <s v="Sales Manager"/>
    <x v="1"/>
    <s v="2019-01-29"/>
    <n v="7"/>
    <n v="38713"/>
    <n v="2.8"/>
    <n v="82.1"/>
    <n v="4"/>
    <n v="51"/>
    <n v="14628"/>
    <s v="Ramesh"/>
    <s v="Contract"/>
    <s v="Needs Improvement"/>
    <s v="Low"/>
    <s v="Senior"/>
    <n v="53341"/>
    <s v="Needs Improvement"/>
    <s v="Normal"/>
    <s v="Senior"/>
    <s v="35-44"/>
  </r>
  <r>
    <n v="1507"/>
    <s v="Anu"/>
    <s v="Male"/>
    <n v="39"/>
    <s v="Marketing"/>
    <s v="Marketing Executive"/>
    <x v="2"/>
    <s v="2019-10-05"/>
    <n v="0"/>
    <n v="91148"/>
    <n v="5"/>
    <n v="86.8"/>
    <n v="20"/>
    <n v="59"/>
    <n v="3452"/>
    <s v="Suresh"/>
    <s v="Full-Time"/>
    <s v="Excellent"/>
    <s v="High"/>
    <s v="Junior"/>
    <n v="94600"/>
    <s v="Needs Improvement"/>
    <s v="Normal"/>
    <s v="Junior"/>
    <s v="35-44"/>
  </r>
  <r>
    <n v="1508"/>
    <s v="Deepa"/>
    <s v="Female"/>
    <n v="29"/>
    <s v="HR"/>
    <s v="HR Manager"/>
    <x v="4"/>
    <s v="2018-11-22"/>
    <n v="3"/>
    <n v="76277"/>
    <n v="3.7"/>
    <n v="93.4"/>
    <n v="19"/>
    <n v="39"/>
    <n v="13257"/>
    <s v="Kavya"/>
    <s v="Full-Time"/>
    <s v="Average"/>
    <s v="High"/>
    <s v="Mid Level"/>
    <n v="89534"/>
    <s v="Needs Improvement"/>
    <s v="Normal"/>
    <s v="Mid"/>
    <s v="25-34"/>
  </r>
  <r>
    <n v="1509"/>
    <s v="Meena"/>
    <s v="Female"/>
    <n v="38"/>
    <s v="Finance"/>
    <s v="Financial Analyst"/>
    <x v="4"/>
    <s v="2020-03-26"/>
    <n v="1"/>
    <n v="32673"/>
    <n v="2.7"/>
    <n v="92.9"/>
    <n v="18"/>
    <n v="32"/>
    <n v="6323"/>
    <s v="Anitha"/>
    <s v="Contract"/>
    <s v="Needs Improvement"/>
    <s v="Low"/>
    <s v="Junior"/>
    <n v="38996"/>
    <s v="Needs Improvement"/>
    <s v="Normal"/>
    <s v="Junior"/>
    <s v="35-44"/>
  </r>
  <r>
    <n v="1510"/>
    <s v="Nikhil"/>
    <s v="Female"/>
    <n v="33"/>
    <s v="Sales"/>
    <s v="Sales Manager"/>
    <x v="2"/>
    <s v="2020-05-23"/>
    <n v="9"/>
    <n v="94322"/>
    <n v="3"/>
    <n v="92.6"/>
    <n v="15"/>
    <n v="20"/>
    <n v="12052"/>
    <s v="Amit"/>
    <s v="Contract"/>
    <s v="Average"/>
    <s v="High"/>
    <s v="Senior"/>
    <n v="106374"/>
    <s v="Needs Improvement"/>
    <s v="Normal"/>
    <s v="Senior"/>
    <s v="25-34"/>
  </r>
  <r>
    <n v="1511"/>
    <s v="Arjun"/>
    <s v="Female"/>
    <n v="45"/>
    <s v="HR"/>
    <s v="HR Executive"/>
    <x v="0"/>
    <s v="2022-03-01"/>
    <n v="8"/>
    <n v="35354"/>
    <n v="2.7"/>
    <n v="97"/>
    <n v="4"/>
    <n v="23"/>
    <n v="12110"/>
    <s v="Anitha"/>
    <s v="Contract"/>
    <s v="Needs Improvement"/>
    <s v="Low"/>
    <s v="Senior"/>
    <n v="47464"/>
    <s v="Excellent"/>
    <s v="Normal"/>
    <s v="Senior"/>
    <s v="45+"/>
  </r>
  <r>
    <n v="1512"/>
    <s v="Ravi"/>
    <s v="Female"/>
    <n v="40"/>
    <s v="HR"/>
    <s v="HR Executive"/>
    <x v="1"/>
    <s v="2021-07-09"/>
    <n v="2"/>
    <n v="40500"/>
    <n v="4.7"/>
    <n v="98.3"/>
    <n v="25"/>
    <n v="30"/>
    <n v="8894"/>
    <s v="Suresh"/>
    <s v="Full-Time"/>
    <s v="Excellent"/>
    <s v="Low"/>
    <s v="Junior"/>
    <n v="49394"/>
    <s v="Excellent"/>
    <s v="High"/>
    <s v="Junior"/>
    <s v="35-44"/>
  </r>
  <r>
    <n v="1513"/>
    <s v="Arjun"/>
    <s v="Female"/>
    <n v="45"/>
    <s v="HR"/>
    <s v="HR Executive"/>
    <x v="3"/>
    <s v="2020-06-01"/>
    <n v="10"/>
    <n v="70033"/>
    <n v="4.3"/>
    <n v="95.2"/>
    <n v="25"/>
    <n v="22"/>
    <n v="4461"/>
    <s v="Anitha"/>
    <s v="Full-Time"/>
    <s v="Good"/>
    <s v="High"/>
    <s v="Senior"/>
    <n v="74494"/>
    <s v="Excellent"/>
    <s v="High"/>
    <s v="Senior"/>
    <s v="45+"/>
  </r>
  <r>
    <n v="1514"/>
    <s v="Keerthi"/>
    <s v="Female"/>
    <n v="44"/>
    <s v="Sales"/>
    <s v="Sales Manager"/>
    <x v="1"/>
    <s v="2021-05-24"/>
    <n v="8"/>
    <n v="34619"/>
    <n v="4.3"/>
    <n v="83"/>
    <n v="11"/>
    <n v="59"/>
    <n v="2707"/>
    <s v="Anitha"/>
    <s v="Full-Time"/>
    <s v="Good"/>
    <s v="Low"/>
    <s v="Senior"/>
    <n v="37326"/>
    <s v="Needs Improvement"/>
    <s v="Normal"/>
    <s v="Senior"/>
    <s v="35-44"/>
  </r>
  <r>
    <n v="1515"/>
    <s v="Deepa"/>
    <s v="Female"/>
    <n v="45"/>
    <s v="IT"/>
    <s v="Senior Developer"/>
    <x v="3"/>
    <s v="2022-06-25"/>
    <n v="9"/>
    <n v="72716"/>
    <n v="3.7"/>
    <n v="94.2"/>
    <n v="17"/>
    <n v="10"/>
    <n v="5799"/>
    <s v="Anitha"/>
    <s v="Contract"/>
    <s v="Average"/>
    <s v="High"/>
    <s v="Senior"/>
    <n v="78515"/>
    <s v="Needs Improvement"/>
    <s v="Normal"/>
    <s v="Senior"/>
    <s v="45+"/>
  </r>
  <r>
    <n v="1516"/>
    <s v="Arjun"/>
    <s v="Male"/>
    <n v="23"/>
    <s v="Marketing"/>
    <s v="SEO Analyst"/>
    <x v="0"/>
    <s v="2020-04-14"/>
    <n v="2"/>
    <n v="73273"/>
    <n v="4"/>
    <n v="82.3"/>
    <n v="11"/>
    <n v="23"/>
    <n v="12778"/>
    <s v="Suresh"/>
    <s v="Full-Time"/>
    <s v="Good"/>
    <s v="High"/>
    <s v="Junior"/>
    <n v="86051"/>
    <s v="Needs Improvement"/>
    <s v="Normal"/>
    <s v="Junior"/>
    <s v="20-24"/>
  </r>
  <r>
    <n v="1517"/>
    <s v="Divya"/>
    <s v="Male"/>
    <n v="42"/>
    <s v="Finance"/>
    <s v="Accountant"/>
    <x v="2"/>
    <s v="2018-03-31"/>
    <n v="2"/>
    <n v="48643"/>
    <n v="4.5"/>
    <n v="96.7"/>
    <n v="4"/>
    <n v="21"/>
    <n v="8343"/>
    <s v="Amit"/>
    <s v="Contract"/>
    <s v="Excellent"/>
    <s v="Low"/>
    <s v="Junior"/>
    <n v="56986"/>
    <s v="Excellent"/>
    <s v="Normal"/>
    <s v="Junior"/>
    <s v="35-44"/>
  </r>
  <r>
    <n v="1518"/>
    <s v="Meena"/>
    <s v="Male"/>
    <n v="37"/>
    <s v="Sales"/>
    <s v="Sales Executive"/>
    <x v="0"/>
    <s v="2024-04-09"/>
    <n v="2"/>
    <n v="47837"/>
    <n v="3.2"/>
    <n v="99.9"/>
    <n v="2"/>
    <n v="36"/>
    <n v="4034"/>
    <s v="Amit"/>
    <s v="Full-Time"/>
    <s v="Average"/>
    <s v="Low"/>
    <s v="Junior"/>
    <n v="51871"/>
    <s v="Excellent"/>
    <s v="Normal"/>
    <s v="Junior"/>
    <s v="35-44"/>
  </r>
  <r>
    <n v="1519"/>
    <s v="Arjun"/>
    <s v="Female"/>
    <n v="25"/>
    <s v="Marketing"/>
    <s v="Marketing Executive"/>
    <x v="3"/>
    <s v="2025-01-27"/>
    <n v="1"/>
    <n v="40882"/>
    <n v="2.7"/>
    <n v="87.4"/>
    <n v="17"/>
    <n v="5"/>
    <n v="9491"/>
    <s v="Suresh"/>
    <s v="Full-Time"/>
    <s v="Needs Improvement"/>
    <s v="Low"/>
    <s v="Junior"/>
    <n v="50373"/>
    <s v="Needs Improvement"/>
    <s v="Normal"/>
    <s v="Junior"/>
    <s v="25-34"/>
  </r>
  <r>
    <n v="1520"/>
    <s v="Ajay"/>
    <s v="Male"/>
    <n v="40"/>
    <s v="Marketing"/>
    <s v="Marketing Executive"/>
    <x v="2"/>
    <s v="2020-06-29"/>
    <n v="5"/>
    <n v="53351"/>
    <n v="4.5"/>
    <n v="95.4"/>
    <n v="23"/>
    <n v="59"/>
    <n v="8391"/>
    <s v="Anitha"/>
    <s v="Contract"/>
    <s v="Excellent"/>
    <s v="Medium"/>
    <s v="Mid Level"/>
    <n v="61742"/>
    <s v="Excellent"/>
    <s v="High"/>
    <s v="Mid"/>
    <s v="35-44"/>
  </r>
  <r>
    <n v="1521"/>
    <s v="Divya"/>
    <s v="Male"/>
    <n v="26"/>
    <s v="Finance"/>
    <s v="Accountant"/>
    <x v="0"/>
    <s v="2018-09-24"/>
    <n v="2"/>
    <n v="85094"/>
    <n v="3.6"/>
    <n v="97.3"/>
    <n v="3"/>
    <n v="42"/>
    <n v="10137"/>
    <s v="Amit"/>
    <s v="Contract"/>
    <s v="Average"/>
    <s v="High"/>
    <s v="Junior"/>
    <n v="95231"/>
    <s v="Excellent"/>
    <s v="Normal"/>
    <s v="Junior"/>
    <s v="25-34"/>
  </r>
  <r>
    <n v="1522"/>
    <s v="Vijay"/>
    <s v="Female"/>
    <n v="30"/>
    <s v="IT"/>
    <s v="Senior Developer"/>
    <x v="0"/>
    <s v="2020-10-13"/>
    <n v="1"/>
    <n v="68414"/>
    <n v="3.3"/>
    <n v="89.1"/>
    <n v="17"/>
    <n v="40"/>
    <n v="9038"/>
    <s v="Suresh"/>
    <s v="Contract"/>
    <s v="Average"/>
    <s v="Medium"/>
    <s v="Junior"/>
    <n v="77452"/>
    <s v="Needs Improvement"/>
    <s v="Normal"/>
    <s v="Junior"/>
    <s v="25-34"/>
  </r>
  <r>
    <n v="1523"/>
    <s v="Anu"/>
    <s v="Male"/>
    <n v="27"/>
    <s v="Marketing"/>
    <s v="SEO Analyst"/>
    <x v="0"/>
    <s v="2024-01-15"/>
    <n v="7"/>
    <n v="27030"/>
    <n v="4.0999999999999996"/>
    <n v="83.8"/>
    <n v="12"/>
    <n v="13"/>
    <n v="9846"/>
    <s v="Kavya"/>
    <s v="Contract"/>
    <s v="Good"/>
    <s v="Low"/>
    <s v="Senior"/>
    <n v="36876"/>
    <s v="Needs Improvement"/>
    <s v="Normal"/>
    <s v="Senior"/>
    <s v="25-34"/>
  </r>
  <r>
    <n v="1524"/>
    <s v="Ravi"/>
    <s v="Female"/>
    <n v="25"/>
    <s v="HR"/>
    <s v="HR Executive"/>
    <x v="4"/>
    <s v="2020-04-05"/>
    <n v="3"/>
    <n v="33307"/>
    <n v="3.8"/>
    <n v="95.8"/>
    <n v="8"/>
    <n v="60"/>
    <n v="6914"/>
    <s v="Kavya"/>
    <s v="Contract"/>
    <s v="Average"/>
    <s v="Low"/>
    <s v="Mid Level"/>
    <n v="40221"/>
    <s v="Excellent"/>
    <s v="Normal"/>
    <s v="Mid"/>
    <s v="25-34"/>
  </r>
  <r>
    <n v="1525"/>
    <s v="Arjun"/>
    <s v="Male"/>
    <n v="41"/>
    <s v="IT"/>
    <s v="Senior Developer"/>
    <x v="4"/>
    <s v="2018-10-21"/>
    <n v="1"/>
    <n v="42141"/>
    <n v="4.7"/>
    <n v="96"/>
    <n v="20"/>
    <n v="30"/>
    <n v="4087"/>
    <s v="Suresh"/>
    <s v="Contract"/>
    <s v="Excellent"/>
    <s v="Low"/>
    <s v="Junior"/>
    <n v="46228"/>
    <s v="Excellent"/>
    <s v="Normal"/>
    <s v="Junior"/>
    <s v="35-44"/>
  </r>
  <r>
    <n v="1526"/>
    <s v="Varun"/>
    <s v="Female"/>
    <n v="44"/>
    <s v="IT"/>
    <s v="Senior Developer"/>
    <x v="3"/>
    <s v="2021-08-24"/>
    <n v="0"/>
    <n v="92085"/>
    <n v="2.6"/>
    <n v="99.9"/>
    <n v="9"/>
    <n v="22"/>
    <n v="2761"/>
    <s v="Amit"/>
    <s v="Contract"/>
    <s v="Needs Improvement"/>
    <s v="High"/>
    <s v="Junior"/>
    <n v="94846"/>
    <s v="Excellent"/>
    <s v="Normal"/>
    <s v="Junior"/>
    <s v="35-44"/>
  </r>
  <r>
    <n v="1527"/>
    <s v="Nikhil"/>
    <s v="Male"/>
    <n v="45"/>
    <s v="Marketing"/>
    <s v="Marketing Executive"/>
    <x v="4"/>
    <s v="2019-08-04"/>
    <n v="1"/>
    <n v="53933"/>
    <n v="4.0999999999999996"/>
    <n v="99.1"/>
    <n v="12"/>
    <n v="17"/>
    <n v="4476"/>
    <s v="Suresh"/>
    <s v="Full-Time"/>
    <s v="Good"/>
    <s v="Medium"/>
    <s v="Junior"/>
    <n v="58409"/>
    <s v="Excellent"/>
    <s v="Normal"/>
    <s v="Junior"/>
    <s v="45+"/>
  </r>
  <r>
    <n v="1528"/>
    <s v="Varun"/>
    <s v="Male"/>
    <n v="39"/>
    <s v="IT"/>
    <s v="Software Engineer"/>
    <x v="4"/>
    <s v="2021-02-16"/>
    <n v="9"/>
    <n v="36182"/>
    <n v="3.3"/>
    <n v="97.4"/>
    <n v="17"/>
    <n v="25"/>
    <n v="11065"/>
    <s v="Kavya"/>
    <s v="Full-Time"/>
    <s v="Average"/>
    <s v="Low"/>
    <s v="Senior"/>
    <n v="47247"/>
    <s v="Excellent"/>
    <s v="Normal"/>
    <s v="Senior"/>
    <s v="35-44"/>
  </r>
  <r>
    <n v="1529"/>
    <s v="Kiran"/>
    <s v="Male"/>
    <n v="22"/>
    <s v="HR"/>
    <s v="HR Manager"/>
    <x v="0"/>
    <s v="2023-05-05"/>
    <n v="1"/>
    <n v="32509"/>
    <n v="3"/>
    <n v="92.1"/>
    <n v="2"/>
    <n v="45"/>
    <n v="7130"/>
    <s v="Suresh"/>
    <s v="Contract"/>
    <s v="Average"/>
    <s v="Low"/>
    <s v="Junior"/>
    <n v="39639"/>
    <s v="Needs Improvement"/>
    <s v="Normal"/>
    <s v="Junior"/>
    <s v="20-24"/>
  </r>
  <r>
    <n v="1530"/>
    <s v="Sneha"/>
    <s v="Male"/>
    <n v="31"/>
    <s v="IT"/>
    <s v="Software Engineer"/>
    <x v="0"/>
    <s v="2020-06-02"/>
    <n v="2"/>
    <n v="47193"/>
    <n v="3.7"/>
    <n v="96"/>
    <n v="7"/>
    <n v="8"/>
    <n v="12845"/>
    <s v="Kavya"/>
    <s v="Contract"/>
    <s v="Average"/>
    <s v="Low"/>
    <s v="Junior"/>
    <n v="60038"/>
    <s v="Excellent"/>
    <s v="Normal"/>
    <s v="Junior"/>
    <s v="25-34"/>
  </r>
  <r>
    <n v="1531"/>
    <s v="Meena"/>
    <s v="Female"/>
    <n v="28"/>
    <s v="Sales"/>
    <s v="Sales Manager"/>
    <x v="1"/>
    <s v="2018-09-24"/>
    <n v="3"/>
    <n v="87671"/>
    <n v="3"/>
    <n v="97"/>
    <n v="0"/>
    <n v="50"/>
    <n v="8509"/>
    <s v="Ramesh"/>
    <s v="Full-Time"/>
    <s v="Average"/>
    <s v="High"/>
    <s v="Mid Level"/>
    <n v="96180"/>
    <s v="Excellent"/>
    <s v="Normal"/>
    <s v="Mid"/>
    <s v="25-34"/>
  </r>
  <r>
    <n v="1532"/>
    <s v="Keerthi"/>
    <s v="Male"/>
    <n v="23"/>
    <s v="IT"/>
    <s v="Data Analyst"/>
    <x v="0"/>
    <s v="2018-06-24"/>
    <n v="3"/>
    <n v="44944"/>
    <n v="2.7"/>
    <n v="89.9"/>
    <n v="6"/>
    <n v="57"/>
    <n v="5873"/>
    <s v="Ramesh"/>
    <s v="Contract"/>
    <s v="Needs Improvement"/>
    <s v="Low"/>
    <s v="Mid Level"/>
    <n v="50817"/>
    <s v="Needs Improvement"/>
    <s v="Normal"/>
    <s v="Mid"/>
    <s v="20-24"/>
  </r>
  <r>
    <n v="1533"/>
    <s v="Deepa"/>
    <s v="Female"/>
    <n v="34"/>
    <s v="Sales"/>
    <s v="Sales Executive"/>
    <x v="2"/>
    <s v="2018-08-22"/>
    <n v="0"/>
    <n v="87450"/>
    <n v="3.7"/>
    <n v="84.4"/>
    <n v="21"/>
    <n v="36"/>
    <n v="8157"/>
    <s v="Ramesh"/>
    <s v="Contract"/>
    <s v="Average"/>
    <s v="High"/>
    <s v="Junior"/>
    <n v="95607"/>
    <s v="Needs Improvement"/>
    <s v="High"/>
    <s v="Junior"/>
    <s v="25-34"/>
  </r>
  <r>
    <n v="1534"/>
    <s v="Varun"/>
    <s v="Female"/>
    <n v="41"/>
    <s v="HR"/>
    <s v="HR Manager"/>
    <x v="1"/>
    <s v="2021-03-27"/>
    <n v="9"/>
    <n v="69215"/>
    <n v="4.0999999999999996"/>
    <n v="82.8"/>
    <n v="2"/>
    <n v="56"/>
    <n v="11426"/>
    <s v="Amit"/>
    <s v="Full-Time"/>
    <s v="Good"/>
    <s v="Medium"/>
    <s v="Senior"/>
    <n v="80641"/>
    <s v="Needs Improvement"/>
    <s v="Normal"/>
    <s v="Senior"/>
    <s v="35-44"/>
  </r>
  <r>
    <n v="1535"/>
    <s v="Arjun"/>
    <s v="Male"/>
    <n v="22"/>
    <s v="Marketing"/>
    <s v="SEO Analyst"/>
    <x v="1"/>
    <s v="2021-12-20"/>
    <n v="4"/>
    <n v="64643"/>
    <n v="4.7"/>
    <n v="88.1"/>
    <n v="16"/>
    <n v="28"/>
    <n v="1280"/>
    <s v="Anitha"/>
    <s v="Contract"/>
    <s v="Excellent"/>
    <s v="Medium"/>
    <s v="Mid Level"/>
    <n v="65923"/>
    <s v="Needs Improvement"/>
    <s v="Normal"/>
    <s v="Mid"/>
    <s v="20-24"/>
  </r>
  <r>
    <n v="1536"/>
    <s v="Rahul"/>
    <s v="Female"/>
    <n v="30"/>
    <s v="Sales"/>
    <s v="Sales Manager"/>
    <x v="1"/>
    <s v="2023-07-07"/>
    <n v="10"/>
    <n v="25622"/>
    <n v="4.0999999999999996"/>
    <n v="84"/>
    <n v="18"/>
    <n v="43"/>
    <n v="10552"/>
    <s v="Suresh"/>
    <s v="Contract"/>
    <s v="Good"/>
    <s v="Low"/>
    <s v="Senior"/>
    <n v="36174"/>
    <s v="Needs Improvement"/>
    <s v="Normal"/>
    <s v="Senior"/>
    <s v="25-34"/>
  </r>
  <r>
    <n v="1537"/>
    <s v="Arjun"/>
    <s v="Female"/>
    <n v="36"/>
    <s v="Sales"/>
    <s v="Sales Manager"/>
    <x v="2"/>
    <s v="2023-11-08"/>
    <n v="6"/>
    <n v="28407"/>
    <n v="2.9"/>
    <n v="97.9"/>
    <n v="17"/>
    <n v="27"/>
    <n v="1543"/>
    <s v="Ramesh"/>
    <s v="Contract"/>
    <s v="Needs Improvement"/>
    <s v="Low"/>
    <s v="Senior"/>
    <n v="29950"/>
    <s v="Excellent"/>
    <s v="Normal"/>
    <s v="Mid"/>
    <s v="35-44"/>
  </r>
  <r>
    <n v="1538"/>
    <s v="Manoj"/>
    <s v="Female"/>
    <n v="31"/>
    <s v="IT"/>
    <s v="Senior Developer"/>
    <x v="4"/>
    <s v="2019-08-13"/>
    <n v="1"/>
    <n v="39402"/>
    <n v="3.3"/>
    <n v="91.6"/>
    <n v="22"/>
    <n v="43"/>
    <n v="2033"/>
    <s v="Kavya"/>
    <s v="Full-Time"/>
    <s v="Average"/>
    <s v="Low"/>
    <s v="Junior"/>
    <n v="41435"/>
    <s v="Needs Improvement"/>
    <s v="High"/>
    <s v="Junior"/>
    <s v="25-34"/>
  </r>
  <r>
    <n v="1539"/>
    <s v="Sonia"/>
    <s v="Female"/>
    <n v="37"/>
    <s v="Marketing"/>
    <s v="Marketing Executive"/>
    <x v="2"/>
    <s v="2024-12-21"/>
    <n v="6"/>
    <n v="79651"/>
    <n v="4.4000000000000004"/>
    <n v="94"/>
    <n v="25"/>
    <n v="22"/>
    <n v="2277"/>
    <s v="Amit"/>
    <s v="Contract"/>
    <s v="Good"/>
    <s v="High"/>
    <s v="Senior"/>
    <n v="81928"/>
    <s v="Needs Improvement"/>
    <s v="High"/>
    <s v="Mid"/>
    <s v="35-44"/>
  </r>
  <r>
    <n v="1540"/>
    <s v="Deepa"/>
    <s v="Male"/>
    <n v="44"/>
    <s v="IT"/>
    <s v="Senior Developer"/>
    <x v="2"/>
    <s v="2021-09-09"/>
    <n v="2"/>
    <n v="49931"/>
    <n v="3.4"/>
    <n v="83"/>
    <n v="16"/>
    <n v="12"/>
    <n v="2358"/>
    <s v="Amit"/>
    <s v="Full-Time"/>
    <s v="Average"/>
    <s v="Low"/>
    <s v="Junior"/>
    <n v="52289"/>
    <s v="Needs Improvement"/>
    <s v="Normal"/>
    <s v="Junior"/>
    <s v="35-44"/>
  </r>
  <r>
    <n v="1541"/>
    <s v="Kiran"/>
    <s v="Female"/>
    <n v="33"/>
    <s v="IT"/>
    <s v="Data Analyst"/>
    <x v="4"/>
    <s v="2020-07-21"/>
    <n v="9"/>
    <n v="46269"/>
    <n v="4.5999999999999996"/>
    <n v="82.6"/>
    <n v="2"/>
    <n v="43"/>
    <n v="8185"/>
    <s v="Ramesh"/>
    <s v="Full-Time"/>
    <s v="Excellent"/>
    <s v="Low"/>
    <s v="Senior"/>
    <n v="54454"/>
    <s v="Needs Improvement"/>
    <s v="Normal"/>
    <s v="Senior"/>
    <s v="25-34"/>
  </r>
  <r>
    <n v="1542"/>
    <s v="Manoj"/>
    <s v="Female"/>
    <n v="37"/>
    <s v="HR"/>
    <s v="HR Manager"/>
    <x v="2"/>
    <s v="2018-02-27"/>
    <n v="5"/>
    <n v="73526"/>
    <n v="2.9"/>
    <n v="86.1"/>
    <n v="5"/>
    <n v="48"/>
    <n v="9783"/>
    <s v="Suresh"/>
    <s v="Full-Time"/>
    <s v="Needs Improvement"/>
    <s v="High"/>
    <s v="Mid Level"/>
    <n v="83309"/>
    <s v="Needs Improvement"/>
    <s v="Normal"/>
    <s v="Mid"/>
    <s v="35-44"/>
  </r>
  <r>
    <n v="1543"/>
    <s v="Sneha"/>
    <s v="Male"/>
    <n v="40"/>
    <s v="HR"/>
    <s v="HR Manager"/>
    <x v="1"/>
    <s v="2024-09-20"/>
    <n v="7"/>
    <n v="62592"/>
    <n v="2.6"/>
    <n v="93.5"/>
    <n v="12"/>
    <n v="40"/>
    <n v="11825"/>
    <s v="Amit"/>
    <s v="Contract"/>
    <s v="Needs Improvement"/>
    <s v="Medium"/>
    <s v="Senior"/>
    <n v="74417"/>
    <s v="Needs Improvement"/>
    <s v="Normal"/>
    <s v="Senior"/>
    <s v="35-44"/>
  </r>
  <r>
    <n v="1544"/>
    <s v="Manoj"/>
    <s v="Female"/>
    <n v="35"/>
    <s v="Marketing"/>
    <s v="SEO Analyst"/>
    <x v="4"/>
    <s v="2022-05-17"/>
    <n v="5"/>
    <n v="81460"/>
    <n v="2.6"/>
    <n v="94.7"/>
    <n v="3"/>
    <n v="22"/>
    <n v="13213"/>
    <s v="Anitha"/>
    <s v="Contract"/>
    <s v="Needs Improvement"/>
    <s v="High"/>
    <s v="Mid Level"/>
    <n v="94673"/>
    <s v="Needs Improvement"/>
    <s v="Normal"/>
    <s v="Mid"/>
    <s v="35-44"/>
  </r>
  <r>
    <n v="1545"/>
    <s v="Rahul"/>
    <s v="Male"/>
    <n v="23"/>
    <s v="Sales"/>
    <s v="Sales Manager"/>
    <x v="2"/>
    <s v="2023-06-26"/>
    <n v="3"/>
    <n v="38581"/>
    <n v="4.3"/>
    <n v="85"/>
    <n v="8"/>
    <n v="56"/>
    <n v="11542"/>
    <s v="Anitha"/>
    <s v="Full-Time"/>
    <s v="Good"/>
    <s v="Low"/>
    <s v="Mid Level"/>
    <n v="50123"/>
    <s v="Needs Improvement"/>
    <s v="Normal"/>
    <s v="Mid"/>
    <s v="20-24"/>
  </r>
  <r>
    <n v="1546"/>
    <s v="Priya"/>
    <s v="Male"/>
    <n v="34"/>
    <s v="Finance"/>
    <s v="Accountant"/>
    <x v="1"/>
    <s v="2020-05-07"/>
    <n v="4"/>
    <n v="92230"/>
    <n v="4.4000000000000004"/>
    <n v="95"/>
    <n v="18"/>
    <n v="52"/>
    <n v="11077"/>
    <s v="Suresh"/>
    <s v="Contract"/>
    <s v="Good"/>
    <s v="High"/>
    <s v="Mid Level"/>
    <n v="103307"/>
    <s v="Excellent"/>
    <s v="Normal"/>
    <s v="Mid"/>
    <s v="25-34"/>
  </r>
  <r>
    <n v="1547"/>
    <s v="Keerthi"/>
    <s v="Male"/>
    <n v="38"/>
    <s v="Finance"/>
    <s v="Accountant"/>
    <x v="0"/>
    <s v="2023-01-12"/>
    <n v="1"/>
    <n v="43913"/>
    <n v="3.9"/>
    <n v="93.4"/>
    <n v="23"/>
    <n v="47"/>
    <n v="7488"/>
    <s v="Amit"/>
    <s v="Contract"/>
    <s v="Average"/>
    <s v="Low"/>
    <s v="Junior"/>
    <n v="51401"/>
    <s v="Needs Improvement"/>
    <s v="High"/>
    <s v="Junior"/>
    <s v="35-44"/>
  </r>
  <r>
    <n v="1548"/>
    <s v="Meena"/>
    <s v="Female"/>
    <n v="38"/>
    <s v="Marketing"/>
    <s v="Marketing Executive"/>
    <x v="3"/>
    <s v="2019-06-23"/>
    <n v="3"/>
    <n v="92891"/>
    <n v="4.9000000000000004"/>
    <n v="82.8"/>
    <n v="19"/>
    <n v="6"/>
    <n v="3604"/>
    <s v="Kavya"/>
    <s v="Contract"/>
    <s v="Excellent"/>
    <s v="High"/>
    <s v="Mid Level"/>
    <n v="96495"/>
    <s v="Needs Improvement"/>
    <s v="Normal"/>
    <s v="Mid"/>
    <s v="35-44"/>
  </r>
  <r>
    <n v="1549"/>
    <s v="Manoj"/>
    <s v="Male"/>
    <n v="28"/>
    <s v="IT"/>
    <s v="Data Analyst"/>
    <x v="1"/>
    <s v="2023-07-14"/>
    <n v="6"/>
    <n v="44729"/>
    <n v="3.4"/>
    <n v="95.7"/>
    <n v="8"/>
    <n v="27"/>
    <n v="12567"/>
    <s v="Amit"/>
    <s v="Contract"/>
    <s v="Average"/>
    <s v="Low"/>
    <s v="Senior"/>
    <n v="57296"/>
    <s v="Excellent"/>
    <s v="Normal"/>
    <s v="Mid"/>
    <s v="25-34"/>
  </r>
  <r>
    <n v="1550"/>
    <s v="Priya"/>
    <s v="Male"/>
    <n v="26"/>
    <s v="IT"/>
    <s v="Data Analyst"/>
    <x v="2"/>
    <s v="2021-02-18"/>
    <n v="8"/>
    <n v="67329"/>
    <n v="3.7"/>
    <n v="95.4"/>
    <n v="19"/>
    <n v="57"/>
    <n v="14102"/>
    <s v="Anitha"/>
    <s v="Full-Time"/>
    <s v="Average"/>
    <s v="Medium"/>
    <s v="Senior"/>
    <n v="81431"/>
    <s v="Excellent"/>
    <s v="Normal"/>
    <s v="Senior"/>
    <s v="25-34"/>
  </r>
  <r>
    <n v="1551"/>
    <s v="Meena"/>
    <s v="Female"/>
    <n v="26"/>
    <s v="Finance"/>
    <s v="Financial Analyst"/>
    <x v="0"/>
    <s v="2023-12-02"/>
    <n v="3"/>
    <n v="35589"/>
    <n v="4.3"/>
    <n v="92.6"/>
    <n v="7"/>
    <n v="21"/>
    <n v="6993"/>
    <s v="Suresh"/>
    <s v="Contract"/>
    <s v="Good"/>
    <s v="Low"/>
    <s v="Mid Level"/>
    <n v="42582"/>
    <s v="Needs Improvement"/>
    <s v="Normal"/>
    <s v="Mid"/>
    <s v="25-34"/>
  </r>
  <r>
    <n v="1552"/>
    <s v="Divya"/>
    <s v="Male"/>
    <n v="31"/>
    <s v="Finance"/>
    <s v="Financial Analyst"/>
    <x v="3"/>
    <s v="2023-01-11"/>
    <n v="9"/>
    <n v="81258"/>
    <n v="4.5"/>
    <n v="93"/>
    <n v="23"/>
    <n v="50"/>
    <n v="14465"/>
    <s v="Kavya"/>
    <s v="Contract"/>
    <s v="Excellent"/>
    <s v="High"/>
    <s v="Senior"/>
    <n v="95723"/>
    <s v="Needs Improvement"/>
    <s v="High"/>
    <s v="Senior"/>
    <s v="25-34"/>
  </r>
  <r>
    <n v="1553"/>
    <s v="Nikhil"/>
    <s v="Female"/>
    <n v="29"/>
    <s v="IT"/>
    <s v="Data Analyst"/>
    <x v="0"/>
    <s v="2022-04-01"/>
    <n v="0"/>
    <n v="89523"/>
    <n v="3.2"/>
    <n v="95.2"/>
    <n v="16"/>
    <n v="48"/>
    <n v="3388"/>
    <s v="Ramesh"/>
    <s v="Contract"/>
    <s v="Average"/>
    <s v="High"/>
    <s v="Junior"/>
    <n v="92911"/>
    <s v="Excellent"/>
    <s v="Normal"/>
    <s v="Junior"/>
    <s v="25-34"/>
  </r>
  <r>
    <n v="1554"/>
    <s v="Divya"/>
    <s v="Female"/>
    <n v="27"/>
    <s v="Finance"/>
    <s v="Financial Analyst"/>
    <x v="4"/>
    <s v="2020-04-04"/>
    <n v="2"/>
    <n v="75201"/>
    <n v="4.2"/>
    <n v="83.8"/>
    <n v="15"/>
    <n v="49"/>
    <n v="14773"/>
    <s v="Kavya"/>
    <s v="Full-Time"/>
    <s v="Good"/>
    <s v="High"/>
    <s v="Junior"/>
    <n v="89974"/>
    <s v="Needs Improvement"/>
    <s v="Normal"/>
    <s v="Junior"/>
    <s v="25-34"/>
  </r>
  <r>
    <n v="1555"/>
    <s v="Priya"/>
    <s v="Female"/>
    <n v="44"/>
    <s v="IT"/>
    <s v="Senior Developer"/>
    <x v="3"/>
    <s v="2022-02-28"/>
    <n v="10"/>
    <n v="44491"/>
    <n v="3.1"/>
    <n v="83.8"/>
    <n v="23"/>
    <n v="10"/>
    <n v="6469"/>
    <s v="Kavya"/>
    <s v="Full-Time"/>
    <s v="Average"/>
    <s v="Low"/>
    <s v="Senior"/>
    <n v="50960"/>
    <s v="Needs Improvement"/>
    <s v="High"/>
    <s v="Senior"/>
    <s v="35-44"/>
  </r>
  <r>
    <n v="1556"/>
    <s v="Vijay"/>
    <s v="Male"/>
    <n v="22"/>
    <s v="IT"/>
    <s v="Senior Developer"/>
    <x v="3"/>
    <s v="2021-01-22"/>
    <n v="6"/>
    <n v="62428"/>
    <n v="3"/>
    <n v="89.8"/>
    <n v="20"/>
    <n v="22"/>
    <n v="11518"/>
    <s v="Kavya"/>
    <s v="Contract"/>
    <s v="Average"/>
    <s v="Medium"/>
    <s v="Senior"/>
    <n v="73946"/>
    <s v="Needs Improvement"/>
    <s v="Normal"/>
    <s v="Mid"/>
    <s v="20-24"/>
  </r>
  <r>
    <n v="1557"/>
    <s v="Varun"/>
    <s v="Male"/>
    <n v="26"/>
    <s v="Marketing"/>
    <s v="Marketing Executive"/>
    <x v="3"/>
    <s v="2023-10-23"/>
    <n v="5"/>
    <n v="87853"/>
    <n v="4.4000000000000004"/>
    <n v="89.9"/>
    <n v="7"/>
    <n v="41"/>
    <n v="2850"/>
    <s v="Kavya"/>
    <s v="Contract"/>
    <s v="Good"/>
    <s v="High"/>
    <s v="Mid Level"/>
    <n v="90703"/>
    <s v="Needs Improvement"/>
    <s v="Normal"/>
    <s v="Mid"/>
    <s v="25-34"/>
  </r>
  <r>
    <n v="1558"/>
    <s v="Manoj"/>
    <s v="Female"/>
    <n v="33"/>
    <s v="HR"/>
    <s v="HR Executive"/>
    <x v="4"/>
    <s v="2020-12-29"/>
    <n v="7"/>
    <n v="50018"/>
    <n v="4.2"/>
    <n v="92.7"/>
    <n v="9"/>
    <n v="22"/>
    <n v="10262"/>
    <s v="Amit"/>
    <s v="Full-Time"/>
    <s v="Good"/>
    <s v="Medium"/>
    <s v="Senior"/>
    <n v="60280"/>
    <s v="Needs Improvement"/>
    <s v="Normal"/>
    <s v="Senior"/>
    <s v="25-34"/>
  </r>
  <r>
    <n v="1559"/>
    <s v="Harsha"/>
    <s v="Female"/>
    <n v="27"/>
    <s v="IT"/>
    <s v="Software Engineer"/>
    <x v="2"/>
    <s v="2018-07-31"/>
    <n v="1"/>
    <n v="39807"/>
    <n v="3.4"/>
    <n v="82.7"/>
    <n v="18"/>
    <n v="18"/>
    <n v="7875"/>
    <s v="Kavya"/>
    <s v="Full-Time"/>
    <s v="Average"/>
    <s v="Low"/>
    <s v="Junior"/>
    <n v="47682"/>
    <s v="Needs Improvement"/>
    <s v="Normal"/>
    <s v="Junior"/>
    <s v="25-34"/>
  </r>
  <r>
    <n v="1560"/>
    <s v="Anu"/>
    <s v="Female"/>
    <n v="26"/>
    <s v="Sales"/>
    <s v="Sales Manager"/>
    <x v="4"/>
    <s v="2022-11-11"/>
    <n v="3"/>
    <n v="66988"/>
    <n v="4.3"/>
    <n v="83.7"/>
    <n v="4"/>
    <n v="16"/>
    <n v="9648"/>
    <s v="Amit"/>
    <s v="Full-Time"/>
    <s v="Good"/>
    <s v="Medium"/>
    <s v="Mid Level"/>
    <n v="76636"/>
    <s v="Needs Improvement"/>
    <s v="Normal"/>
    <s v="Mid"/>
    <s v="25-34"/>
  </r>
  <r>
    <n v="1561"/>
    <s v="Pooja"/>
    <s v="Female"/>
    <n v="36"/>
    <s v="IT"/>
    <s v="Data Analyst"/>
    <x v="1"/>
    <s v="2021-11-25"/>
    <n v="4"/>
    <n v="32893"/>
    <n v="4.5"/>
    <n v="89.7"/>
    <n v="25"/>
    <n v="35"/>
    <n v="11289"/>
    <s v="Ramesh"/>
    <s v="Contract"/>
    <s v="Excellent"/>
    <s v="Low"/>
    <s v="Mid Level"/>
    <n v="44182"/>
    <s v="Needs Improvement"/>
    <s v="High"/>
    <s v="Mid"/>
    <s v="35-44"/>
  </r>
  <r>
    <n v="1562"/>
    <s v="Vijay"/>
    <s v="Male"/>
    <n v="39"/>
    <s v="Sales"/>
    <s v="Sales Executive"/>
    <x v="0"/>
    <s v="2025-02-17"/>
    <n v="6"/>
    <n v="28407"/>
    <n v="3.2"/>
    <n v="95.5"/>
    <n v="19"/>
    <n v="45"/>
    <n v="12556"/>
    <s v="Suresh"/>
    <s v="Contract"/>
    <s v="Average"/>
    <s v="Low"/>
    <s v="Senior"/>
    <n v="40963"/>
    <s v="Excellent"/>
    <s v="Normal"/>
    <s v="Mid"/>
    <s v="35-44"/>
  </r>
  <r>
    <n v="1563"/>
    <s v="Kiran"/>
    <s v="Male"/>
    <n v="23"/>
    <s v="Finance"/>
    <s v="Financial Analyst"/>
    <x v="2"/>
    <s v="2023-05-25"/>
    <n v="7"/>
    <n v="53821"/>
    <n v="2.9"/>
    <n v="88.2"/>
    <n v="18"/>
    <n v="38"/>
    <n v="4086"/>
    <s v="Ramesh"/>
    <s v="Full-Time"/>
    <s v="Needs Improvement"/>
    <s v="Medium"/>
    <s v="Senior"/>
    <n v="57907"/>
    <s v="Needs Improvement"/>
    <s v="Normal"/>
    <s v="Senior"/>
    <s v="20-24"/>
  </r>
  <r>
    <n v="1564"/>
    <s v="Ajay"/>
    <s v="Female"/>
    <n v="44"/>
    <s v="IT"/>
    <s v="Data Analyst"/>
    <x v="0"/>
    <s v="2019-11-18"/>
    <n v="7"/>
    <n v="46756"/>
    <n v="3.6"/>
    <n v="84.2"/>
    <n v="25"/>
    <n v="44"/>
    <n v="7155"/>
    <s v="Ramesh"/>
    <s v="Full-Time"/>
    <s v="Average"/>
    <s v="Low"/>
    <s v="Senior"/>
    <n v="53911"/>
    <s v="Needs Improvement"/>
    <s v="High"/>
    <s v="Senior"/>
    <s v="35-44"/>
  </r>
  <r>
    <n v="1565"/>
    <s v="Ravi"/>
    <s v="Male"/>
    <n v="32"/>
    <s v="Marketing"/>
    <s v="Marketing Executive"/>
    <x v="0"/>
    <s v="2019-05-08"/>
    <n v="0"/>
    <n v="43677"/>
    <n v="4.3"/>
    <n v="85.3"/>
    <n v="16"/>
    <n v="47"/>
    <n v="9727"/>
    <s v="Anitha"/>
    <s v="Contract"/>
    <s v="Good"/>
    <s v="Low"/>
    <s v="Junior"/>
    <n v="53404"/>
    <s v="Needs Improvement"/>
    <s v="Normal"/>
    <s v="Junior"/>
    <s v="25-34"/>
  </r>
  <r>
    <n v="1566"/>
    <s v="Nikhil"/>
    <s v="Female"/>
    <n v="28"/>
    <s v="Finance"/>
    <s v="Accountant"/>
    <x v="1"/>
    <s v="2021-09-01"/>
    <n v="0"/>
    <n v="85112"/>
    <n v="3.3"/>
    <n v="83.5"/>
    <n v="10"/>
    <n v="16"/>
    <n v="3895"/>
    <s v="Amit"/>
    <s v="Full-Time"/>
    <s v="Average"/>
    <s v="High"/>
    <s v="Junior"/>
    <n v="89007"/>
    <s v="Needs Improvement"/>
    <s v="Normal"/>
    <s v="Junior"/>
    <s v="25-34"/>
  </r>
  <r>
    <n v="1567"/>
    <s v="Divya"/>
    <s v="Female"/>
    <n v="40"/>
    <s v="IT"/>
    <s v="Software Engineer"/>
    <x v="0"/>
    <s v="2020-03-16"/>
    <n v="10"/>
    <n v="45111"/>
    <n v="2.6"/>
    <n v="99.5"/>
    <n v="3"/>
    <n v="48"/>
    <n v="7025"/>
    <s v="Ramesh"/>
    <s v="Full-Time"/>
    <s v="Needs Improvement"/>
    <s v="Low"/>
    <s v="Senior"/>
    <n v="52136"/>
    <s v="Excellent"/>
    <s v="Normal"/>
    <s v="Senior"/>
    <s v="35-44"/>
  </r>
  <r>
    <n v="1568"/>
    <s v="Keerthi"/>
    <s v="Male"/>
    <n v="40"/>
    <s v="IT"/>
    <s v="Senior Developer"/>
    <x v="1"/>
    <s v="2018-12-11"/>
    <n v="10"/>
    <n v="83634"/>
    <n v="4.3"/>
    <n v="98.6"/>
    <n v="8"/>
    <n v="14"/>
    <n v="11208"/>
    <s v="Suresh"/>
    <s v="Full-Time"/>
    <s v="Good"/>
    <s v="High"/>
    <s v="Senior"/>
    <n v="94842"/>
    <s v="Excellent"/>
    <s v="Normal"/>
    <s v="Senior"/>
    <s v="35-44"/>
  </r>
  <r>
    <n v="1569"/>
    <s v="Ajay"/>
    <s v="Male"/>
    <n v="43"/>
    <s v="Finance"/>
    <s v="Accountant"/>
    <x v="3"/>
    <s v="2022-07-20"/>
    <n v="7"/>
    <n v="37207"/>
    <n v="4.7"/>
    <n v="94.3"/>
    <n v="11"/>
    <n v="47"/>
    <n v="2913"/>
    <s v="Suresh"/>
    <s v="Full-Time"/>
    <s v="Excellent"/>
    <s v="Low"/>
    <s v="Senior"/>
    <n v="40120"/>
    <s v="Needs Improvement"/>
    <s v="Normal"/>
    <s v="Senior"/>
    <s v="35-44"/>
  </r>
  <r>
    <n v="1570"/>
    <s v="Sneha"/>
    <s v="Female"/>
    <n v="36"/>
    <s v="Sales"/>
    <s v="Sales Manager"/>
    <x v="2"/>
    <s v="2025-04-02"/>
    <n v="9"/>
    <n v="93923"/>
    <n v="4.8"/>
    <n v="94.2"/>
    <n v="6"/>
    <n v="31"/>
    <n v="7485"/>
    <s v="Amit"/>
    <s v="Contract"/>
    <s v="Excellent"/>
    <s v="High"/>
    <s v="Senior"/>
    <n v="101408"/>
    <s v="Needs Improvement"/>
    <s v="Normal"/>
    <s v="Senior"/>
    <s v="35-44"/>
  </r>
  <r>
    <n v="1571"/>
    <s v="Deepa"/>
    <s v="Male"/>
    <n v="36"/>
    <s v="Sales"/>
    <s v="Sales Executive"/>
    <x v="4"/>
    <s v="2023-10-29"/>
    <n v="4"/>
    <n v="93290"/>
    <n v="2.6"/>
    <n v="95.5"/>
    <n v="22"/>
    <n v="54"/>
    <n v="3433"/>
    <s v="Ramesh"/>
    <s v="Full-Time"/>
    <s v="Needs Improvement"/>
    <s v="High"/>
    <s v="Mid Level"/>
    <n v="96723"/>
    <s v="Excellent"/>
    <s v="High"/>
    <s v="Mid"/>
    <s v="35-44"/>
  </r>
  <r>
    <n v="1572"/>
    <s v="Kiran"/>
    <s v="Male"/>
    <n v="28"/>
    <s v="Finance"/>
    <s v="Financial Analyst"/>
    <x v="3"/>
    <s v="2024-03-18"/>
    <n v="8"/>
    <n v="71452"/>
    <n v="4.2"/>
    <n v="99.1"/>
    <n v="17"/>
    <n v="10"/>
    <n v="7320"/>
    <s v="Suresh"/>
    <s v="Contract"/>
    <s v="Good"/>
    <s v="High"/>
    <s v="Senior"/>
    <n v="78772"/>
    <s v="Excellent"/>
    <s v="Normal"/>
    <s v="Senior"/>
    <s v="25-34"/>
  </r>
  <r>
    <n v="1573"/>
    <s v="Meena"/>
    <s v="Female"/>
    <n v="27"/>
    <s v="Finance"/>
    <s v="Accountant"/>
    <x v="3"/>
    <s v="2022-06-25"/>
    <n v="0"/>
    <n v="94489"/>
    <n v="4.9000000000000004"/>
    <n v="85"/>
    <n v="7"/>
    <n v="42"/>
    <n v="8967"/>
    <s v="Amit"/>
    <s v="Full-Time"/>
    <s v="Excellent"/>
    <s v="High"/>
    <s v="Junior"/>
    <n v="103456"/>
    <s v="Needs Improvement"/>
    <s v="Normal"/>
    <s v="Junior"/>
    <s v="25-34"/>
  </r>
  <r>
    <n v="1574"/>
    <s v="Nikhil"/>
    <s v="Female"/>
    <n v="40"/>
    <s v="Finance"/>
    <s v="Accountant"/>
    <x v="4"/>
    <s v="2018-12-08"/>
    <n v="7"/>
    <n v="25063"/>
    <n v="4.7"/>
    <n v="82.3"/>
    <n v="5"/>
    <n v="51"/>
    <n v="5261"/>
    <s v="Kavya"/>
    <s v="Contract"/>
    <s v="Excellent"/>
    <s v="Low"/>
    <s v="Senior"/>
    <n v="30324"/>
    <s v="Needs Improvement"/>
    <s v="Normal"/>
    <s v="Senior"/>
    <s v="35-44"/>
  </r>
  <r>
    <n v="1575"/>
    <s v="Pooja"/>
    <s v="Female"/>
    <n v="34"/>
    <s v="Finance"/>
    <s v="Accountant"/>
    <x v="4"/>
    <s v="2023-01-19"/>
    <n v="5"/>
    <n v="54064"/>
    <n v="3.8"/>
    <n v="96.7"/>
    <n v="25"/>
    <n v="8"/>
    <n v="14187"/>
    <s v="Kavya"/>
    <s v="Full-Time"/>
    <s v="Average"/>
    <s v="Medium"/>
    <s v="Mid Level"/>
    <n v="68251"/>
    <s v="Excellent"/>
    <s v="High"/>
    <s v="Mid"/>
    <s v="25-34"/>
  </r>
  <r>
    <n v="1576"/>
    <s v="Ajay"/>
    <s v="Female"/>
    <n v="42"/>
    <s v="IT"/>
    <s v="Senior Developer"/>
    <x v="3"/>
    <s v="2022-01-19"/>
    <n v="9"/>
    <n v="33744"/>
    <n v="3.7"/>
    <n v="82.6"/>
    <n v="25"/>
    <n v="39"/>
    <n v="8668"/>
    <s v="Anitha"/>
    <s v="Contract"/>
    <s v="Average"/>
    <s v="Low"/>
    <s v="Senior"/>
    <n v="42412"/>
    <s v="Needs Improvement"/>
    <s v="High"/>
    <s v="Senior"/>
    <s v="35-44"/>
  </r>
  <r>
    <n v="1577"/>
    <s v="Manoj"/>
    <s v="Female"/>
    <n v="36"/>
    <s v="IT"/>
    <s v="Senior Developer"/>
    <x v="3"/>
    <s v="2023-06-21"/>
    <n v="0"/>
    <n v="81427"/>
    <n v="3.7"/>
    <n v="89.5"/>
    <n v="25"/>
    <n v="58"/>
    <n v="9404"/>
    <s v="Anitha"/>
    <s v="Full-Time"/>
    <s v="Average"/>
    <s v="High"/>
    <s v="Junior"/>
    <n v="90831"/>
    <s v="Needs Improvement"/>
    <s v="High"/>
    <s v="Junior"/>
    <s v="35-44"/>
  </r>
  <r>
    <n v="1578"/>
    <s v="Anu"/>
    <s v="Male"/>
    <n v="29"/>
    <s v="Sales"/>
    <s v="Sales Manager"/>
    <x v="1"/>
    <s v="2020-12-03"/>
    <n v="5"/>
    <n v="44363"/>
    <n v="2.9"/>
    <n v="95.4"/>
    <n v="11"/>
    <n v="22"/>
    <n v="14707"/>
    <s v="Anitha"/>
    <s v="Full-Time"/>
    <s v="Needs Improvement"/>
    <s v="Low"/>
    <s v="Mid Level"/>
    <n v="59070"/>
    <s v="Excellent"/>
    <s v="Normal"/>
    <s v="Mid"/>
    <s v="25-34"/>
  </r>
  <r>
    <n v="1579"/>
    <s v="Ajay"/>
    <s v="Male"/>
    <n v="34"/>
    <s v="IT"/>
    <s v="Data Analyst"/>
    <x v="3"/>
    <s v="2018-02-14"/>
    <n v="7"/>
    <n v="66739"/>
    <n v="3.7"/>
    <n v="90.8"/>
    <n v="19"/>
    <n v="11"/>
    <n v="11469"/>
    <s v="Amit"/>
    <s v="Contract"/>
    <s v="Average"/>
    <s v="Medium"/>
    <s v="Senior"/>
    <n v="78208"/>
    <s v="Needs Improvement"/>
    <s v="Normal"/>
    <s v="Senior"/>
    <s v="25-34"/>
  </r>
  <r>
    <n v="1580"/>
    <s v="Varun"/>
    <s v="Male"/>
    <n v="35"/>
    <s v="HR"/>
    <s v="HR Executive"/>
    <x v="3"/>
    <s v="2022-01-10"/>
    <n v="1"/>
    <n v="68529"/>
    <n v="4.3"/>
    <n v="84.8"/>
    <n v="3"/>
    <n v="16"/>
    <n v="9501"/>
    <s v="Suresh"/>
    <s v="Contract"/>
    <s v="Good"/>
    <s v="Medium"/>
    <s v="Junior"/>
    <n v="78030"/>
    <s v="Needs Improvement"/>
    <s v="Normal"/>
    <s v="Junior"/>
    <s v="35-44"/>
  </r>
  <r>
    <n v="1581"/>
    <s v="Keerthi"/>
    <s v="Female"/>
    <n v="44"/>
    <s v="Finance"/>
    <s v="Accountant"/>
    <x v="4"/>
    <s v="2019-03-04"/>
    <n v="3"/>
    <n v="66435"/>
    <n v="4.5"/>
    <n v="98.7"/>
    <n v="10"/>
    <n v="47"/>
    <n v="13498"/>
    <s v="Ramesh"/>
    <s v="Contract"/>
    <s v="Excellent"/>
    <s v="Medium"/>
    <s v="Mid Level"/>
    <n v="79933"/>
    <s v="Excellent"/>
    <s v="Normal"/>
    <s v="Mid"/>
    <s v="35-44"/>
  </r>
  <r>
    <n v="1582"/>
    <s v="Keerthi"/>
    <s v="Male"/>
    <n v="22"/>
    <s v="Marketing"/>
    <s v="SEO Analyst"/>
    <x v="1"/>
    <s v="2019-08-25"/>
    <n v="8"/>
    <n v="36144"/>
    <n v="3.5"/>
    <n v="94"/>
    <n v="2"/>
    <n v="44"/>
    <n v="8019"/>
    <s v="Ramesh"/>
    <s v="Contract"/>
    <s v="Average"/>
    <s v="Low"/>
    <s v="Senior"/>
    <n v="44163"/>
    <s v="Needs Improvement"/>
    <s v="Normal"/>
    <s v="Senior"/>
    <s v="20-24"/>
  </r>
  <r>
    <n v="1583"/>
    <s v="Nikhil"/>
    <s v="Male"/>
    <n v="27"/>
    <s v="Sales"/>
    <s v="Sales Executive"/>
    <x v="0"/>
    <s v="2025-05-18"/>
    <n v="7"/>
    <n v="43451"/>
    <n v="3"/>
    <n v="86.5"/>
    <n v="11"/>
    <n v="46"/>
    <n v="7810"/>
    <s v="Ramesh"/>
    <s v="Contract"/>
    <s v="Average"/>
    <s v="Low"/>
    <s v="Senior"/>
    <n v="51261"/>
    <s v="Needs Improvement"/>
    <s v="Normal"/>
    <s v="Senior"/>
    <s v="25-34"/>
  </r>
  <r>
    <n v="1584"/>
    <s v="Sneha"/>
    <s v="Male"/>
    <n v="34"/>
    <s v="Sales"/>
    <s v="Sales Manager"/>
    <x v="1"/>
    <s v="2021-10-02"/>
    <n v="0"/>
    <n v="33159"/>
    <n v="3.1"/>
    <n v="97.8"/>
    <n v="10"/>
    <n v="52"/>
    <n v="5694"/>
    <s v="Ramesh"/>
    <s v="Full-Time"/>
    <s v="Average"/>
    <s v="Low"/>
    <s v="Junior"/>
    <n v="38853"/>
    <s v="Excellent"/>
    <s v="Normal"/>
    <s v="Junior"/>
    <s v="25-34"/>
  </r>
  <r>
    <n v="1585"/>
    <s v="Pooja"/>
    <s v="Male"/>
    <n v="22"/>
    <s v="HR"/>
    <s v="HR Executive"/>
    <x v="4"/>
    <s v="2024-04-21"/>
    <n v="9"/>
    <n v="77769"/>
    <n v="4.2"/>
    <n v="89.5"/>
    <n v="9"/>
    <n v="8"/>
    <n v="11981"/>
    <s v="Anitha"/>
    <s v="Contract"/>
    <s v="Good"/>
    <s v="High"/>
    <s v="Senior"/>
    <n v="89750"/>
    <s v="Needs Improvement"/>
    <s v="Normal"/>
    <s v="Senior"/>
    <s v="20-24"/>
  </r>
  <r>
    <n v="1586"/>
    <s v="Meena"/>
    <s v="Male"/>
    <n v="35"/>
    <s v="Finance"/>
    <s v="Financial Analyst"/>
    <x v="4"/>
    <s v="2019-01-03"/>
    <n v="0"/>
    <n v="81550"/>
    <n v="3.4"/>
    <n v="90.9"/>
    <n v="1"/>
    <n v="48"/>
    <n v="3333"/>
    <s v="Amit"/>
    <s v="Full-Time"/>
    <s v="Average"/>
    <s v="High"/>
    <s v="Junior"/>
    <n v="84883"/>
    <s v="Needs Improvement"/>
    <s v="Normal"/>
    <s v="Junior"/>
    <s v="35-44"/>
  </r>
  <r>
    <n v="1587"/>
    <s v="Arjun"/>
    <s v="Male"/>
    <n v="22"/>
    <s v="Marketing"/>
    <s v="Marketing Executive"/>
    <x v="4"/>
    <s v="2022-03-02"/>
    <n v="4"/>
    <n v="81821"/>
    <n v="4.0999999999999996"/>
    <n v="91"/>
    <n v="25"/>
    <n v="40"/>
    <n v="10324"/>
    <s v="Ramesh"/>
    <s v="Full-Time"/>
    <s v="Good"/>
    <s v="High"/>
    <s v="Mid Level"/>
    <n v="92145"/>
    <s v="Needs Improvement"/>
    <s v="High"/>
    <s v="Mid"/>
    <s v="20-24"/>
  </r>
  <r>
    <n v="1588"/>
    <s v="Deepa"/>
    <s v="Male"/>
    <n v="24"/>
    <s v="HR"/>
    <s v="HR Manager"/>
    <x v="4"/>
    <s v="2020-10-24"/>
    <n v="1"/>
    <n v="33793"/>
    <n v="4.8"/>
    <n v="86.5"/>
    <n v="19"/>
    <n v="8"/>
    <n v="13150"/>
    <s v="Ramesh"/>
    <s v="Full-Time"/>
    <s v="Excellent"/>
    <s v="Low"/>
    <s v="Junior"/>
    <n v="46943"/>
    <s v="Needs Improvement"/>
    <s v="Normal"/>
    <s v="Junior"/>
    <s v="20-24"/>
  </r>
  <r>
    <n v="1589"/>
    <s v="Priya"/>
    <s v="Male"/>
    <n v="40"/>
    <s v="Finance"/>
    <s v="Accountant"/>
    <x v="3"/>
    <s v="2024-02-14"/>
    <n v="4"/>
    <n v="26251"/>
    <n v="4.9000000000000004"/>
    <n v="94"/>
    <n v="14"/>
    <n v="51"/>
    <n v="7952"/>
    <s v="Kavya"/>
    <s v="Contract"/>
    <s v="Excellent"/>
    <s v="Low"/>
    <s v="Mid Level"/>
    <n v="34203"/>
    <s v="Needs Improvement"/>
    <s v="Normal"/>
    <s v="Mid"/>
    <s v="35-44"/>
  </r>
  <r>
    <n v="1590"/>
    <s v="Vijay"/>
    <s v="Female"/>
    <n v="23"/>
    <s v="Finance"/>
    <s v="Accountant"/>
    <x v="2"/>
    <s v="2020-08-18"/>
    <n v="2"/>
    <n v="28916"/>
    <n v="2.7"/>
    <n v="87.4"/>
    <n v="2"/>
    <n v="54"/>
    <n v="12383"/>
    <s v="Ramesh"/>
    <s v="Full-Time"/>
    <s v="Needs Improvement"/>
    <s v="Low"/>
    <s v="Junior"/>
    <n v="41299"/>
    <s v="Needs Improvement"/>
    <s v="Normal"/>
    <s v="Junior"/>
    <s v="20-24"/>
  </r>
  <r>
    <n v="1591"/>
    <s v="Ajay"/>
    <s v="Male"/>
    <n v="32"/>
    <s v="Finance"/>
    <s v="Financial Analyst"/>
    <x v="2"/>
    <s v="2019-12-29"/>
    <n v="7"/>
    <n v="32753"/>
    <n v="2.5"/>
    <n v="84.6"/>
    <n v="23"/>
    <n v="33"/>
    <n v="6973"/>
    <s v="Ramesh"/>
    <s v="Contract"/>
    <s v="Needs Improvement"/>
    <s v="Low"/>
    <s v="Senior"/>
    <n v="39726"/>
    <s v="Needs Improvement"/>
    <s v="High"/>
    <s v="Senior"/>
    <s v="25-34"/>
  </r>
  <r>
    <n v="1592"/>
    <s v="Ajay"/>
    <s v="Female"/>
    <n v="36"/>
    <s v="IT"/>
    <s v="Software Engineer"/>
    <x v="4"/>
    <s v="2020-08-21"/>
    <n v="9"/>
    <n v="85211"/>
    <n v="4.4000000000000004"/>
    <n v="89.2"/>
    <n v="4"/>
    <n v="43"/>
    <n v="12288"/>
    <s v="Ramesh"/>
    <s v="Contract"/>
    <s v="Good"/>
    <s v="High"/>
    <s v="Senior"/>
    <n v="97499"/>
    <s v="Needs Improvement"/>
    <s v="Normal"/>
    <s v="Senior"/>
    <s v="35-44"/>
  </r>
  <r>
    <n v="1593"/>
    <s v="Deepa"/>
    <s v="Female"/>
    <n v="32"/>
    <s v="Marketing"/>
    <s v="Marketing Executive"/>
    <x v="0"/>
    <s v="2022-04-27"/>
    <n v="1"/>
    <n v="73531"/>
    <n v="2.7"/>
    <n v="93.7"/>
    <n v="5"/>
    <n v="33"/>
    <n v="11634"/>
    <s v="Suresh"/>
    <s v="Contract"/>
    <s v="Needs Improvement"/>
    <s v="High"/>
    <s v="Junior"/>
    <n v="85165"/>
    <s v="Needs Improvement"/>
    <s v="Normal"/>
    <s v="Junior"/>
    <s v="25-34"/>
  </r>
  <r>
    <n v="1594"/>
    <s v="Divya"/>
    <s v="Male"/>
    <n v="44"/>
    <s v="Marketing"/>
    <s v="SEO Analyst"/>
    <x v="0"/>
    <s v="2018-02-22"/>
    <n v="0"/>
    <n v="93538"/>
    <n v="2.6"/>
    <n v="87.7"/>
    <n v="21"/>
    <n v="9"/>
    <n v="4403"/>
    <s v="Suresh"/>
    <s v="Contract"/>
    <s v="Needs Improvement"/>
    <s v="High"/>
    <s v="Junior"/>
    <n v="97941"/>
    <s v="Needs Improvement"/>
    <s v="High"/>
    <s v="Junior"/>
    <s v="35-44"/>
  </r>
  <r>
    <n v="1595"/>
    <s v="Divya"/>
    <s v="Male"/>
    <n v="37"/>
    <s v="Finance"/>
    <s v="Accountant"/>
    <x v="2"/>
    <s v="2023-10-21"/>
    <n v="2"/>
    <n v="31694"/>
    <n v="3.6"/>
    <n v="88.1"/>
    <n v="23"/>
    <n v="30"/>
    <n v="6939"/>
    <s v="Amit"/>
    <s v="Contract"/>
    <s v="Average"/>
    <s v="Low"/>
    <s v="Junior"/>
    <n v="38633"/>
    <s v="Needs Improvement"/>
    <s v="High"/>
    <s v="Junior"/>
    <s v="35-44"/>
  </r>
  <r>
    <n v="1596"/>
    <s v="Vijay"/>
    <s v="Male"/>
    <n v="33"/>
    <s v="Marketing"/>
    <s v="Marketing Executive"/>
    <x v="4"/>
    <s v="2018-01-05"/>
    <n v="9"/>
    <n v="88494"/>
    <n v="3.9"/>
    <n v="86.2"/>
    <n v="9"/>
    <n v="31"/>
    <n v="5264"/>
    <s v="Suresh"/>
    <s v="Full-Time"/>
    <s v="Average"/>
    <s v="High"/>
    <s v="Senior"/>
    <n v="93758"/>
    <s v="Needs Improvement"/>
    <s v="Normal"/>
    <s v="Senior"/>
    <s v="25-34"/>
  </r>
  <r>
    <n v="1597"/>
    <s v="Ajay"/>
    <s v="Female"/>
    <n v="29"/>
    <s v="Finance"/>
    <s v="Financial Analyst"/>
    <x v="3"/>
    <s v="2018-03-13"/>
    <n v="1"/>
    <n v="44941"/>
    <n v="5"/>
    <n v="89.4"/>
    <n v="9"/>
    <n v="26"/>
    <n v="11024"/>
    <s v="Ramesh"/>
    <s v="Full-Time"/>
    <s v="Excellent"/>
    <s v="Low"/>
    <s v="Junior"/>
    <n v="55965"/>
    <s v="Needs Improvement"/>
    <s v="Normal"/>
    <s v="Junior"/>
    <s v="25-34"/>
  </r>
  <r>
    <n v="1598"/>
    <s v="Harsha"/>
    <s v="Female"/>
    <n v="42"/>
    <s v="IT"/>
    <s v="Software Engineer"/>
    <x v="1"/>
    <s v="2020-11-12"/>
    <n v="9"/>
    <n v="78591"/>
    <n v="3"/>
    <n v="89.6"/>
    <n v="3"/>
    <n v="42"/>
    <n v="2229"/>
    <s v="Anitha"/>
    <s v="Contract"/>
    <s v="Average"/>
    <s v="High"/>
    <s v="Senior"/>
    <n v="80820"/>
    <s v="Needs Improvement"/>
    <s v="Normal"/>
    <s v="Senior"/>
    <s v="35-44"/>
  </r>
  <r>
    <n v="1599"/>
    <s v="Arjun"/>
    <s v="Female"/>
    <n v="23"/>
    <s v="IT"/>
    <s v="Software Engineer"/>
    <x v="0"/>
    <s v="2025-01-19"/>
    <n v="3"/>
    <m/>
    <n v="3.2"/>
    <n v="93.9"/>
    <n v="17"/>
    <n v="60"/>
    <n v="8918"/>
    <s v="Ramesh"/>
    <s v="Full-Time"/>
    <s v="Average"/>
    <s v="Low"/>
    <s v="Mid Level"/>
    <n v="8918"/>
    <s v="Needs Improvement"/>
    <s v="Normal"/>
    <s v="Mid"/>
    <s v="20-24"/>
  </r>
  <r>
    <n v="1600"/>
    <s v="Harsha"/>
    <s v="Male"/>
    <n v="25"/>
    <s v="Finance"/>
    <s v="Financial Analyst"/>
    <x v="2"/>
    <s v="2021-02-07"/>
    <n v="0"/>
    <n v="77791"/>
    <n v="2.8"/>
    <n v="92.2"/>
    <n v="2"/>
    <n v="12"/>
    <n v="3798"/>
    <s v="Amit"/>
    <s v="Full-Time"/>
    <s v="Needs Improvement"/>
    <s v="High"/>
    <s v="Junior"/>
    <n v="81589"/>
    <s v="Needs Improvement"/>
    <s v="Normal"/>
    <s v="Junior"/>
    <s v="25-34"/>
  </r>
  <r>
    <n v="1601"/>
    <s v="Divya"/>
    <s v="Male"/>
    <n v="23"/>
    <s v="IT"/>
    <s v="Software Engineer"/>
    <x v="3"/>
    <s v="2022-04-12"/>
    <n v="7"/>
    <n v="36670"/>
    <n v="4.5999999999999996"/>
    <n v="98.8"/>
    <n v="14"/>
    <n v="25"/>
    <n v="4444"/>
    <s v="Ramesh"/>
    <s v="Full-Time"/>
    <s v="Excellent"/>
    <s v="Low"/>
    <s v="Senior"/>
    <n v="41114"/>
    <s v="Excellent"/>
    <s v="Normal"/>
    <s v="Senior"/>
    <s v="20-24"/>
  </r>
  <r>
    <n v="1602"/>
    <s v="Sai"/>
    <s v="Female"/>
    <n v="36"/>
    <s v="IT"/>
    <s v="Data Analyst"/>
    <x v="2"/>
    <s v="2018-10-11"/>
    <n v="0"/>
    <n v="74530"/>
    <n v="3.1"/>
    <n v="84.1"/>
    <n v="9"/>
    <n v="30"/>
    <n v="13369"/>
    <s v="Anitha"/>
    <s v="Contract"/>
    <s v="Average"/>
    <s v="High"/>
    <s v="Junior"/>
    <n v="87899"/>
    <s v="Needs Improvement"/>
    <s v="Normal"/>
    <s v="Junior"/>
    <s v="35-44"/>
  </r>
  <r>
    <n v="1603"/>
    <s v="Ravi"/>
    <s v="Male"/>
    <n v="22"/>
    <s v="Sales"/>
    <s v="Sales Manager"/>
    <x v="1"/>
    <s v="2019-02-23"/>
    <n v="9"/>
    <n v="72218"/>
    <n v="3.7"/>
    <n v="95.8"/>
    <n v="23"/>
    <n v="37"/>
    <n v="7204"/>
    <s v="Amit"/>
    <s v="Full-Time"/>
    <s v="Average"/>
    <s v="High"/>
    <s v="Senior"/>
    <n v="79422"/>
    <s v="Excellent"/>
    <s v="High"/>
    <s v="Senior"/>
    <s v="20-24"/>
  </r>
  <r>
    <n v="1604"/>
    <s v="Divya"/>
    <s v="Male"/>
    <n v="36"/>
    <s v="IT"/>
    <s v="Software Engineer"/>
    <x v="1"/>
    <s v="2021-07-25"/>
    <n v="8"/>
    <n v="51878"/>
    <n v="3"/>
    <n v="99.7"/>
    <n v="3"/>
    <n v="25"/>
    <n v="14177"/>
    <s v="Kavya"/>
    <s v="Contract"/>
    <s v="Average"/>
    <s v="Medium"/>
    <s v="Senior"/>
    <n v="66055"/>
    <s v="Excellent"/>
    <s v="Normal"/>
    <s v="Senior"/>
    <s v="35-44"/>
  </r>
  <r>
    <n v="1605"/>
    <s v="Priya"/>
    <s v="Male"/>
    <n v="31"/>
    <s v="Sales"/>
    <s v="Sales Executive"/>
    <x v="2"/>
    <s v="2023-01-27"/>
    <n v="10"/>
    <n v="77681"/>
    <n v="3.9"/>
    <n v="86.5"/>
    <n v="9"/>
    <n v="5"/>
    <n v="13385"/>
    <s v="Amit"/>
    <s v="Contract"/>
    <s v="Average"/>
    <s v="High"/>
    <s v="Senior"/>
    <n v="91066"/>
    <s v="Needs Improvement"/>
    <s v="Normal"/>
    <s v="Senior"/>
    <s v="25-34"/>
  </r>
  <r>
    <n v="1606"/>
    <s v="Nikhil"/>
    <s v="Female"/>
    <n v="26"/>
    <s v="IT"/>
    <s v="Data Analyst"/>
    <x v="1"/>
    <s v="2022-01-07"/>
    <n v="1"/>
    <n v="59254"/>
    <n v="2.8"/>
    <n v="97.6"/>
    <n v="7"/>
    <n v="23"/>
    <n v="12133"/>
    <s v="Kavya"/>
    <s v="Full-Time"/>
    <s v="Needs Improvement"/>
    <s v="Medium"/>
    <s v="Junior"/>
    <n v="71387"/>
    <s v="Excellent"/>
    <s v="Normal"/>
    <s v="Junior"/>
    <s v="25-34"/>
  </r>
  <r>
    <n v="1607"/>
    <s v="Arjun"/>
    <s v="Female"/>
    <n v="26"/>
    <s v="HR"/>
    <s v="HR Executive"/>
    <x v="3"/>
    <s v="2024-11-12"/>
    <n v="3"/>
    <n v="75033"/>
    <n v="4.4000000000000004"/>
    <n v="91.4"/>
    <n v="15"/>
    <n v="33"/>
    <n v="1164"/>
    <s v="Amit"/>
    <s v="Full-Time"/>
    <s v="Good"/>
    <s v="High"/>
    <s v="Mid Level"/>
    <n v="76197"/>
    <s v="Needs Improvement"/>
    <s v="Normal"/>
    <s v="Mid"/>
    <s v="25-34"/>
  </r>
  <r>
    <n v="1608"/>
    <s v="Divya"/>
    <s v="Male"/>
    <n v="43"/>
    <s v="Sales"/>
    <s v="Sales Executive"/>
    <x v="0"/>
    <s v="2018-08-25"/>
    <n v="6"/>
    <n v="37087"/>
    <n v="3.7"/>
    <n v="92.8"/>
    <n v="19"/>
    <n v="28"/>
    <n v="7700"/>
    <s v="Ramesh"/>
    <s v="Full-Time"/>
    <s v="Average"/>
    <s v="Low"/>
    <s v="Senior"/>
    <n v="44787"/>
    <s v="Needs Improvement"/>
    <s v="Normal"/>
    <s v="Mid"/>
    <s v="35-44"/>
  </r>
  <r>
    <n v="1609"/>
    <s v="Kiran"/>
    <s v="Male"/>
    <n v="29"/>
    <s v="Sales"/>
    <s v="Sales Manager"/>
    <x v="1"/>
    <s v="2022-09-17"/>
    <n v="6"/>
    <n v="67091"/>
    <n v="3.7"/>
    <n v="99.2"/>
    <n v="20"/>
    <n v="36"/>
    <n v="1094"/>
    <s v="Kavya"/>
    <s v="Contract"/>
    <s v="Average"/>
    <s v="Medium"/>
    <s v="Senior"/>
    <n v="68185"/>
    <s v="Excellent"/>
    <s v="Normal"/>
    <s v="Mid"/>
    <s v="25-34"/>
  </r>
  <r>
    <n v="1610"/>
    <s v="Harsha"/>
    <s v="Male"/>
    <n v="28"/>
    <s v="Finance"/>
    <s v="Financial Analyst"/>
    <x v="2"/>
    <s v="2025-01-12"/>
    <n v="7"/>
    <n v="48277"/>
    <n v="3.3"/>
    <n v="96.8"/>
    <n v="3"/>
    <n v="10"/>
    <n v="2261"/>
    <s v="Kavya"/>
    <s v="Contract"/>
    <s v="Average"/>
    <s v="Low"/>
    <s v="Senior"/>
    <n v="50538"/>
    <s v="Excellent"/>
    <s v="Normal"/>
    <s v="Senior"/>
    <s v="25-34"/>
  </r>
  <r>
    <n v="1611"/>
    <s v="Priya"/>
    <s v="Male"/>
    <n v="33"/>
    <s v="IT"/>
    <s v="Data Analyst"/>
    <x v="4"/>
    <s v="2019-07-28"/>
    <n v="2"/>
    <n v="64018"/>
    <n v="2.6"/>
    <n v="96.7"/>
    <n v="4"/>
    <n v="60"/>
    <n v="9001"/>
    <s v="Amit"/>
    <s v="Contract"/>
    <s v="Needs Improvement"/>
    <s v="Medium"/>
    <s v="Junior"/>
    <n v="73019"/>
    <s v="Excellent"/>
    <s v="Normal"/>
    <s v="Junior"/>
    <s v="25-34"/>
  </r>
  <r>
    <n v="1612"/>
    <s v="Vijay"/>
    <s v="Female"/>
    <n v="27"/>
    <s v="Finance"/>
    <s v="Financial Analyst"/>
    <x v="3"/>
    <s v="2019-06-21"/>
    <n v="0"/>
    <n v="46615"/>
    <n v="3.1"/>
    <n v="85.9"/>
    <n v="20"/>
    <n v="10"/>
    <n v="12199"/>
    <s v="Ramesh"/>
    <s v="Contract"/>
    <s v="Average"/>
    <s v="Low"/>
    <s v="Junior"/>
    <n v="58814"/>
    <s v="Needs Improvement"/>
    <s v="Normal"/>
    <s v="Junior"/>
    <s v="25-34"/>
  </r>
  <r>
    <n v="1613"/>
    <s v="Pooja"/>
    <s v="Male"/>
    <n v="35"/>
    <s v="Finance"/>
    <s v="Financial Analyst"/>
    <x v="4"/>
    <s v="2019-07-17"/>
    <n v="0"/>
    <n v="80297"/>
    <n v="3.6"/>
    <n v="90.2"/>
    <n v="14"/>
    <n v="48"/>
    <n v="11545"/>
    <s v="Ramesh"/>
    <s v="Full-Time"/>
    <s v="Average"/>
    <s v="High"/>
    <s v="Junior"/>
    <n v="91842"/>
    <s v="Needs Improvement"/>
    <s v="Normal"/>
    <s v="Junior"/>
    <s v="35-44"/>
  </r>
  <r>
    <n v="1614"/>
    <s v="Divya"/>
    <s v="Male"/>
    <n v="34"/>
    <s v="Finance"/>
    <s v="Accountant"/>
    <x v="4"/>
    <s v="2019-08-21"/>
    <n v="0"/>
    <n v="43275"/>
    <n v="3.4"/>
    <n v="97.1"/>
    <n v="19"/>
    <n v="56"/>
    <n v="3490"/>
    <s v="Kavya"/>
    <s v="Full-Time"/>
    <s v="Average"/>
    <s v="Low"/>
    <s v="Junior"/>
    <n v="46765"/>
    <s v="Excellent"/>
    <s v="Normal"/>
    <s v="Junior"/>
    <s v="25-34"/>
  </r>
  <r>
    <n v="1615"/>
    <s v="Vijay"/>
    <s v="Male"/>
    <n v="24"/>
    <s v="IT"/>
    <s v="Data Analyst"/>
    <x v="4"/>
    <s v="2021-11-06"/>
    <n v="4"/>
    <n v="51694"/>
    <n v="2.5"/>
    <n v="98.6"/>
    <n v="8"/>
    <n v="14"/>
    <n v="9582"/>
    <s v="Kavya"/>
    <s v="Full-Time"/>
    <s v="Needs Improvement"/>
    <s v="Medium"/>
    <s v="Mid Level"/>
    <n v="61276"/>
    <s v="Excellent"/>
    <s v="Normal"/>
    <s v="Mid"/>
    <s v="20-24"/>
  </r>
  <r>
    <n v="1616"/>
    <s v="Divya"/>
    <s v="Male"/>
    <n v="29"/>
    <s v="Finance"/>
    <s v="Accountant"/>
    <x v="0"/>
    <s v="2020-04-07"/>
    <n v="10"/>
    <n v="44509"/>
    <n v="5"/>
    <n v="88.2"/>
    <n v="3"/>
    <n v="44"/>
    <n v="5806"/>
    <s v="Kavya"/>
    <s v="Contract"/>
    <s v="Excellent"/>
    <s v="Low"/>
    <s v="Senior"/>
    <n v="50315"/>
    <s v="Needs Improvement"/>
    <s v="Normal"/>
    <s v="Senior"/>
    <s v="25-34"/>
  </r>
  <r>
    <n v="1617"/>
    <s v="Ajay"/>
    <s v="Male"/>
    <n v="28"/>
    <s v="Finance"/>
    <s v="Accountant"/>
    <x v="3"/>
    <s v="2018-02-24"/>
    <n v="8"/>
    <n v="60980"/>
    <n v="3.2"/>
    <n v="89.7"/>
    <n v="7"/>
    <n v="36"/>
    <n v="7273"/>
    <s v="Kavya"/>
    <s v="Contract"/>
    <s v="Average"/>
    <s v="Medium"/>
    <s v="Senior"/>
    <n v="68253"/>
    <s v="Needs Improvement"/>
    <s v="Normal"/>
    <s v="Senior"/>
    <s v="25-34"/>
  </r>
  <r>
    <n v="1618"/>
    <s v="Anu"/>
    <s v="Female"/>
    <n v="24"/>
    <s v="HR"/>
    <s v="HR Manager"/>
    <x v="4"/>
    <s v="2018-04-23"/>
    <n v="2"/>
    <n v="26776"/>
    <n v="3.2"/>
    <n v="90.1"/>
    <n v="11"/>
    <n v="57"/>
    <n v="12831"/>
    <s v="Kavya"/>
    <s v="Contract"/>
    <s v="Average"/>
    <s v="Low"/>
    <s v="Junior"/>
    <n v="39607"/>
    <s v="Needs Improvement"/>
    <s v="Normal"/>
    <s v="Junior"/>
    <s v="20-24"/>
  </r>
  <r>
    <n v="1619"/>
    <s v="Vijay"/>
    <s v="Male"/>
    <n v="43"/>
    <s v="Finance"/>
    <s v="Accountant"/>
    <x v="3"/>
    <s v="2019-08-15"/>
    <n v="4"/>
    <n v="58150"/>
    <n v="4.8"/>
    <n v="95.3"/>
    <n v="13"/>
    <n v="8"/>
    <n v="5864"/>
    <s v="Anitha"/>
    <s v="Full-Time"/>
    <s v="Excellent"/>
    <s v="Medium"/>
    <s v="Mid Level"/>
    <n v="64014"/>
    <s v="Excellent"/>
    <s v="Normal"/>
    <s v="Mid"/>
    <s v="35-44"/>
  </r>
  <r>
    <n v="1620"/>
    <s v="Ajay"/>
    <s v="Female"/>
    <n v="27"/>
    <s v="Marketing"/>
    <s v="Marketing Executive"/>
    <x v="3"/>
    <s v="2021-03-11"/>
    <n v="3"/>
    <n v="70420"/>
    <n v="4.8"/>
    <n v="95.1"/>
    <n v="9"/>
    <n v="44"/>
    <n v="5646"/>
    <s v="Amit"/>
    <s v="Full-Time"/>
    <s v="Excellent"/>
    <s v="High"/>
    <s v="Mid Level"/>
    <n v="76066"/>
    <s v="Excellent"/>
    <s v="Normal"/>
    <s v="Mid"/>
    <s v="25-34"/>
  </r>
  <r>
    <n v="1621"/>
    <s v="Sai"/>
    <s v="Male"/>
    <n v="30"/>
    <s v="Finance"/>
    <s v="Accountant"/>
    <x v="4"/>
    <s v="2021-09-07"/>
    <n v="9"/>
    <n v="56224"/>
    <n v="2.8"/>
    <n v="91.3"/>
    <n v="20"/>
    <n v="54"/>
    <n v="9770"/>
    <s v="Anitha"/>
    <s v="Contract"/>
    <s v="Needs Improvement"/>
    <s v="Medium"/>
    <s v="Senior"/>
    <n v="65994"/>
    <s v="Needs Improvement"/>
    <s v="Normal"/>
    <s v="Senior"/>
    <s v="25-34"/>
  </r>
  <r>
    <n v="1622"/>
    <s v="Deepa"/>
    <s v="Female"/>
    <n v="39"/>
    <s v="IT"/>
    <s v="Software Engineer"/>
    <x v="0"/>
    <s v="2022-04-04"/>
    <n v="9"/>
    <n v="90668"/>
    <n v="2.8"/>
    <n v="90.8"/>
    <n v="24"/>
    <n v="30"/>
    <n v="8005"/>
    <s v="Ramesh"/>
    <s v="Full-Time"/>
    <s v="Needs Improvement"/>
    <s v="High"/>
    <s v="Senior"/>
    <n v="98673"/>
    <s v="Needs Improvement"/>
    <s v="High"/>
    <s v="Senior"/>
    <s v="35-44"/>
  </r>
  <r>
    <n v="1623"/>
    <s v="Rahul"/>
    <s v="Female"/>
    <n v="42"/>
    <s v="IT"/>
    <s v="Software Engineer"/>
    <x v="3"/>
    <s v="2019-07-24"/>
    <n v="4"/>
    <n v="59325"/>
    <n v="4.5"/>
    <n v="91.1"/>
    <n v="23"/>
    <n v="8"/>
    <n v="3078"/>
    <s v="Anitha"/>
    <s v="Contract"/>
    <s v="Excellent"/>
    <s v="Medium"/>
    <s v="Mid Level"/>
    <n v="62403"/>
    <s v="Needs Improvement"/>
    <s v="High"/>
    <s v="Mid"/>
    <s v="35-44"/>
  </r>
  <r>
    <n v="1624"/>
    <s v="Sonia"/>
    <s v="Male"/>
    <n v="28"/>
    <s v="Finance"/>
    <s v="Financial Analyst"/>
    <x v="0"/>
    <s v="2022-07-20"/>
    <n v="1"/>
    <n v="94124"/>
    <n v="4.8"/>
    <n v="83.5"/>
    <n v="22"/>
    <n v="22"/>
    <n v="3016"/>
    <s v="Suresh"/>
    <s v="Full-Time"/>
    <s v="Excellent"/>
    <s v="High"/>
    <s v="Junior"/>
    <n v="97140"/>
    <s v="Needs Improvement"/>
    <s v="High"/>
    <s v="Junior"/>
    <s v="25-34"/>
  </r>
  <r>
    <n v="1625"/>
    <s v="Keerthi"/>
    <s v="Female"/>
    <n v="45"/>
    <s v="IT"/>
    <s v="Data Analyst"/>
    <x v="4"/>
    <s v="2020-08-11"/>
    <n v="8"/>
    <n v="59565"/>
    <n v="3.3"/>
    <n v="93.3"/>
    <n v="14"/>
    <n v="60"/>
    <n v="11439"/>
    <s v="Kavya"/>
    <s v="Contract"/>
    <s v="Average"/>
    <s v="Medium"/>
    <s v="Senior"/>
    <n v="71004"/>
    <s v="Needs Improvement"/>
    <s v="Normal"/>
    <s v="Senior"/>
    <s v="45+"/>
  </r>
  <r>
    <n v="1626"/>
    <s v="Ravi"/>
    <s v="Female"/>
    <n v="34"/>
    <s v="Finance"/>
    <s v="Financial Analyst"/>
    <x v="0"/>
    <s v="2021-01-26"/>
    <n v="9"/>
    <n v="29076"/>
    <n v="3.7"/>
    <n v="86.5"/>
    <n v="3"/>
    <n v="14"/>
    <n v="13558"/>
    <s v="Anitha"/>
    <s v="Contract"/>
    <s v="Average"/>
    <s v="Low"/>
    <s v="Senior"/>
    <n v="42634"/>
    <s v="Needs Improvement"/>
    <s v="Normal"/>
    <s v="Senior"/>
    <s v="25-34"/>
  </r>
  <r>
    <n v="1627"/>
    <s v="Manoj"/>
    <s v="Male"/>
    <n v="35"/>
    <s v="Marketing"/>
    <s v="SEO Analyst"/>
    <x v="4"/>
    <s v="2020-01-10"/>
    <n v="5"/>
    <n v="79023"/>
    <n v="4.8"/>
    <n v="99.4"/>
    <n v="7"/>
    <n v="42"/>
    <n v="10614"/>
    <s v="Ramesh"/>
    <s v="Contract"/>
    <s v="Excellent"/>
    <s v="High"/>
    <s v="Mid Level"/>
    <n v="89637"/>
    <s v="Excellent"/>
    <s v="Normal"/>
    <s v="Mid"/>
    <s v="35-44"/>
  </r>
  <r>
    <n v="1628"/>
    <s v="Priya"/>
    <s v="Male"/>
    <n v="26"/>
    <s v="IT"/>
    <s v="Senior Developer"/>
    <x v="1"/>
    <s v="2018-03-11"/>
    <n v="6"/>
    <n v="61860"/>
    <n v="3.6"/>
    <n v="85.2"/>
    <n v="17"/>
    <n v="19"/>
    <n v="6793"/>
    <s v="Ramesh"/>
    <s v="Full-Time"/>
    <s v="Average"/>
    <s v="Medium"/>
    <s v="Senior"/>
    <n v="68653"/>
    <s v="Needs Improvement"/>
    <s v="Normal"/>
    <s v="Mid"/>
    <s v="25-34"/>
  </r>
  <r>
    <n v="1629"/>
    <s v="Sai"/>
    <s v="Female"/>
    <n v="42"/>
    <s v="Sales"/>
    <s v="Sales Manager"/>
    <x v="4"/>
    <s v="2020-02-26"/>
    <n v="8"/>
    <n v="88604"/>
    <n v="2.9"/>
    <n v="93.5"/>
    <n v="16"/>
    <n v="33"/>
    <n v="12841"/>
    <s v="Suresh"/>
    <s v="Full-Time"/>
    <s v="Needs Improvement"/>
    <s v="High"/>
    <s v="Senior"/>
    <n v="101445"/>
    <s v="Needs Improvement"/>
    <s v="Normal"/>
    <s v="Senior"/>
    <s v="35-44"/>
  </r>
  <r>
    <n v="1630"/>
    <s v="Rahul"/>
    <s v="Female"/>
    <n v="28"/>
    <s v="IT"/>
    <s v="Software Engineer"/>
    <x v="0"/>
    <s v="2021-07-18"/>
    <n v="1"/>
    <n v="46125"/>
    <n v="4.2"/>
    <n v="99.5"/>
    <n v="9"/>
    <n v="21"/>
    <n v="8217"/>
    <s v="Kavya"/>
    <s v="Contract"/>
    <s v="Good"/>
    <s v="Low"/>
    <s v="Junior"/>
    <n v="54342"/>
    <s v="Excellent"/>
    <s v="Normal"/>
    <s v="Junior"/>
    <s v="25-34"/>
  </r>
  <r>
    <n v="1631"/>
    <s v="Nikhil"/>
    <s v="Female"/>
    <n v="44"/>
    <s v="HR"/>
    <s v="HR Executive"/>
    <x v="1"/>
    <s v="2022-09-12"/>
    <n v="7"/>
    <n v="86001"/>
    <n v="3.5"/>
    <n v="93.7"/>
    <n v="5"/>
    <n v="12"/>
    <n v="13021"/>
    <s v="Kavya"/>
    <s v="Contract"/>
    <s v="Average"/>
    <s v="High"/>
    <s v="Senior"/>
    <n v="99022"/>
    <s v="Needs Improvement"/>
    <s v="Normal"/>
    <s v="Senior"/>
    <s v="35-44"/>
  </r>
  <r>
    <n v="1632"/>
    <s v="Anu"/>
    <s v="Male"/>
    <n v="37"/>
    <s v="IT"/>
    <s v="Senior Developer"/>
    <x v="2"/>
    <s v="2020-08-09"/>
    <n v="5"/>
    <n v="28887"/>
    <n v="3.4"/>
    <n v="99.4"/>
    <n v="0"/>
    <n v="51"/>
    <n v="7573"/>
    <s v="Kavya"/>
    <s v="Contract"/>
    <s v="Average"/>
    <s v="Low"/>
    <s v="Mid Level"/>
    <n v="36460"/>
    <s v="Excellent"/>
    <s v="Normal"/>
    <s v="Mid"/>
    <s v="35-44"/>
  </r>
  <r>
    <n v="1633"/>
    <s v="Ajay"/>
    <s v="Female"/>
    <n v="39"/>
    <s v="IT"/>
    <s v="Software Engineer"/>
    <x v="1"/>
    <s v="2024-09-20"/>
    <n v="9"/>
    <n v="60530"/>
    <n v="3.9"/>
    <n v="99.4"/>
    <n v="13"/>
    <n v="52"/>
    <n v="3725"/>
    <s v="Anitha"/>
    <s v="Contract"/>
    <s v="Average"/>
    <s v="Medium"/>
    <s v="Senior"/>
    <n v="64255"/>
    <s v="Excellent"/>
    <s v="Normal"/>
    <s v="Senior"/>
    <s v="35-44"/>
  </r>
  <r>
    <n v="1634"/>
    <s v="Vijay"/>
    <s v="Female"/>
    <n v="28"/>
    <s v="Sales"/>
    <s v="Sales Manager"/>
    <x v="2"/>
    <s v="2024-05-05"/>
    <n v="1"/>
    <n v="93849"/>
    <n v="3"/>
    <n v="86.8"/>
    <n v="8"/>
    <n v="16"/>
    <n v="8863"/>
    <s v="Suresh"/>
    <s v="Full-Time"/>
    <s v="Average"/>
    <s v="High"/>
    <s v="Junior"/>
    <n v="102712"/>
    <s v="Needs Improvement"/>
    <s v="Normal"/>
    <s v="Junior"/>
    <s v="25-34"/>
  </r>
  <r>
    <n v="1635"/>
    <s v="Meena"/>
    <s v="Male"/>
    <n v="39"/>
    <s v="HR"/>
    <s v="HR Executive"/>
    <x v="2"/>
    <s v="2020-08-31"/>
    <n v="8"/>
    <n v="79725"/>
    <n v="2.7"/>
    <n v="90.3"/>
    <n v="16"/>
    <n v="13"/>
    <n v="6211"/>
    <s v="Kavya"/>
    <s v="Contract"/>
    <s v="Needs Improvement"/>
    <s v="High"/>
    <s v="Senior"/>
    <n v="85936"/>
    <s v="Needs Improvement"/>
    <s v="Normal"/>
    <s v="Senior"/>
    <s v="35-44"/>
  </r>
  <r>
    <n v="1636"/>
    <s v="Sneha"/>
    <s v="Female"/>
    <n v="40"/>
    <s v="Marketing"/>
    <s v="Marketing Executive"/>
    <x v="3"/>
    <s v="2023-06-15"/>
    <n v="7"/>
    <n v="73842"/>
    <n v="2.8"/>
    <n v="97.3"/>
    <n v="17"/>
    <n v="50"/>
    <n v="5402"/>
    <s v="Suresh"/>
    <s v="Full-Time"/>
    <s v="Needs Improvement"/>
    <s v="High"/>
    <s v="Senior"/>
    <n v="79244"/>
    <s v="Excellent"/>
    <s v="Normal"/>
    <s v="Senior"/>
    <s v="35-44"/>
  </r>
  <r>
    <n v="1637"/>
    <s v="Kiran"/>
    <s v="Female"/>
    <n v="35"/>
    <s v="Marketing"/>
    <s v="Marketing Executive"/>
    <x v="4"/>
    <s v="2018-02-08"/>
    <n v="1"/>
    <n v="72925"/>
    <n v="3.8"/>
    <n v="97.4"/>
    <n v="17"/>
    <n v="15"/>
    <n v="7134"/>
    <s v="Suresh"/>
    <s v="Full-Time"/>
    <s v="Average"/>
    <s v="High"/>
    <s v="Junior"/>
    <n v="80059"/>
    <s v="Excellent"/>
    <s v="Normal"/>
    <s v="Junior"/>
    <s v="35-44"/>
  </r>
  <r>
    <n v="1638"/>
    <s v="Kiran"/>
    <s v="Male"/>
    <n v="37"/>
    <s v="Marketing"/>
    <s v="Marketing Executive"/>
    <x v="3"/>
    <s v="2023-12-12"/>
    <n v="10"/>
    <n v="57970"/>
    <n v="3.9"/>
    <n v="84.8"/>
    <n v="3"/>
    <n v="44"/>
    <n v="4013"/>
    <s v="Amit"/>
    <s v="Contract"/>
    <s v="Average"/>
    <s v="Medium"/>
    <s v="Senior"/>
    <n v="61983"/>
    <s v="Needs Improvement"/>
    <s v="Normal"/>
    <s v="Senior"/>
    <s v="35-44"/>
  </r>
  <r>
    <n v="1639"/>
    <s v="Ajay"/>
    <s v="Female"/>
    <n v="35"/>
    <s v="Marketing"/>
    <s v="SEO Analyst"/>
    <x v="4"/>
    <s v="2022-08-16"/>
    <n v="9"/>
    <n v="47602"/>
    <n v="2.8"/>
    <n v="94"/>
    <n v="0"/>
    <n v="24"/>
    <n v="1927"/>
    <s v="Suresh"/>
    <s v="Contract"/>
    <s v="Needs Improvement"/>
    <s v="Low"/>
    <s v="Senior"/>
    <n v="49529"/>
    <s v="Needs Improvement"/>
    <s v="Normal"/>
    <s v="Senior"/>
    <s v="35-44"/>
  </r>
  <r>
    <n v="1640"/>
    <s v="Ravi"/>
    <s v="Female"/>
    <n v="40"/>
    <s v="IT"/>
    <s v="Data Analyst"/>
    <x v="4"/>
    <s v="2023-03-17"/>
    <n v="5"/>
    <n v="69027"/>
    <n v="4.3"/>
    <n v="90.2"/>
    <n v="19"/>
    <n v="48"/>
    <n v="11340"/>
    <s v="Anitha"/>
    <s v="Contract"/>
    <s v="Good"/>
    <s v="Medium"/>
    <s v="Mid Level"/>
    <n v="80367"/>
    <s v="Needs Improvement"/>
    <s v="Normal"/>
    <s v="Mid"/>
    <s v="35-44"/>
  </r>
  <r>
    <n v="1641"/>
    <s v="Ajay"/>
    <s v="Male"/>
    <n v="24"/>
    <s v="Finance"/>
    <s v="Accountant"/>
    <x v="1"/>
    <s v="2024-10-17"/>
    <n v="1"/>
    <n v="84937"/>
    <n v="4.9000000000000004"/>
    <n v="83.4"/>
    <n v="1"/>
    <n v="41"/>
    <n v="1229"/>
    <s v="Kavya"/>
    <s v="Contract"/>
    <s v="Excellent"/>
    <s v="High"/>
    <s v="Junior"/>
    <n v="86166"/>
    <s v="Needs Improvement"/>
    <s v="Normal"/>
    <s v="Junior"/>
    <s v="20-24"/>
  </r>
  <r>
    <n v="1642"/>
    <s v="Vijay"/>
    <s v="Female"/>
    <n v="27"/>
    <s v="Marketing"/>
    <s v="SEO Analyst"/>
    <x v="2"/>
    <s v="2022-07-12"/>
    <n v="9"/>
    <n v="67996"/>
    <n v="3.3"/>
    <n v="83.6"/>
    <n v="8"/>
    <n v="57"/>
    <n v="12662"/>
    <s v="Ramesh"/>
    <s v="Full-Time"/>
    <s v="Average"/>
    <s v="Medium"/>
    <s v="Senior"/>
    <n v="80658"/>
    <s v="Needs Improvement"/>
    <s v="Normal"/>
    <s v="Senior"/>
    <s v="25-34"/>
  </r>
  <r>
    <n v="1643"/>
    <s v="Anu"/>
    <s v="Male"/>
    <n v="27"/>
    <s v="HR"/>
    <s v="HR Manager"/>
    <x v="0"/>
    <s v="2020-07-22"/>
    <n v="2"/>
    <n v="48221"/>
    <n v="2.9"/>
    <n v="85.5"/>
    <n v="21"/>
    <n v="36"/>
    <n v="3982"/>
    <s v="Ramesh"/>
    <s v="Full-Time"/>
    <s v="Needs Improvement"/>
    <s v="Low"/>
    <s v="Junior"/>
    <n v="52203"/>
    <s v="Needs Improvement"/>
    <s v="High"/>
    <s v="Junior"/>
    <s v="25-34"/>
  </r>
  <r>
    <n v="1644"/>
    <s v="Arjun"/>
    <s v="Male"/>
    <n v="38"/>
    <s v="Finance"/>
    <s v="Financial Analyst"/>
    <x v="1"/>
    <s v="2021-10-25"/>
    <n v="3"/>
    <n v="51302"/>
    <n v="4.0999999999999996"/>
    <n v="90"/>
    <n v="19"/>
    <n v="21"/>
    <n v="6239"/>
    <s v="Ramesh"/>
    <s v="Contract"/>
    <s v="Good"/>
    <s v="Medium"/>
    <s v="Mid Level"/>
    <n v="57541"/>
    <s v="Needs Improvement"/>
    <s v="Normal"/>
    <s v="Mid"/>
    <s v="35-44"/>
  </r>
  <r>
    <n v="1645"/>
    <s v="Nikhil"/>
    <s v="Male"/>
    <n v="39"/>
    <s v="Sales"/>
    <s v="Sales Manager"/>
    <x v="0"/>
    <s v="2020-10-17"/>
    <n v="3"/>
    <n v="70558"/>
    <n v="3.1"/>
    <n v="83.4"/>
    <n v="0"/>
    <n v="54"/>
    <n v="9488"/>
    <s v="Ramesh"/>
    <s v="Full-Time"/>
    <s v="Average"/>
    <s v="High"/>
    <s v="Mid Level"/>
    <n v="80046"/>
    <s v="Needs Improvement"/>
    <s v="Normal"/>
    <s v="Mid"/>
    <s v="35-44"/>
  </r>
  <r>
    <n v="1646"/>
    <s v="Nikhil"/>
    <s v="Male"/>
    <n v="37"/>
    <s v="IT"/>
    <s v="Senior Developer"/>
    <x v="0"/>
    <s v="2022-05-11"/>
    <n v="0"/>
    <n v="78976"/>
    <n v="3.7"/>
    <n v="94.5"/>
    <n v="25"/>
    <n v="29"/>
    <n v="11992"/>
    <s v="Ramesh"/>
    <s v="Full-Time"/>
    <s v="Average"/>
    <s v="High"/>
    <s v="Junior"/>
    <n v="90968"/>
    <s v="Needs Improvement"/>
    <s v="High"/>
    <s v="Junior"/>
    <s v="35-44"/>
  </r>
  <r>
    <n v="1647"/>
    <s v="Pooja"/>
    <s v="Male"/>
    <n v="24"/>
    <s v="Finance"/>
    <s v="Accountant"/>
    <x v="0"/>
    <s v="2020-09-01"/>
    <n v="9"/>
    <n v="73578"/>
    <n v="4.5999999999999996"/>
    <n v="93.1"/>
    <n v="23"/>
    <n v="11"/>
    <n v="6622"/>
    <s v="Kavya"/>
    <s v="Contract"/>
    <s v="Excellent"/>
    <s v="High"/>
    <s v="Senior"/>
    <n v="80200"/>
    <s v="Needs Improvement"/>
    <s v="High"/>
    <s v="Senior"/>
    <s v="20-24"/>
  </r>
  <r>
    <n v="1648"/>
    <s v="Priya"/>
    <s v="Male"/>
    <n v="22"/>
    <s v="Marketing"/>
    <s v="Marketing Executive"/>
    <x v="2"/>
    <s v="2019-10-04"/>
    <n v="6"/>
    <n v="89122"/>
    <n v="4"/>
    <n v="99"/>
    <n v="12"/>
    <n v="42"/>
    <n v="5454"/>
    <s v="Ramesh"/>
    <s v="Contract"/>
    <s v="Good"/>
    <s v="High"/>
    <s v="Senior"/>
    <n v="94576"/>
    <s v="Excellent"/>
    <s v="Normal"/>
    <s v="Mid"/>
    <s v="20-24"/>
  </r>
  <r>
    <n v="1649"/>
    <s v="Deepa"/>
    <s v="Female"/>
    <n v="45"/>
    <s v="Marketing"/>
    <s v="SEO Analyst"/>
    <x v="1"/>
    <s v="2025-04-07"/>
    <n v="1"/>
    <n v="87696"/>
    <n v="3.5"/>
    <n v="82.8"/>
    <n v="18"/>
    <n v="35"/>
    <n v="1194"/>
    <s v="Suresh"/>
    <s v="Full-Time"/>
    <s v="Average"/>
    <s v="High"/>
    <s v="Junior"/>
    <n v="88890"/>
    <s v="Needs Improvement"/>
    <s v="Normal"/>
    <s v="Junior"/>
    <s v="45+"/>
  </r>
  <r>
    <n v="1650"/>
    <s v="Ravi"/>
    <s v="Male"/>
    <n v="36"/>
    <s v="Finance"/>
    <s v="Accountant"/>
    <x v="4"/>
    <s v="2025-02-10"/>
    <n v="4"/>
    <n v="69123"/>
    <n v="3.4"/>
    <n v="93.6"/>
    <n v="19"/>
    <n v="32"/>
    <n v="7860"/>
    <s v="Ramesh"/>
    <s v="Full-Time"/>
    <s v="Average"/>
    <s v="Medium"/>
    <s v="Mid Level"/>
    <n v="76983"/>
    <s v="Needs Improvement"/>
    <s v="Normal"/>
    <s v="Mid"/>
    <s v="35-44"/>
  </r>
  <r>
    <n v="1651"/>
    <s v="Varun"/>
    <s v="Female"/>
    <n v="23"/>
    <s v="IT"/>
    <s v="Data Analyst"/>
    <x v="0"/>
    <s v="2020-03-12"/>
    <n v="4"/>
    <n v="59783"/>
    <n v="3.7"/>
    <n v="94.9"/>
    <n v="4"/>
    <n v="46"/>
    <n v="6711"/>
    <s v="Amit"/>
    <s v="Full-Time"/>
    <s v="Average"/>
    <s v="Medium"/>
    <s v="Mid Level"/>
    <n v="66494"/>
    <s v="Needs Improvement"/>
    <s v="Normal"/>
    <s v="Mid"/>
    <s v="20-24"/>
  </r>
  <r>
    <n v="1652"/>
    <s v="Vijay"/>
    <s v="Male"/>
    <n v="43"/>
    <s v="HR"/>
    <s v="HR Executive"/>
    <x v="4"/>
    <s v="2022-12-26"/>
    <n v="10"/>
    <n v="35764"/>
    <n v="4.2"/>
    <n v="93.7"/>
    <n v="13"/>
    <n v="8"/>
    <n v="9406"/>
    <s v="Amit"/>
    <s v="Contract"/>
    <s v="Good"/>
    <s v="Low"/>
    <s v="Senior"/>
    <n v="45170"/>
    <s v="Needs Improvement"/>
    <s v="Normal"/>
    <s v="Senior"/>
    <s v="35-44"/>
  </r>
  <r>
    <n v="1653"/>
    <s v="Varun"/>
    <s v="Female"/>
    <n v="28"/>
    <s v="Marketing"/>
    <s v="Marketing Executive"/>
    <x v="3"/>
    <s v="2019-08-19"/>
    <n v="4"/>
    <n v="33064"/>
    <n v="4.8"/>
    <n v="82.1"/>
    <n v="11"/>
    <n v="31"/>
    <n v="12320"/>
    <s v="Suresh"/>
    <s v="Contract"/>
    <s v="Excellent"/>
    <s v="Low"/>
    <s v="Mid Level"/>
    <n v="45384"/>
    <s v="Needs Improvement"/>
    <s v="Normal"/>
    <s v="Mid"/>
    <s v="25-34"/>
  </r>
  <r>
    <n v="1654"/>
    <s v="Rahul"/>
    <s v="Male"/>
    <n v="35"/>
    <s v="IT"/>
    <s v="Data Analyst"/>
    <x v="2"/>
    <s v="2019-10-22"/>
    <n v="6"/>
    <n v="88897"/>
    <n v="4.9000000000000004"/>
    <n v="99"/>
    <n v="19"/>
    <n v="39"/>
    <n v="8680"/>
    <s v="Amit"/>
    <s v="Contract"/>
    <s v="Excellent"/>
    <s v="High"/>
    <s v="Senior"/>
    <n v="97577"/>
    <s v="Excellent"/>
    <s v="Normal"/>
    <s v="Mid"/>
    <s v="35-44"/>
  </r>
  <r>
    <n v="1655"/>
    <s v="Sneha"/>
    <s v="Male"/>
    <n v="36"/>
    <s v="HR"/>
    <s v="HR Executive"/>
    <x v="1"/>
    <s v="2022-05-20"/>
    <n v="4"/>
    <n v="36667"/>
    <n v="4.3"/>
    <n v="84.4"/>
    <n v="21"/>
    <n v="24"/>
    <n v="5168"/>
    <s v="Suresh"/>
    <s v="Full-Time"/>
    <s v="Good"/>
    <s v="Low"/>
    <s v="Mid Level"/>
    <n v="41835"/>
    <s v="Needs Improvement"/>
    <s v="High"/>
    <s v="Mid"/>
    <s v="35-44"/>
  </r>
  <r>
    <n v="1656"/>
    <s v="Keerthi"/>
    <s v="Male"/>
    <n v="31"/>
    <s v="HR"/>
    <s v="HR Executive"/>
    <x v="4"/>
    <s v="2019-05-15"/>
    <n v="1"/>
    <n v="37683"/>
    <n v="4.5999999999999996"/>
    <n v="99.2"/>
    <n v="20"/>
    <n v="11"/>
    <n v="8528"/>
    <s v="Ramesh"/>
    <s v="Full-Time"/>
    <s v="Excellent"/>
    <s v="Low"/>
    <s v="Junior"/>
    <n v="46211"/>
    <s v="Excellent"/>
    <s v="Normal"/>
    <s v="Junior"/>
    <s v="25-34"/>
  </r>
  <r>
    <n v="1657"/>
    <s v="Harsha"/>
    <s v="Male"/>
    <n v="42"/>
    <s v="Finance"/>
    <s v="Financial Analyst"/>
    <x v="2"/>
    <s v="2022-12-04"/>
    <n v="10"/>
    <n v="89234"/>
    <n v="3.7"/>
    <n v="91"/>
    <n v="12"/>
    <n v="58"/>
    <n v="13325"/>
    <s v="Amit"/>
    <s v="Contract"/>
    <s v="Average"/>
    <s v="High"/>
    <s v="Senior"/>
    <n v="102559"/>
    <s v="Needs Improvement"/>
    <s v="Normal"/>
    <s v="Senior"/>
    <s v="35-44"/>
  </r>
  <r>
    <n v="1658"/>
    <s v="Anu"/>
    <s v="Male"/>
    <n v="36"/>
    <s v="HR"/>
    <s v="HR Executive"/>
    <x v="3"/>
    <s v="2019-10-18"/>
    <n v="1"/>
    <n v="55762"/>
    <n v="4.4000000000000004"/>
    <n v="95.4"/>
    <n v="20"/>
    <n v="25"/>
    <n v="10607"/>
    <s v="Ramesh"/>
    <s v="Contract"/>
    <s v="Good"/>
    <s v="Medium"/>
    <s v="Junior"/>
    <n v="66369"/>
    <s v="Excellent"/>
    <s v="Normal"/>
    <s v="Junior"/>
    <s v="35-44"/>
  </r>
  <r>
    <n v="1659"/>
    <s v="Sai"/>
    <s v="Male"/>
    <n v="27"/>
    <s v="Marketing"/>
    <s v="Marketing Executive"/>
    <x v="2"/>
    <s v="2018-09-05"/>
    <n v="7"/>
    <n v="81436"/>
    <n v="4.2"/>
    <n v="87.6"/>
    <n v="1"/>
    <n v="13"/>
    <n v="9207"/>
    <s v="Amit"/>
    <s v="Full-Time"/>
    <s v="Good"/>
    <s v="High"/>
    <s v="Senior"/>
    <n v="90643"/>
    <s v="Needs Improvement"/>
    <s v="Normal"/>
    <s v="Senior"/>
    <s v="25-34"/>
  </r>
  <r>
    <n v="1660"/>
    <s v="Divya"/>
    <s v="Male"/>
    <n v="39"/>
    <s v="IT"/>
    <s v="Software Engineer"/>
    <x v="3"/>
    <s v="2019-12-30"/>
    <n v="9"/>
    <n v="75151"/>
    <n v="4.2"/>
    <n v="89.2"/>
    <n v="5"/>
    <n v="45"/>
    <n v="5546"/>
    <s v="Amit"/>
    <s v="Contract"/>
    <s v="Good"/>
    <s v="High"/>
    <s v="Senior"/>
    <n v="80697"/>
    <s v="Needs Improvement"/>
    <s v="Normal"/>
    <s v="Senior"/>
    <s v="35-44"/>
  </r>
  <r>
    <n v="1661"/>
    <s v="Harsha"/>
    <s v="Male"/>
    <n v="22"/>
    <s v="IT"/>
    <s v="Data Analyst"/>
    <x v="2"/>
    <s v="2019-07-15"/>
    <n v="7"/>
    <n v="61976"/>
    <n v="4.2"/>
    <n v="82.8"/>
    <n v="5"/>
    <n v="33"/>
    <n v="13549"/>
    <s v="Amit"/>
    <s v="Full-Time"/>
    <s v="Good"/>
    <s v="Medium"/>
    <s v="Senior"/>
    <n v="75525"/>
    <s v="Needs Improvement"/>
    <s v="Normal"/>
    <s v="Senior"/>
    <s v="20-24"/>
  </r>
  <r>
    <n v="1662"/>
    <s v="Divya"/>
    <s v="Female"/>
    <n v="33"/>
    <s v="IT"/>
    <s v="Data Analyst"/>
    <x v="1"/>
    <s v="2019-08-13"/>
    <n v="3"/>
    <n v="70165"/>
    <n v="4"/>
    <n v="86.9"/>
    <n v="24"/>
    <n v="59"/>
    <n v="9897"/>
    <s v="Ramesh"/>
    <s v="Contract"/>
    <s v="Good"/>
    <s v="High"/>
    <s v="Mid Level"/>
    <n v="80062"/>
    <s v="Needs Improvement"/>
    <s v="High"/>
    <s v="Mid"/>
    <s v="25-34"/>
  </r>
  <r>
    <n v="1663"/>
    <s v="Deepa"/>
    <s v="Male"/>
    <n v="32"/>
    <s v="HR"/>
    <s v="HR Manager"/>
    <x v="4"/>
    <s v="2022-10-24"/>
    <n v="3"/>
    <n v="32784"/>
    <n v="3.8"/>
    <n v="91.9"/>
    <n v="0"/>
    <n v="47"/>
    <n v="13357"/>
    <s v="Ramesh"/>
    <s v="Full-Time"/>
    <s v="Average"/>
    <s v="Low"/>
    <s v="Mid Level"/>
    <n v="46141"/>
    <s v="Needs Improvement"/>
    <s v="Normal"/>
    <s v="Mid"/>
    <s v="25-34"/>
  </r>
  <r>
    <n v="1664"/>
    <s v="Ravi"/>
    <s v="Male"/>
    <n v="23"/>
    <s v="IT"/>
    <s v="Software Engineer"/>
    <x v="1"/>
    <s v="2023-03-21"/>
    <n v="8"/>
    <n v="94698"/>
    <n v="2.6"/>
    <n v="83"/>
    <n v="5"/>
    <n v="7"/>
    <n v="13743"/>
    <s v="Ramesh"/>
    <s v="Contract"/>
    <s v="Needs Improvement"/>
    <s v="High"/>
    <s v="Senior"/>
    <n v="108441"/>
    <s v="Needs Improvement"/>
    <s v="Normal"/>
    <s v="Senior"/>
    <s v="20-24"/>
  </r>
  <r>
    <n v="1665"/>
    <s v="Nikhil"/>
    <s v="Female"/>
    <n v="25"/>
    <s v="Sales"/>
    <s v="Sales Executive"/>
    <x v="0"/>
    <s v="2024-04-11"/>
    <n v="8"/>
    <n v="43919"/>
    <n v="4.3"/>
    <n v="82.5"/>
    <n v="18"/>
    <n v="30"/>
    <n v="1569"/>
    <s v="Suresh"/>
    <s v="Full-Time"/>
    <s v="Good"/>
    <s v="Low"/>
    <s v="Senior"/>
    <n v="45488"/>
    <s v="Needs Improvement"/>
    <s v="Normal"/>
    <s v="Senior"/>
    <s v="25-34"/>
  </r>
  <r>
    <n v="1666"/>
    <s v="Deepa"/>
    <s v="Male"/>
    <n v="29"/>
    <s v="Finance"/>
    <s v="Financial Analyst"/>
    <x v="3"/>
    <s v="2023-08-24"/>
    <n v="3"/>
    <n v="64961"/>
    <n v="3.6"/>
    <n v="93.2"/>
    <n v="18"/>
    <n v="42"/>
    <n v="8991"/>
    <s v="Suresh"/>
    <s v="Contract"/>
    <s v="Average"/>
    <s v="Medium"/>
    <s v="Mid Level"/>
    <n v="73952"/>
    <s v="Needs Improvement"/>
    <s v="Normal"/>
    <s v="Mid"/>
    <s v="25-34"/>
  </r>
  <r>
    <n v="1667"/>
    <s v="Nikhil"/>
    <s v="Female"/>
    <n v="30"/>
    <s v="Sales"/>
    <s v="Sales Manager"/>
    <x v="3"/>
    <s v="2021-11-03"/>
    <n v="0"/>
    <n v="87017"/>
    <n v="3.6"/>
    <n v="85"/>
    <n v="8"/>
    <n v="32"/>
    <n v="11809"/>
    <s v="Kavya"/>
    <s v="Full-Time"/>
    <s v="Average"/>
    <s v="High"/>
    <s v="Junior"/>
    <n v="98826"/>
    <s v="Needs Improvement"/>
    <s v="Normal"/>
    <s v="Junior"/>
    <s v="25-34"/>
  </r>
  <r>
    <n v="1668"/>
    <s v="Rahul"/>
    <s v="Female"/>
    <n v="36"/>
    <s v="Sales"/>
    <s v="Sales Executive"/>
    <x v="0"/>
    <s v="2021-10-25"/>
    <n v="2"/>
    <n v="35931"/>
    <n v="4"/>
    <n v="84.5"/>
    <n v="20"/>
    <n v="55"/>
    <n v="9391"/>
    <s v="Suresh"/>
    <s v="Full-Time"/>
    <s v="Good"/>
    <s v="Low"/>
    <s v="Junior"/>
    <n v="45322"/>
    <s v="Needs Improvement"/>
    <s v="Normal"/>
    <s v="Junior"/>
    <s v="35-44"/>
  </r>
  <r>
    <n v="1669"/>
    <s v="Meena"/>
    <s v="Male"/>
    <n v="42"/>
    <s v="Marketing"/>
    <s v="Marketing Executive"/>
    <x v="4"/>
    <s v="2023-07-10"/>
    <n v="6"/>
    <n v="50786"/>
    <n v="3.9"/>
    <n v="87.1"/>
    <n v="24"/>
    <n v="39"/>
    <n v="8751"/>
    <s v="Kavya"/>
    <s v="Contract"/>
    <s v="Average"/>
    <s v="Medium"/>
    <s v="Senior"/>
    <n v="59537"/>
    <s v="Needs Improvement"/>
    <s v="High"/>
    <s v="Mid"/>
    <s v="35-44"/>
  </r>
  <r>
    <n v="1670"/>
    <s v="Arjun"/>
    <s v="Female"/>
    <n v="34"/>
    <s v="Sales"/>
    <s v="Sales Manager"/>
    <x v="0"/>
    <s v="2019-08-02"/>
    <n v="8"/>
    <n v="67673"/>
    <n v="2.8"/>
    <n v="94.2"/>
    <n v="23"/>
    <n v="24"/>
    <n v="14575"/>
    <s v="Amit"/>
    <s v="Contract"/>
    <s v="Needs Improvement"/>
    <s v="Medium"/>
    <s v="Senior"/>
    <n v="82248"/>
    <s v="Needs Improvement"/>
    <s v="High"/>
    <s v="Senior"/>
    <s v="25-34"/>
  </r>
  <r>
    <n v="1671"/>
    <s v="Varun"/>
    <s v="Male"/>
    <n v="27"/>
    <s v="IT"/>
    <s v="Software Engineer"/>
    <x v="4"/>
    <s v="2023-06-30"/>
    <n v="1"/>
    <n v="72424"/>
    <n v="4.3"/>
    <n v="96.9"/>
    <n v="25"/>
    <n v="38"/>
    <n v="11718"/>
    <s v="Amit"/>
    <s v="Full-Time"/>
    <s v="Good"/>
    <s v="High"/>
    <s v="Junior"/>
    <n v="84142"/>
    <s v="Excellent"/>
    <s v="High"/>
    <s v="Junior"/>
    <s v="25-34"/>
  </r>
  <r>
    <n v="1672"/>
    <s v="Varun"/>
    <s v="Male"/>
    <n v="32"/>
    <s v="HR"/>
    <s v="HR Manager"/>
    <x v="4"/>
    <s v="2019-09-23"/>
    <n v="8"/>
    <n v="54862"/>
    <n v="3.9"/>
    <n v="94"/>
    <n v="25"/>
    <n v="7"/>
    <n v="3724"/>
    <s v="Suresh"/>
    <s v="Full-Time"/>
    <s v="Average"/>
    <s v="Medium"/>
    <s v="Senior"/>
    <n v="58586"/>
    <s v="Needs Improvement"/>
    <s v="High"/>
    <s v="Senior"/>
    <s v="25-34"/>
  </r>
  <r>
    <n v="1673"/>
    <s v="Manoj"/>
    <s v="Female"/>
    <n v="42"/>
    <s v="Finance"/>
    <s v="Accountant"/>
    <x v="3"/>
    <s v="2024-02-11"/>
    <n v="7"/>
    <n v="80194"/>
    <n v="3"/>
    <n v="99.3"/>
    <n v="12"/>
    <n v="40"/>
    <n v="7991"/>
    <s v="Anitha"/>
    <s v="Contract"/>
    <s v="Average"/>
    <s v="High"/>
    <s v="Senior"/>
    <n v="88185"/>
    <s v="Excellent"/>
    <s v="Normal"/>
    <s v="Senior"/>
    <s v="35-44"/>
  </r>
  <r>
    <n v="1674"/>
    <s v="Priya"/>
    <s v="Male"/>
    <n v="29"/>
    <s v="Finance"/>
    <s v="Accountant"/>
    <x v="2"/>
    <s v="2023-03-03"/>
    <n v="2"/>
    <n v="50955"/>
    <n v="2.8"/>
    <n v="94.6"/>
    <n v="21"/>
    <n v="58"/>
    <n v="12892"/>
    <s v="Kavya"/>
    <s v="Contract"/>
    <s v="Needs Improvement"/>
    <s v="Medium"/>
    <s v="Junior"/>
    <n v="63847"/>
    <s v="Needs Improvement"/>
    <s v="High"/>
    <s v="Junior"/>
    <s v="25-34"/>
  </r>
  <r>
    <n v="1675"/>
    <s v="Arjun"/>
    <s v="Male"/>
    <n v="39"/>
    <s v="Finance"/>
    <s v="Financial Analyst"/>
    <x v="2"/>
    <s v="2021-12-31"/>
    <n v="4"/>
    <n v="90511"/>
    <n v="4"/>
    <n v="97.4"/>
    <n v="19"/>
    <n v="16"/>
    <n v="14550"/>
    <s v="Amit"/>
    <s v="Full-Time"/>
    <s v="Good"/>
    <s v="High"/>
    <s v="Mid Level"/>
    <n v="105061"/>
    <s v="Excellent"/>
    <s v="Normal"/>
    <s v="Mid"/>
    <s v="35-44"/>
  </r>
  <r>
    <n v="1676"/>
    <s v="Pooja"/>
    <s v="Male"/>
    <n v="25"/>
    <s v="HR"/>
    <s v="HR Executive"/>
    <x v="1"/>
    <s v="2018-12-06"/>
    <n v="7"/>
    <n v="40313"/>
    <n v="4"/>
    <n v="99.1"/>
    <n v="14"/>
    <n v="12"/>
    <n v="10975"/>
    <s v="Anitha"/>
    <s v="Full-Time"/>
    <s v="Good"/>
    <s v="Low"/>
    <s v="Senior"/>
    <n v="51288"/>
    <s v="Excellent"/>
    <s v="Normal"/>
    <s v="Senior"/>
    <s v="25-34"/>
  </r>
  <r>
    <n v="1677"/>
    <s v="Priya"/>
    <s v="Male"/>
    <n v="28"/>
    <s v="Finance"/>
    <s v="Accountant"/>
    <x v="3"/>
    <s v="2021-01-29"/>
    <n v="0"/>
    <n v="74167"/>
    <n v="2.6"/>
    <n v="87.9"/>
    <n v="2"/>
    <n v="34"/>
    <n v="4943"/>
    <s v="Suresh"/>
    <s v="Contract"/>
    <s v="Needs Improvement"/>
    <s v="High"/>
    <s v="Junior"/>
    <n v="79110"/>
    <s v="Needs Improvement"/>
    <s v="Normal"/>
    <s v="Junior"/>
    <s v="25-34"/>
  </r>
  <r>
    <n v="1678"/>
    <s v="Sneha"/>
    <s v="Female"/>
    <n v="31"/>
    <s v="Marketing"/>
    <s v="Marketing Executive"/>
    <x v="0"/>
    <s v="2021-08-17"/>
    <n v="6"/>
    <n v="46198"/>
    <n v="2.6"/>
    <n v="83.1"/>
    <n v="15"/>
    <n v="34"/>
    <n v="9388"/>
    <s v="Amit"/>
    <s v="Contract"/>
    <s v="Needs Improvement"/>
    <s v="Low"/>
    <s v="Senior"/>
    <n v="55586"/>
    <s v="Needs Improvement"/>
    <s v="Normal"/>
    <s v="Mid"/>
    <s v="25-34"/>
  </r>
  <r>
    <n v="1679"/>
    <s v="Divya"/>
    <s v="Male"/>
    <n v="24"/>
    <s v="HR"/>
    <s v="HR Executive"/>
    <x v="3"/>
    <s v="2023-09-07"/>
    <n v="6"/>
    <n v="31136"/>
    <n v="4.9000000000000004"/>
    <n v="94.4"/>
    <n v="12"/>
    <n v="39"/>
    <n v="3165"/>
    <s v="Suresh"/>
    <s v="Full-Time"/>
    <s v="Excellent"/>
    <s v="Low"/>
    <s v="Senior"/>
    <n v="34301"/>
    <s v="Needs Improvement"/>
    <s v="Normal"/>
    <s v="Mid"/>
    <s v="20-24"/>
  </r>
  <r>
    <n v="1680"/>
    <s v="Anu"/>
    <s v="Female"/>
    <n v="28"/>
    <s v="Sales"/>
    <s v="Sales Executive"/>
    <x v="0"/>
    <s v="2021-06-25"/>
    <n v="8"/>
    <n v="75011"/>
    <n v="3.3"/>
    <n v="89.9"/>
    <n v="15"/>
    <n v="52"/>
    <n v="14358"/>
    <s v="Anitha"/>
    <s v="Contract"/>
    <s v="Average"/>
    <s v="High"/>
    <s v="Senior"/>
    <n v="89369"/>
    <s v="Needs Improvement"/>
    <s v="Normal"/>
    <s v="Senior"/>
    <s v="25-34"/>
  </r>
  <r>
    <n v="1681"/>
    <s v="Ajay"/>
    <s v="Female"/>
    <n v="22"/>
    <s v="HR"/>
    <s v="HR Executive"/>
    <x v="4"/>
    <s v="2024-09-25"/>
    <n v="8"/>
    <n v="44982"/>
    <n v="4.2"/>
    <n v="83.8"/>
    <n v="9"/>
    <n v="18"/>
    <n v="4037"/>
    <s v="Suresh"/>
    <s v="Contract"/>
    <s v="Good"/>
    <s v="Low"/>
    <s v="Senior"/>
    <n v="49019"/>
    <s v="Needs Improvement"/>
    <s v="Normal"/>
    <s v="Senior"/>
    <s v="20-24"/>
  </r>
  <r>
    <n v="1682"/>
    <s v="Divya"/>
    <s v="Male"/>
    <n v="35"/>
    <s v="HR"/>
    <s v="HR Executive"/>
    <x v="4"/>
    <s v="2023-03-15"/>
    <n v="0"/>
    <n v="92374"/>
    <n v="2.7"/>
    <n v="89.3"/>
    <n v="1"/>
    <n v="11"/>
    <n v="4453"/>
    <s v="Anitha"/>
    <s v="Full-Time"/>
    <s v="Needs Improvement"/>
    <s v="High"/>
    <s v="Junior"/>
    <n v="96827"/>
    <s v="Needs Improvement"/>
    <s v="Normal"/>
    <s v="Junior"/>
    <s v="35-44"/>
  </r>
  <r>
    <n v="1683"/>
    <s v="Ajay"/>
    <s v="Male"/>
    <n v="23"/>
    <s v="Marketing"/>
    <s v="SEO Analyst"/>
    <x v="0"/>
    <s v="2021-02-18"/>
    <n v="10"/>
    <n v="79902"/>
    <n v="4.5999999999999996"/>
    <n v="86.8"/>
    <n v="25"/>
    <n v="7"/>
    <n v="12999"/>
    <s v="Amit"/>
    <s v="Contract"/>
    <s v="Excellent"/>
    <s v="High"/>
    <s v="Senior"/>
    <n v="92901"/>
    <s v="Needs Improvement"/>
    <s v="High"/>
    <s v="Senior"/>
    <s v="20-24"/>
  </r>
  <r>
    <n v="1684"/>
    <s v="Anu"/>
    <s v="Female"/>
    <n v="38"/>
    <s v="Sales"/>
    <s v="Sales Manager"/>
    <x v="4"/>
    <s v="2020-10-04"/>
    <n v="6"/>
    <n v="67436"/>
    <n v="4.5"/>
    <n v="90.2"/>
    <n v="21"/>
    <n v="58"/>
    <n v="9462"/>
    <s v="Suresh"/>
    <s v="Full-Time"/>
    <s v="Excellent"/>
    <s v="Medium"/>
    <s v="Senior"/>
    <n v="76898"/>
    <s v="Needs Improvement"/>
    <s v="High"/>
    <s v="Mid"/>
    <s v="35-44"/>
  </r>
  <r>
    <n v="1685"/>
    <s v="Nikhil"/>
    <s v="Male"/>
    <n v="25"/>
    <s v="Marketing"/>
    <s v="SEO Analyst"/>
    <x v="2"/>
    <s v="2024-06-07"/>
    <n v="7"/>
    <n v="89012"/>
    <n v="4"/>
    <n v="93"/>
    <n v="17"/>
    <n v="52"/>
    <n v="7634"/>
    <s v="Anitha"/>
    <s v="Contract"/>
    <s v="Good"/>
    <s v="High"/>
    <s v="Senior"/>
    <n v="96646"/>
    <s v="Needs Improvement"/>
    <s v="Normal"/>
    <s v="Senior"/>
    <s v="25-34"/>
  </r>
  <r>
    <n v="1686"/>
    <s v="Ajay"/>
    <s v="Male"/>
    <n v="22"/>
    <s v="IT"/>
    <s v="Senior Developer"/>
    <x v="0"/>
    <s v="2022-11-20"/>
    <n v="1"/>
    <n v="42191"/>
    <n v="3.5"/>
    <n v="93.5"/>
    <n v="17"/>
    <n v="6"/>
    <n v="13378"/>
    <s v="Ramesh"/>
    <s v="Full-Time"/>
    <s v="Average"/>
    <s v="Low"/>
    <s v="Junior"/>
    <n v="55569"/>
    <s v="Needs Improvement"/>
    <s v="Normal"/>
    <s v="Junior"/>
    <s v="20-24"/>
  </r>
  <r>
    <n v="1687"/>
    <s v="Nikhil"/>
    <s v="Female"/>
    <n v="41"/>
    <s v="Finance"/>
    <s v="Financial Analyst"/>
    <x v="3"/>
    <s v="2021-10-23"/>
    <n v="7"/>
    <n v="51209"/>
    <n v="4.7"/>
    <n v="86.8"/>
    <n v="13"/>
    <n v="56"/>
    <n v="10104"/>
    <s v="Kavya"/>
    <s v="Contract"/>
    <s v="Excellent"/>
    <s v="Medium"/>
    <s v="Senior"/>
    <n v="61313"/>
    <s v="Needs Improvement"/>
    <s v="Normal"/>
    <s v="Senior"/>
    <s v="35-44"/>
  </r>
  <r>
    <n v="1688"/>
    <s v="Sonia"/>
    <s v="Male"/>
    <n v="39"/>
    <s v="Finance"/>
    <s v="Financial Analyst"/>
    <x v="4"/>
    <s v="2022-10-02"/>
    <n v="6"/>
    <n v="55415"/>
    <n v="4.5999999999999996"/>
    <n v="87"/>
    <n v="21"/>
    <n v="30"/>
    <n v="12559"/>
    <s v="Kavya"/>
    <s v="Full-Time"/>
    <s v="Excellent"/>
    <s v="Medium"/>
    <s v="Senior"/>
    <n v="67974"/>
    <s v="Needs Improvement"/>
    <s v="High"/>
    <s v="Mid"/>
    <s v="35-44"/>
  </r>
  <r>
    <n v="1689"/>
    <s v="Sai"/>
    <s v="Male"/>
    <n v="37"/>
    <s v="IT"/>
    <s v="Data Analyst"/>
    <x v="4"/>
    <s v="2018-04-25"/>
    <n v="3"/>
    <n v="87570"/>
    <n v="3.3"/>
    <n v="92.9"/>
    <n v="2"/>
    <n v="54"/>
    <n v="12648"/>
    <s v="Amit"/>
    <s v="Full-Time"/>
    <s v="Average"/>
    <s v="High"/>
    <s v="Mid Level"/>
    <n v="100218"/>
    <s v="Needs Improvement"/>
    <s v="Normal"/>
    <s v="Mid"/>
    <s v="35-44"/>
  </r>
  <r>
    <n v="1690"/>
    <s v="Priya"/>
    <s v="Male"/>
    <n v="39"/>
    <s v="HR"/>
    <s v="HR Executive"/>
    <x v="4"/>
    <s v="2018-01-19"/>
    <n v="7"/>
    <n v="80316"/>
    <n v="4.2"/>
    <n v="93.1"/>
    <n v="20"/>
    <n v="36"/>
    <n v="14704"/>
    <s v="Amit"/>
    <s v="Full-Time"/>
    <s v="Good"/>
    <s v="High"/>
    <s v="Senior"/>
    <n v="95020"/>
    <s v="Needs Improvement"/>
    <s v="Normal"/>
    <s v="Senior"/>
    <s v="35-44"/>
  </r>
  <r>
    <n v="1691"/>
    <s v="Pooja"/>
    <s v="Male"/>
    <n v="31"/>
    <s v="Finance"/>
    <s v="Financial Analyst"/>
    <x v="2"/>
    <s v="2022-01-26"/>
    <n v="7"/>
    <n v="34205"/>
    <n v="4.4000000000000004"/>
    <n v="89.8"/>
    <n v="5"/>
    <n v="47"/>
    <n v="7985"/>
    <s v="Ramesh"/>
    <s v="Full-Time"/>
    <s v="Good"/>
    <s v="Low"/>
    <s v="Senior"/>
    <n v="42190"/>
    <s v="Needs Improvement"/>
    <s v="Normal"/>
    <s v="Senior"/>
    <s v="25-34"/>
  </r>
  <r>
    <n v="1692"/>
    <s v="Meena"/>
    <s v="Male"/>
    <n v="26"/>
    <s v="Finance"/>
    <s v="Financial Analyst"/>
    <x v="0"/>
    <s v="2018-09-26"/>
    <n v="0"/>
    <n v="93240"/>
    <n v="4"/>
    <n v="95.4"/>
    <n v="0"/>
    <n v="59"/>
    <n v="10703"/>
    <s v="Suresh"/>
    <s v="Contract"/>
    <s v="Good"/>
    <s v="High"/>
    <s v="Junior"/>
    <n v="103943"/>
    <s v="Excellent"/>
    <s v="Normal"/>
    <s v="Junior"/>
    <s v="25-34"/>
  </r>
  <r>
    <n v="1693"/>
    <s v="Ajay"/>
    <s v="Male"/>
    <n v="24"/>
    <s v="Finance"/>
    <s v="Accountant"/>
    <x v="4"/>
    <s v="2020-07-10"/>
    <n v="4"/>
    <n v="94325"/>
    <n v="4.3"/>
    <n v="99.6"/>
    <n v="2"/>
    <n v="48"/>
    <n v="1486"/>
    <s v="Kavya"/>
    <s v="Full-Time"/>
    <s v="Good"/>
    <s v="High"/>
    <s v="Mid Level"/>
    <n v="95811"/>
    <s v="Excellent"/>
    <s v="Normal"/>
    <s v="Mid"/>
    <s v="20-24"/>
  </r>
  <r>
    <n v="1694"/>
    <s v="Varun"/>
    <s v="Female"/>
    <n v="30"/>
    <s v="Sales"/>
    <s v="Sales Manager"/>
    <x v="2"/>
    <s v="2018-10-13"/>
    <n v="5"/>
    <n v="64575"/>
    <n v="2.9"/>
    <n v="82.8"/>
    <n v="3"/>
    <n v="36"/>
    <n v="11246"/>
    <s v="Anitha"/>
    <s v="Contract"/>
    <s v="Needs Improvement"/>
    <s v="Medium"/>
    <s v="Mid Level"/>
    <n v="75821"/>
    <s v="Needs Improvement"/>
    <s v="Normal"/>
    <s v="Mid"/>
    <s v="25-34"/>
  </r>
  <r>
    <n v="1695"/>
    <s v="Keerthi"/>
    <s v="Male"/>
    <n v="42"/>
    <s v="Finance"/>
    <s v="Financial Analyst"/>
    <x v="3"/>
    <s v="2018-04-26"/>
    <n v="7"/>
    <n v="91896"/>
    <n v="3.5"/>
    <n v="83.5"/>
    <n v="17"/>
    <n v="22"/>
    <n v="6022"/>
    <s v="Ramesh"/>
    <s v="Contract"/>
    <s v="Average"/>
    <s v="High"/>
    <s v="Senior"/>
    <n v="97918"/>
    <s v="Needs Improvement"/>
    <s v="Normal"/>
    <s v="Senior"/>
    <s v="35-44"/>
  </r>
  <r>
    <n v="1696"/>
    <s v="Priya"/>
    <s v="Male"/>
    <n v="40"/>
    <s v="HR"/>
    <s v="HR Executive"/>
    <x v="4"/>
    <s v="2020-08-27"/>
    <n v="7"/>
    <n v="65826"/>
    <n v="3.6"/>
    <n v="84.5"/>
    <n v="18"/>
    <n v="44"/>
    <n v="11583"/>
    <s v="Amit"/>
    <s v="Full-Time"/>
    <s v="Average"/>
    <s v="Medium"/>
    <s v="Senior"/>
    <n v="77409"/>
    <s v="Needs Improvement"/>
    <s v="Normal"/>
    <s v="Senior"/>
    <s v="35-44"/>
  </r>
  <r>
    <n v="1697"/>
    <s v="Nikhil"/>
    <s v="Male"/>
    <n v="33"/>
    <s v="IT"/>
    <s v="Software Engineer"/>
    <x v="0"/>
    <s v="2021-01-26"/>
    <n v="7"/>
    <n v="67143"/>
    <n v="4.2"/>
    <n v="96.9"/>
    <n v="2"/>
    <n v="37"/>
    <n v="8609"/>
    <s v="Anitha"/>
    <s v="Full-Time"/>
    <s v="Good"/>
    <s v="Medium"/>
    <s v="Senior"/>
    <n v="75752"/>
    <s v="Excellent"/>
    <s v="Normal"/>
    <s v="Senior"/>
    <s v="25-34"/>
  </r>
  <r>
    <n v="1698"/>
    <s v="Nikhil"/>
    <s v="Female"/>
    <n v="43"/>
    <s v="IT"/>
    <s v="Senior Developer"/>
    <x v="3"/>
    <s v="2019-01-23"/>
    <n v="6"/>
    <n v="26497"/>
    <n v="3.1"/>
    <n v="95.8"/>
    <n v="12"/>
    <n v="5"/>
    <n v="13871"/>
    <s v="Amit"/>
    <s v="Contract"/>
    <s v="Average"/>
    <s v="Low"/>
    <s v="Senior"/>
    <n v="40368"/>
    <s v="Excellent"/>
    <s v="Normal"/>
    <s v="Mid"/>
    <s v="35-44"/>
  </r>
  <r>
    <n v="1699"/>
    <s v="Sonia"/>
    <s v="Male"/>
    <n v="25"/>
    <s v="IT"/>
    <s v="Software Engineer"/>
    <x v="2"/>
    <s v="2024-11-03"/>
    <n v="9"/>
    <n v="60570"/>
    <n v="2.9"/>
    <n v="95.3"/>
    <n v="6"/>
    <n v="14"/>
    <n v="3092"/>
    <s v="Kavya"/>
    <s v="Contract"/>
    <s v="Needs Improvement"/>
    <s v="Medium"/>
    <s v="Senior"/>
    <n v="63662"/>
    <s v="Excellent"/>
    <s v="Normal"/>
    <s v="Senior"/>
    <s v="25-34"/>
  </r>
  <r>
    <n v="1700"/>
    <s v="Deepa"/>
    <s v="Female"/>
    <n v="37"/>
    <s v="Sales"/>
    <s v="Sales Executive"/>
    <x v="2"/>
    <s v="2020-08-31"/>
    <n v="2"/>
    <n v="58459"/>
    <n v="3.3"/>
    <n v="96.3"/>
    <n v="16"/>
    <n v="56"/>
    <n v="1252"/>
    <s v="Suresh"/>
    <s v="Full-Time"/>
    <s v="Average"/>
    <s v="Medium"/>
    <s v="Junior"/>
    <n v="59711"/>
    <s v="Excellent"/>
    <s v="Normal"/>
    <s v="Junior"/>
    <s v="35-44"/>
  </r>
  <r>
    <n v="1701"/>
    <s v="Ravi"/>
    <s v="Female"/>
    <n v="39"/>
    <s v="IT"/>
    <s v="Senior Developer"/>
    <x v="2"/>
    <s v="2022-08-07"/>
    <n v="6"/>
    <n v="86009"/>
    <n v="2.8"/>
    <n v="99.8"/>
    <n v="22"/>
    <n v="14"/>
    <n v="8998"/>
    <s v="Amit"/>
    <s v="Full-Time"/>
    <s v="Needs Improvement"/>
    <s v="High"/>
    <s v="Senior"/>
    <n v="95007"/>
    <s v="Excellent"/>
    <s v="High"/>
    <s v="Mid"/>
    <s v="35-44"/>
  </r>
  <r>
    <n v="1702"/>
    <s v="Anu"/>
    <s v="Female"/>
    <n v="32"/>
    <s v="Sales"/>
    <s v="Sales Manager"/>
    <x v="3"/>
    <s v="2018-02-16"/>
    <n v="4"/>
    <n v="77724"/>
    <n v="4.5"/>
    <n v="95.9"/>
    <n v="20"/>
    <n v="20"/>
    <n v="12223"/>
    <s v="Ramesh"/>
    <s v="Contract"/>
    <s v="Excellent"/>
    <s v="High"/>
    <s v="Mid Level"/>
    <n v="89947"/>
    <s v="Excellent"/>
    <s v="Normal"/>
    <s v="Mid"/>
    <s v="25-34"/>
  </r>
  <r>
    <n v="1703"/>
    <s v="Arjun"/>
    <s v="Female"/>
    <n v="33"/>
    <s v="IT"/>
    <s v="Data Analyst"/>
    <x v="0"/>
    <s v="2019-11-17"/>
    <n v="0"/>
    <n v="53019"/>
    <n v="3"/>
    <n v="97.4"/>
    <n v="13"/>
    <n v="39"/>
    <n v="2046"/>
    <s v="Amit"/>
    <s v="Full-Time"/>
    <s v="Average"/>
    <s v="Medium"/>
    <s v="Junior"/>
    <n v="55065"/>
    <s v="Excellent"/>
    <s v="Normal"/>
    <s v="Junior"/>
    <s v="25-34"/>
  </r>
  <r>
    <n v="1704"/>
    <s v="Kiran"/>
    <s v="Male"/>
    <n v="36"/>
    <s v="HR"/>
    <s v="HR Executive"/>
    <x v="0"/>
    <s v="2024-03-02"/>
    <n v="8"/>
    <n v="76902"/>
    <n v="4.5999999999999996"/>
    <n v="85.2"/>
    <n v="4"/>
    <n v="10"/>
    <n v="6761"/>
    <s v="Amit"/>
    <s v="Full-Time"/>
    <s v="Excellent"/>
    <s v="High"/>
    <s v="Senior"/>
    <n v="83663"/>
    <s v="Needs Improvement"/>
    <s v="Normal"/>
    <s v="Senior"/>
    <s v="35-44"/>
  </r>
  <r>
    <n v="1705"/>
    <s v="Anu"/>
    <s v="Male"/>
    <n v="39"/>
    <s v="IT"/>
    <s v="Senior Developer"/>
    <x v="0"/>
    <s v="2024-07-03"/>
    <n v="6"/>
    <n v="54843"/>
    <n v="2.6"/>
    <n v="89.6"/>
    <n v="15"/>
    <n v="38"/>
    <n v="13185"/>
    <s v="Suresh"/>
    <s v="Full-Time"/>
    <s v="Needs Improvement"/>
    <s v="Medium"/>
    <s v="Senior"/>
    <n v="68028"/>
    <s v="Needs Improvement"/>
    <s v="Normal"/>
    <s v="Mid"/>
    <s v="35-44"/>
  </r>
  <r>
    <n v="1706"/>
    <s v="Anu"/>
    <s v="Male"/>
    <n v="40"/>
    <s v="Sales"/>
    <s v="Sales Manager"/>
    <x v="1"/>
    <s v="2024-11-12"/>
    <n v="5"/>
    <n v="43264"/>
    <n v="3.9"/>
    <n v="95.2"/>
    <n v="12"/>
    <n v="52"/>
    <n v="13618"/>
    <s v="Suresh"/>
    <s v="Contract"/>
    <s v="Average"/>
    <s v="Low"/>
    <s v="Mid Level"/>
    <n v="56882"/>
    <s v="Excellent"/>
    <s v="Normal"/>
    <s v="Mid"/>
    <s v="35-44"/>
  </r>
  <r>
    <n v="1707"/>
    <s v="Anu"/>
    <s v="Male"/>
    <n v="43"/>
    <s v="IT"/>
    <s v="Software Engineer"/>
    <x v="1"/>
    <s v="2024-04-26"/>
    <n v="5"/>
    <n v="88556"/>
    <n v="3.6"/>
    <n v="97.8"/>
    <n v="8"/>
    <n v="17"/>
    <n v="1060"/>
    <s v="Anitha"/>
    <s v="Full-Time"/>
    <s v="Average"/>
    <s v="High"/>
    <s v="Mid Level"/>
    <n v="89616"/>
    <s v="Excellent"/>
    <s v="Normal"/>
    <s v="Mid"/>
    <s v="35-44"/>
  </r>
  <r>
    <n v="1708"/>
    <s v="Sneha"/>
    <s v="Male"/>
    <n v="26"/>
    <s v="IT"/>
    <s v="Senior Developer"/>
    <x v="0"/>
    <s v="2022-09-04"/>
    <n v="4"/>
    <n v="62683"/>
    <n v="4.7"/>
    <n v="94.2"/>
    <n v="25"/>
    <n v="57"/>
    <n v="1781"/>
    <s v="Ramesh"/>
    <s v="Contract"/>
    <s v="Excellent"/>
    <s v="Medium"/>
    <s v="Mid Level"/>
    <n v="64464"/>
    <s v="Needs Improvement"/>
    <s v="High"/>
    <s v="Mid"/>
    <s v="25-34"/>
  </r>
  <r>
    <n v="1709"/>
    <s v="Harsha"/>
    <s v="Male"/>
    <n v="34"/>
    <s v="Finance"/>
    <s v="Financial Analyst"/>
    <x v="1"/>
    <s v="2024-05-15"/>
    <n v="4"/>
    <n v="85431"/>
    <n v="3.7"/>
    <n v="83.5"/>
    <n v="21"/>
    <n v="21"/>
    <n v="5266"/>
    <s v="Suresh"/>
    <s v="Full-Time"/>
    <s v="Average"/>
    <s v="High"/>
    <s v="Mid Level"/>
    <n v="90697"/>
    <s v="Needs Improvement"/>
    <s v="High"/>
    <s v="Mid"/>
    <s v="25-34"/>
  </r>
  <r>
    <n v="1710"/>
    <s v="Pooja"/>
    <s v="Male"/>
    <n v="34"/>
    <s v="Finance"/>
    <s v="Financial Analyst"/>
    <x v="4"/>
    <s v="2021-03-29"/>
    <n v="1"/>
    <n v="38625"/>
    <n v="4.2"/>
    <n v="85.8"/>
    <n v="2"/>
    <n v="13"/>
    <n v="2082"/>
    <s v="Ramesh"/>
    <s v="Contract"/>
    <s v="Good"/>
    <s v="Low"/>
    <s v="Junior"/>
    <n v="40707"/>
    <s v="Needs Improvement"/>
    <s v="Normal"/>
    <s v="Junior"/>
    <s v="25-34"/>
  </r>
  <r>
    <n v="1711"/>
    <s v="Keerthi"/>
    <s v="Male"/>
    <n v="24"/>
    <s v="Sales"/>
    <s v="Sales Executive"/>
    <x v="3"/>
    <s v="2019-04-21"/>
    <n v="4"/>
    <n v="64575"/>
    <n v="3.3"/>
    <n v="98.9"/>
    <n v="17"/>
    <n v="39"/>
    <n v="6129"/>
    <s v="Amit"/>
    <s v="Contract"/>
    <s v="Average"/>
    <s v="Medium"/>
    <s v="Mid Level"/>
    <n v="70704"/>
    <s v="Excellent"/>
    <s v="Normal"/>
    <s v="Mid"/>
    <s v="20-24"/>
  </r>
  <r>
    <n v="1712"/>
    <s v="Sonia"/>
    <s v="Female"/>
    <n v="31"/>
    <s v="IT"/>
    <s v="Data Analyst"/>
    <x v="2"/>
    <s v="2019-07-19"/>
    <n v="7"/>
    <n v="58077"/>
    <n v="3.7"/>
    <n v="94.8"/>
    <n v="9"/>
    <n v="31"/>
    <n v="7761"/>
    <s v="Kavya"/>
    <s v="Contract"/>
    <s v="Average"/>
    <s v="Medium"/>
    <s v="Senior"/>
    <n v="65838"/>
    <s v="Needs Improvement"/>
    <s v="Normal"/>
    <s v="Senior"/>
    <s v="25-34"/>
  </r>
  <r>
    <n v="1713"/>
    <s v="Sonia"/>
    <s v="Male"/>
    <n v="32"/>
    <s v="Marketing"/>
    <s v="Marketing Executive"/>
    <x v="3"/>
    <s v="2020-07-13"/>
    <n v="10"/>
    <n v="42066"/>
    <n v="4.4000000000000004"/>
    <n v="97.2"/>
    <n v="2"/>
    <n v="44"/>
    <n v="12597"/>
    <s v="Anitha"/>
    <s v="Full-Time"/>
    <s v="Good"/>
    <s v="Low"/>
    <s v="Senior"/>
    <n v="54663"/>
    <s v="Excellent"/>
    <s v="Normal"/>
    <s v="Senior"/>
    <s v="25-34"/>
  </r>
  <r>
    <n v="1714"/>
    <s v="Manoj"/>
    <s v="Male"/>
    <n v="28"/>
    <s v="Sales"/>
    <s v="Sales Executive"/>
    <x v="0"/>
    <s v="2024-09-14"/>
    <n v="3"/>
    <n v="63007"/>
    <n v="4.5"/>
    <n v="85.6"/>
    <n v="20"/>
    <n v="38"/>
    <n v="1473"/>
    <s v="Suresh"/>
    <s v="Full-Time"/>
    <s v="Excellent"/>
    <s v="Medium"/>
    <s v="Mid Level"/>
    <n v="64480"/>
    <s v="Needs Improvement"/>
    <s v="Normal"/>
    <s v="Mid"/>
    <s v="25-34"/>
  </r>
  <r>
    <n v="1715"/>
    <s v="Vijay"/>
    <s v="Male"/>
    <n v="34"/>
    <s v="Marketing"/>
    <s v="SEO Analyst"/>
    <x v="0"/>
    <s v="2018-03-06"/>
    <n v="5"/>
    <n v="71423"/>
    <n v="3.7"/>
    <n v="90.7"/>
    <n v="10"/>
    <n v="53"/>
    <n v="3436"/>
    <s v="Anitha"/>
    <s v="Contract"/>
    <s v="Average"/>
    <s v="High"/>
    <s v="Mid Level"/>
    <n v="74859"/>
    <s v="Needs Improvement"/>
    <s v="Normal"/>
    <s v="Mid"/>
    <s v="25-34"/>
  </r>
  <r>
    <n v="1716"/>
    <s v="Varun"/>
    <s v="Male"/>
    <n v="41"/>
    <s v="HR"/>
    <s v="HR Manager"/>
    <x v="4"/>
    <s v="2020-10-19"/>
    <n v="4"/>
    <n v="94482"/>
    <n v="4.5"/>
    <n v="82.3"/>
    <n v="24"/>
    <n v="13"/>
    <n v="14800"/>
    <s v="Ramesh"/>
    <s v="Full-Time"/>
    <s v="Excellent"/>
    <s v="High"/>
    <s v="Mid Level"/>
    <n v="109282"/>
    <s v="Needs Improvement"/>
    <s v="High"/>
    <s v="Mid"/>
    <s v="35-44"/>
  </r>
  <r>
    <n v="1717"/>
    <s v="Harsha"/>
    <s v="Male"/>
    <n v="30"/>
    <s v="Marketing"/>
    <s v="Marketing Executive"/>
    <x v="4"/>
    <s v="2025-03-19"/>
    <n v="10"/>
    <n v="62931"/>
    <n v="3.1"/>
    <n v="98.9"/>
    <n v="8"/>
    <n v="46"/>
    <n v="1466"/>
    <s v="Suresh"/>
    <s v="Contract"/>
    <s v="Average"/>
    <s v="Medium"/>
    <s v="Senior"/>
    <n v="64397"/>
    <s v="Excellent"/>
    <s v="Normal"/>
    <s v="Senior"/>
    <s v="25-34"/>
  </r>
  <r>
    <n v="1718"/>
    <s v="Divya"/>
    <s v="Female"/>
    <n v="42"/>
    <s v="Sales"/>
    <s v="Sales Executive"/>
    <x v="1"/>
    <s v="2023-04-12"/>
    <n v="8"/>
    <n v="47495"/>
    <n v="4.0999999999999996"/>
    <n v="99.1"/>
    <n v="7"/>
    <n v="14"/>
    <n v="14190"/>
    <s v="Ramesh"/>
    <s v="Contract"/>
    <s v="Good"/>
    <s v="Low"/>
    <s v="Senior"/>
    <n v="61685"/>
    <s v="Excellent"/>
    <s v="Normal"/>
    <s v="Senior"/>
    <s v="35-44"/>
  </r>
  <r>
    <n v="1719"/>
    <s v="Pooja"/>
    <s v="Female"/>
    <n v="28"/>
    <s v="IT"/>
    <s v="Software Engineer"/>
    <x v="4"/>
    <s v="2019-12-17"/>
    <n v="5"/>
    <n v="35162"/>
    <n v="3.7"/>
    <n v="98.3"/>
    <n v="5"/>
    <n v="55"/>
    <n v="7450"/>
    <s v="Amit"/>
    <s v="Full-Time"/>
    <s v="Average"/>
    <s v="Low"/>
    <s v="Mid Level"/>
    <n v="42612"/>
    <s v="Excellent"/>
    <s v="Normal"/>
    <s v="Mid"/>
    <s v="25-34"/>
  </r>
  <r>
    <n v="1720"/>
    <s v="Anu"/>
    <s v="Male"/>
    <n v="23"/>
    <s v="Finance"/>
    <s v="Accountant"/>
    <x v="3"/>
    <s v="2024-02-24"/>
    <n v="6"/>
    <n v="46433"/>
    <n v="3"/>
    <n v="99.1"/>
    <n v="0"/>
    <n v="6"/>
    <n v="4875"/>
    <s v="Amit"/>
    <s v="Full-Time"/>
    <s v="Average"/>
    <s v="Low"/>
    <s v="Senior"/>
    <n v="51308"/>
    <s v="Excellent"/>
    <s v="Normal"/>
    <s v="Mid"/>
    <s v="20-24"/>
  </r>
  <r>
    <n v="1721"/>
    <s v="Sneha"/>
    <s v="Female"/>
    <n v="41"/>
    <s v="Finance"/>
    <s v="Accountant"/>
    <x v="2"/>
    <s v="2022-05-23"/>
    <n v="7"/>
    <n v="71646"/>
    <n v="4.7"/>
    <n v="86.6"/>
    <n v="14"/>
    <n v="7"/>
    <n v="9767"/>
    <s v="Kavya"/>
    <s v="Full-Time"/>
    <s v="Excellent"/>
    <s v="High"/>
    <s v="Senior"/>
    <n v="81413"/>
    <s v="Needs Improvement"/>
    <s v="Normal"/>
    <s v="Senior"/>
    <s v="35-44"/>
  </r>
  <r>
    <n v="1722"/>
    <s v="Harsha"/>
    <s v="Female"/>
    <n v="26"/>
    <s v="IT"/>
    <s v="Data Analyst"/>
    <x v="0"/>
    <s v="2019-05-20"/>
    <n v="1"/>
    <n v="80725"/>
    <n v="2.8"/>
    <n v="96.2"/>
    <n v="18"/>
    <n v="21"/>
    <n v="6887"/>
    <s v="Amit"/>
    <s v="Full-Time"/>
    <s v="Needs Improvement"/>
    <s v="High"/>
    <s v="Junior"/>
    <n v="87612"/>
    <s v="Excellent"/>
    <s v="Normal"/>
    <s v="Junior"/>
    <s v="25-34"/>
  </r>
  <r>
    <n v="1723"/>
    <s v="Pooja"/>
    <s v="Female"/>
    <n v="45"/>
    <s v="IT"/>
    <s v="Software Engineer"/>
    <x v="0"/>
    <s v="2021-08-15"/>
    <n v="5"/>
    <n v="85223"/>
    <n v="4.8"/>
    <n v="97.3"/>
    <n v="5"/>
    <n v="20"/>
    <n v="14008"/>
    <s v="Anitha"/>
    <s v="Contract"/>
    <s v="Excellent"/>
    <s v="High"/>
    <s v="Mid Level"/>
    <n v="99231"/>
    <s v="Excellent"/>
    <s v="Normal"/>
    <s v="Mid"/>
    <s v="45+"/>
  </r>
  <r>
    <n v="1724"/>
    <s v="Rahul"/>
    <s v="Male"/>
    <n v="30"/>
    <s v="Finance"/>
    <s v="Accountant"/>
    <x v="0"/>
    <s v="2023-01-29"/>
    <n v="10"/>
    <n v="81973"/>
    <n v="3.7"/>
    <n v="90.7"/>
    <n v="19"/>
    <n v="60"/>
    <n v="6935"/>
    <s v="Suresh"/>
    <s v="Contract"/>
    <s v="Average"/>
    <s v="High"/>
    <s v="Senior"/>
    <n v="88908"/>
    <s v="Needs Improvement"/>
    <s v="Normal"/>
    <s v="Senior"/>
    <s v="25-34"/>
  </r>
  <r>
    <n v="1725"/>
    <s v="Keerthi"/>
    <s v="Male"/>
    <n v="40"/>
    <s v="Marketing"/>
    <s v="SEO Analyst"/>
    <x v="0"/>
    <s v="2021-09-04"/>
    <n v="0"/>
    <n v="47802"/>
    <n v="3.7"/>
    <n v="95.2"/>
    <n v="22"/>
    <n v="39"/>
    <n v="11548"/>
    <s v="Anitha"/>
    <s v="Full-Time"/>
    <s v="Average"/>
    <s v="Low"/>
    <s v="Junior"/>
    <n v="59350"/>
    <s v="Excellent"/>
    <s v="High"/>
    <s v="Junior"/>
    <s v="35-44"/>
  </r>
  <r>
    <n v="1726"/>
    <s v="Sai"/>
    <s v="Male"/>
    <n v="31"/>
    <s v="HR"/>
    <s v="HR Executive"/>
    <x v="4"/>
    <s v="2020-05-03"/>
    <n v="10"/>
    <n v="84056"/>
    <n v="4.5999999999999996"/>
    <n v="86.7"/>
    <n v="25"/>
    <n v="34"/>
    <n v="10546"/>
    <s v="Suresh"/>
    <s v="Full-Time"/>
    <s v="Excellent"/>
    <s v="High"/>
    <s v="Senior"/>
    <n v="94602"/>
    <s v="Needs Improvement"/>
    <s v="High"/>
    <s v="Senior"/>
    <s v="25-34"/>
  </r>
  <r>
    <n v="1727"/>
    <s v="Pooja"/>
    <s v="Female"/>
    <n v="43"/>
    <s v="HR"/>
    <s v="HR Executive"/>
    <x v="4"/>
    <s v="2022-05-16"/>
    <n v="10"/>
    <n v="28540"/>
    <n v="3.6"/>
    <n v="84.8"/>
    <n v="22"/>
    <n v="26"/>
    <n v="11680"/>
    <s v="Amit"/>
    <s v="Full-Time"/>
    <s v="Average"/>
    <s v="Low"/>
    <s v="Senior"/>
    <n v="40220"/>
    <s v="Needs Improvement"/>
    <s v="High"/>
    <s v="Senior"/>
    <s v="35-44"/>
  </r>
  <r>
    <n v="1728"/>
    <s v="Pooja"/>
    <s v="Female"/>
    <n v="34"/>
    <s v="HR"/>
    <s v="HR Manager"/>
    <x v="3"/>
    <s v="2023-11-24"/>
    <n v="8"/>
    <n v="76202"/>
    <n v="3.2"/>
    <n v="99.1"/>
    <n v="1"/>
    <n v="43"/>
    <n v="14349"/>
    <s v="Kavya"/>
    <s v="Contract"/>
    <s v="Average"/>
    <s v="High"/>
    <s v="Senior"/>
    <n v="90551"/>
    <s v="Excellent"/>
    <s v="Normal"/>
    <s v="Senior"/>
    <s v="25-34"/>
  </r>
  <r>
    <n v="1729"/>
    <s v="Vijay"/>
    <s v="Female"/>
    <n v="34"/>
    <s v="Marketing"/>
    <s v="SEO Analyst"/>
    <x v="1"/>
    <s v="2019-10-10"/>
    <n v="7"/>
    <n v="52463"/>
    <n v="3.1"/>
    <n v="91.6"/>
    <n v="14"/>
    <n v="44"/>
    <n v="14125"/>
    <s v="Amit"/>
    <s v="Full-Time"/>
    <s v="Average"/>
    <s v="Medium"/>
    <s v="Senior"/>
    <n v="66588"/>
    <s v="Needs Improvement"/>
    <s v="Normal"/>
    <s v="Senior"/>
    <s v="25-34"/>
  </r>
  <r>
    <n v="1730"/>
    <s v="Varun"/>
    <s v="Female"/>
    <n v="22"/>
    <s v="Sales"/>
    <s v="Sales Executive"/>
    <x v="4"/>
    <s v="2020-07-23"/>
    <n v="8"/>
    <n v="78770"/>
    <n v="3.1"/>
    <n v="93"/>
    <n v="10"/>
    <n v="5"/>
    <n v="2165"/>
    <s v="Suresh"/>
    <s v="Contract"/>
    <s v="Average"/>
    <s v="High"/>
    <s v="Senior"/>
    <n v="80935"/>
    <s v="Needs Improvement"/>
    <s v="Normal"/>
    <s v="Senior"/>
    <s v="20-24"/>
  </r>
  <r>
    <n v="1731"/>
    <s v="Pooja"/>
    <s v="Female"/>
    <n v="41"/>
    <s v="HR"/>
    <s v="HR Manager"/>
    <x v="1"/>
    <s v="2024-12-20"/>
    <n v="6"/>
    <n v="49391"/>
    <n v="3.1"/>
    <n v="93.2"/>
    <n v="20"/>
    <n v="23"/>
    <n v="6348"/>
    <s v="Kavya"/>
    <s v="Full-Time"/>
    <s v="Average"/>
    <s v="Low"/>
    <s v="Senior"/>
    <n v="55739"/>
    <s v="Needs Improvement"/>
    <s v="Normal"/>
    <s v="Mid"/>
    <s v="35-44"/>
  </r>
  <r>
    <n v="1732"/>
    <s v="Deepa"/>
    <s v="Male"/>
    <n v="43"/>
    <s v="Sales"/>
    <s v="Sales Manager"/>
    <x v="3"/>
    <s v="2022-07-26"/>
    <n v="3"/>
    <n v="25377"/>
    <n v="3.7"/>
    <n v="93.1"/>
    <n v="20"/>
    <n v="24"/>
    <n v="12483"/>
    <s v="Amit"/>
    <s v="Full-Time"/>
    <s v="Average"/>
    <s v="Low"/>
    <s v="Mid Level"/>
    <n v="37860"/>
    <s v="Needs Improvement"/>
    <s v="Normal"/>
    <s v="Mid"/>
    <s v="35-44"/>
  </r>
  <r>
    <n v="1733"/>
    <s v="Ajay"/>
    <s v="Male"/>
    <n v="24"/>
    <s v="IT"/>
    <s v="Software Engineer"/>
    <x v="2"/>
    <s v="2022-11-25"/>
    <n v="2"/>
    <n v="70551"/>
    <n v="4.0999999999999996"/>
    <n v="98"/>
    <n v="24"/>
    <n v="43"/>
    <n v="5201"/>
    <s v="Kavya"/>
    <s v="Contract"/>
    <s v="Good"/>
    <s v="High"/>
    <s v="Junior"/>
    <n v="75752"/>
    <s v="Excellent"/>
    <s v="High"/>
    <s v="Junior"/>
    <s v="20-24"/>
  </r>
  <r>
    <n v="1734"/>
    <s v="Keerthi"/>
    <s v="Female"/>
    <n v="36"/>
    <s v="Sales"/>
    <s v="Sales Manager"/>
    <x v="0"/>
    <s v="2023-12-30"/>
    <n v="10"/>
    <n v="61050"/>
    <n v="4.8"/>
    <n v="84.6"/>
    <n v="0"/>
    <n v="16"/>
    <n v="13354"/>
    <s v="Suresh"/>
    <s v="Contract"/>
    <s v="Excellent"/>
    <s v="Medium"/>
    <s v="Senior"/>
    <n v="74404"/>
    <s v="Needs Improvement"/>
    <s v="Normal"/>
    <s v="Senior"/>
    <s v="35-44"/>
  </r>
  <r>
    <n v="1735"/>
    <s v="Nikhil"/>
    <s v="Male"/>
    <n v="35"/>
    <s v="HR"/>
    <s v="HR Executive"/>
    <x v="1"/>
    <s v="2022-05-31"/>
    <n v="5"/>
    <n v="92615"/>
    <n v="2.9"/>
    <n v="89.5"/>
    <n v="6"/>
    <n v="57"/>
    <n v="5804"/>
    <s v="Kavya"/>
    <s v="Full-Time"/>
    <s v="Needs Improvement"/>
    <s v="High"/>
    <s v="Mid Level"/>
    <n v="98419"/>
    <s v="Needs Improvement"/>
    <s v="Normal"/>
    <s v="Mid"/>
    <s v="35-44"/>
  </r>
  <r>
    <n v="1736"/>
    <s v="Keerthi"/>
    <s v="Male"/>
    <n v="44"/>
    <s v="Finance"/>
    <s v="Financial Analyst"/>
    <x v="2"/>
    <s v="2018-07-15"/>
    <n v="2"/>
    <n v="53736"/>
    <n v="3.1"/>
    <n v="86.4"/>
    <n v="11"/>
    <n v="9"/>
    <n v="8854"/>
    <s v="Amit"/>
    <s v="Contract"/>
    <s v="Average"/>
    <s v="Medium"/>
    <s v="Junior"/>
    <n v="62590"/>
    <s v="Needs Improvement"/>
    <s v="Normal"/>
    <s v="Junior"/>
    <s v="35-44"/>
  </r>
  <r>
    <n v="1737"/>
    <s v="Kiran"/>
    <s v="Female"/>
    <n v="39"/>
    <s v="Marketing"/>
    <s v="SEO Analyst"/>
    <x v="0"/>
    <s v="2019-12-20"/>
    <n v="2"/>
    <n v="45191"/>
    <n v="4.5999999999999996"/>
    <n v="92"/>
    <n v="25"/>
    <n v="14"/>
    <n v="10818"/>
    <s v="Anitha"/>
    <s v="Contract"/>
    <s v="Excellent"/>
    <s v="Low"/>
    <s v="Junior"/>
    <n v="56009"/>
    <s v="Needs Improvement"/>
    <s v="High"/>
    <s v="Junior"/>
    <s v="35-44"/>
  </r>
  <r>
    <n v="1738"/>
    <s v="Ajay"/>
    <s v="Male"/>
    <n v="26"/>
    <s v="HR"/>
    <s v="HR Executive"/>
    <x v="0"/>
    <s v="2023-10-04"/>
    <n v="6"/>
    <n v="52360"/>
    <n v="3.6"/>
    <n v="90.5"/>
    <n v="8"/>
    <n v="12"/>
    <n v="8579"/>
    <s v="Ramesh"/>
    <s v="Full-Time"/>
    <s v="Average"/>
    <s v="Medium"/>
    <s v="Senior"/>
    <n v="60939"/>
    <s v="Needs Improvement"/>
    <s v="Normal"/>
    <s v="Mid"/>
    <s v="25-34"/>
  </r>
  <r>
    <n v="1739"/>
    <s v="Divya"/>
    <s v="Female"/>
    <n v="23"/>
    <s v="IT"/>
    <s v="Senior Developer"/>
    <x v="0"/>
    <s v="2022-07-20"/>
    <n v="1"/>
    <n v="66668"/>
    <n v="3.4"/>
    <n v="95.4"/>
    <n v="22"/>
    <n v="11"/>
    <n v="3289"/>
    <s v="Ramesh"/>
    <s v="Full-Time"/>
    <s v="Average"/>
    <s v="Medium"/>
    <s v="Junior"/>
    <n v="69957"/>
    <s v="Excellent"/>
    <s v="High"/>
    <s v="Junior"/>
    <s v="20-24"/>
  </r>
  <r>
    <n v="1740"/>
    <s v="Ravi"/>
    <s v="Male"/>
    <n v="24"/>
    <s v="Sales"/>
    <s v="Sales Executive"/>
    <x v="0"/>
    <s v="2018-12-25"/>
    <n v="4"/>
    <n v="27832"/>
    <n v="3.7"/>
    <n v="94.8"/>
    <n v="14"/>
    <n v="15"/>
    <n v="1442"/>
    <s v="Kavya"/>
    <s v="Full-Time"/>
    <s v="Average"/>
    <s v="Low"/>
    <s v="Mid Level"/>
    <n v="29274"/>
    <s v="Needs Improvement"/>
    <s v="Normal"/>
    <s v="Mid"/>
    <s v="20-24"/>
  </r>
  <r>
    <n v="1741"/>
    <s v="Varun"/>
    <s v="Female"/>
    <n v="24"/>
    <s v="Sales"/>
    <s v="Sales Executive"/>
    <x v="4"/>
    <s v="2024-07-06"/>
    <n v="9"/>
    <n v="77848"/>
    <n v="4.2"/>
    <n v="89.6"/>
    <n v="13"/>
    <n v="30"/>
    <n v="3693"/>
    <s v="Anitha"/>
    <s v="Contract"/>
    <s v="Good"/>
    <s v="High"/>
    <s v="Senior"/>
    <n v="81541"/>
    <s v="Needs Improvement"/>
    <s v="Normal"/>
    <s v="Senior"/>
    <s v="20-24"/>
  </r>
  <r>
    <n v="1742"/>
    <s v="Harsha"/>
    <s v="Male"/>
    <n v="39"/>
    <s v="Marketing"/>
    <s v="SEO Analyst"/>
    <x v="3"/>
    <s v="2020-01-15"/>
    <n v="7"/>
    <n v="27398"/>
    <n v="3.6"/>
    <n v="82.5"/>
    <n v="19"/>
    <n v="42"/>
    <n v="8585"/>
    <s v="Ramesh"/>
    <s v="Contract"/>
    <s v="Average"/>
    <s v="Low"/>
    <s v="Senior"/>
    <n v="35983"/>
    <s v="Needs Improvement"/>
    <s v="Normal"/>
    <s v="Senior"/>
    <s v="35-44"/>
  </r>
  <r>
    <n v="1743"/>
    <s v="Priya"/>
    <s v="Female"/>
    <n v="27"/>
    <s v="Sales"/>
    <s v="Sales Executive"/>
    <x v="4"/>
    <s v="2019-10-08"/>
    <n v="6"/>
    <n v="71636"/>
    <n v="4.8"/>
    <n v="92.6"/>
    <n v="17"/>
    <n v="53"/>
    <n v="5660"/>
    <s v="Suresh"/>
    <s v="Contract"/>
    <s v="Excellent"/>
    <s v="High"/>
    <s v="Senior"/>
    <n v="77296"/>
    <s v="Needs Improvement"/>
    <s v="Normal"/>
    <s v="Mid"/>
    <s v="25-34"/>
  </r>
  <r>
    <n v="1744"/>
    <s v="Kiran"/>
    <s v="Male"/>
    <n v="39"/>
    <s v="Marketing"/>
    <s v="Marketing Executive"/>
    <x v="0"/>
    <s v="2022-04-29"/>
    <n v="8"/>
    <n v="45559"/>
    <n v="2.7"/>
    <n v="93.3"/>
    <n v="5"/>
    <n v="37"/>
    <n v="14654"/>
    <s v="Anitha"/>
    <s v="Full-Time"/>
    <s v="Needs Improvement"/>
    <s v="Low"/>
    <s v="Senior"/>
    <n v="60213"/>
    <s v="Needs Improvement"/>
    <s v="Normal"/>
    <s v="Senior"/>
    <s v="35-44"/>
  </r>
  <r>
    <n v="1745"/>
    <s v="Harsha"/>
    <s v="Female"/>
    <n v="41"/>
    <s v="HR"/>
    <s v="HR Manager"/>
    <x v="3"/>
    <s v="2019-01-06"/>
    <n v="1"/>
    <n v="71755"/>
    <n v="3.7"/>
    <n v="91.9"/>
    <n v="3"/>
    <n v="21"/>
    <n v="6837"/>
    <s v="Kavya"/>
    <s v="Full-Time"/>
    <s v="Average"/>
    <s v="High"/>
    <s v="Junior"/>
    <n v="78592"/>
    <s v="Needs Improvement"/>
    <s v="Normal"/>
    <s v="Junior"/>
    <s v="35-44"/>
  </r>
  <r>
    <n v="1746"/>
    <s v="Sai"/>
    <s v="Female"/>
    <n v="32"/>
    <s v="Finance"/>
    <s v="Financial Analyst"/>
    <x v="1"/>
    <s v="2020-06-21"/>
    <n v="6"/>
    <n v="37219"/>
    <n v="3.2"/>
    <n v="86.6"/>
    <n v="4"/>
    <n v="19"/>
    <n v="1025"/>
    <s v="Suresh"/>
    <s v="Contract"/>
    <s v="Average"/>
    <s v="Low"/>
    <s v="Senior"/>
    <n v="38244"/>
    <s v="Needs Improvement"/>
    <s v="Normal"/>
    <s v="Mid"/>
    <s v="25-34"/>
  </r>
  <r>
    <n v="1747"/>
    <s v="Deepa"/>
    <s v="Female"/>
    <n v="24"/>
    <s v="IT"/>
    <s v="Senior Developer"/>
    <x v="3"/>
    <s v="2021-02-12"/>
    <n v="5"/>
    <n v="47979"/>
    <n v="3.6"/>
    <n v="83.5"/>
    <n v="13"/>
    <n v="11"/>
    <n v="7239"/>
    <s v="Ramesh"/>
    <s v="Contract"/>
    <s v="Average"/>
    <s v="Low"/>
    <s v="Mid Level"/>
    <n v="55218"/>
    <s v="Needs Improvement"/>
    <s v="Normal"/>
    <s v="Mid"/>
    <s v="20-24"/>
  </r>
  <r>
    <n v="1748"/>
    <s v="Sonia"/>
    <s v="Male"/>
    <n v="29"/>
    <s v="Sales"/>
    <s v="Sales Manager"/>
    <x v="1"/>
    <s v="2024-07-17"/>
    <n v="0"/>
    <n v="64588"/>
    <n v="3.8"/>
    <n v="84"/>
    <n v="0"/>
    <n v="59"/>
    <n v="5067"/>
    <s v="Anitha"/>
    <s v="Full-Time"/>
    <s v="Average"/>
    <s v="Medium"/>
    <s v="Junior"/>
    <n v="69655"/>
    <s v="Needs Improvement"/>
    <s v="Normal"/>
    <s v="Junior"/>
    <s v="25-34"/>
  </r>
  <r>
    <n v="1749"/>
    <s v="Keerthi"/>
    <s v="Female"/>
    <n v="32"/>
    <s v="Finance"/>
    <s v="Accountant"/>
    <x v="2"/>
    <s v="2018-05-28"/>
    <n v="8"/>
    <m/>
    <n v="4.5999999999999996"/>
    <n v="93.5"/>
    <n v="12"/>
    <n v="34"/>
    <n v="8049"/>
    <s v="Amit"/>
    <s v="Contract"/>
    <s v="Excellent"/>
    <s v="Low"/>
    <s v="Senior"/>
    <n v="8049"/>
    <s v="Needs Improvement"/>
    <s v="Normal"/>
    <s v="Senior"/>
    <s v="25-34"/>
  </r>
  <r>
    <n v="1750"/>
    <s v="Priya"/>
    <s v="Male"/>
    <n v="43"/>
    <s v="IT"/>
    <s v="Software Engineer"/>
    <x v="0"/>
    <s v="2021-09-26"/>
    <n v="2"/>
    <n v="43288"/>
    <n v="2.6"/>
    <n v="84.6"/>
    <n v="8"/>
    <n v="31"/>
    <n v="4721"/>
    <s v="Amit"/>
    <s v="Contract"/>
    <s v="Needs Improvement"/>
    <s v="Low"/>
    <s v="Junior"/>
    <n v="48009"/>
    <s v="Needs Improvement"/>
    <s v="Normal"/>
    <s v="Junior"/>
    <s v="35-44"/>
  </r>
  <r>
    <n v="1751"/>
    <s v="Ajay"/>
    <s v="Male"/>
    <n v="40"/>
    <s v="Sales"/>
    <s v="Sales Executive"/>
    <x v="2"/>
    <s v="2023-06-28"/>
    <n v="8"/>
    <n v="51123"/>
    <n v="3.4"/>
    <n v="93.9"/>
    <n v="4"/>
    <n v="32"/>
    <n v="9581"/>
    <s v="Ramesh"/>
    <s v="Full-Time"/>
    <s v="Average"/>
    <s v="Medium"/>
    <s v="Senior"/>
    <n v="60704"/>
    <s v="Needs Improvement"/>
    <s v="Normal"/>
    <s v="Senior"/>
    <s v="35-44"/>
  </r>
  <r>
    <n v="1752"/>
    <s v="Pooja"/>
    <s v="Female"/>
    <n v="34"/>
    <s v="HR"/>
    <s v="HR Manager"/>
    <x v="0"/>
    <s v="2020-11-29"/>
    <n v="10"/>
    <n v="25957"/>
    <n v="3.3"/>
    <n v="90.9"/>
    <n v="1"/>
    <n v="10"/>
    <n v="10629"/>
    <s v="Kavya"/>
    <s v="Full-Time"/>
    <s v="Average"/>
    <s v="Low"/>
    <s v="Senior"/>
    <n v="36586"/>
    <s v="Needs Improvement"/>
    <s v="Normal"/>
    <s v="Senior"/>
    <s v="25-34"/>
  </r>
  <r>
    <n v="1753"/>
    <s v="Priya"/>
    <s v="Female"/>
    <n v="45"/>
    <s v="Sales"/>
    <s v="Sales Executive"/>
    <x v="4"/>
    <s v="2019-11-09"/>
    <n v="7"/>
    <n v="79904"/>
    <n v="2.9"/>
    <n v="93.6"/>
    <n v="3"/>
    <n v="13"/>
    <n v="2884"/>
    <s v="Ramesh"/>
    <s v="Full-Time"/>
    <s v="Needs Improvement"/>
    <s v="High"/>
    <s v="Senior"/>
    <n v="82788"/>
    <s v="Needs Improvement"/>
    <s v="Normal"/>
    <s v="Senior"/>
    <s v="45+"/>
  </r>
  <r>
    <n v="1754"/>
    <s v="Nikhil"/>
    <s v="Female"/>
    <n v="38"/>
    <s v="Finance"/>
    <s v="Accountant"/>
    <x v="3"/>
    <s v="2022-11-03"/>
    <n v="1"/>
    <n v="85637"/>
    <n v="3.1"/>
    <n v="98.5"/>
    <n v="22"/>
    <n v="10"/>
    <n v="12460"/>
    <s v="Kavya"/>
    <s v="Contract"/>
    <s v="Average"/>
    <s v="High"/>
    <s v="Junior"/>
    <n v="98097"/>
    <s v="Excellent"/>
    <s v="High"/>
    <s v="Junior"/>
    <s v="35-44"/>
  </r>
  <r>
    <n v="1755"/>
    <s v="Nikhil"/>
    <s v="Male"/>
    <n v="29"/>
    <s v="IT"/>
    <s v="Software Engineer"/>
    <x v="0"/>
    <s v="2018-11-07"/>
    <n v="6"/>
    <n v="81954"/>
    <n v="2.9"/>
    <n v="90.8"/>
    <n v="7"/>
    <n v="21"/>
    <n v="5930"/>
    <s v="Amit"/>
    <s v="Full-Time"/>
    <s v="Needs Improvement"/>
    <s v="High"/>
    <s v="Senior"/>
    <n v="87884"/>
    <s v="Needs Improvement"/>
    <s v="Normal"/>
    <s v="Mid"/>
    <s v="25-34"/>
  </r>
  <r>
    <n v="1756"/>
    <s v="Ajay"/>
    <s v="Male"/>
    <n v="40"/>
    <s v="IT"/>
    <s v="Data Analyst"/>
    <x v="3"/>
    <s v="2018-10-08"/>
    <n v="6"/>
    <n v="94790"/>
    <n v="4.7"/>
    <n v="98.3"/>
    <n v="19"/>
    <n v="22"/>
    <n v="10565"/>
    <s v="Kavya"/>
    <s v="Full-Time"/>
    <s v="Excellent"/>
    <s v="High"/>
    <s v="Senior"/>
    <n v="105355"/>
    <s v="Excellent"/>
    <s v="Normal"/>
    <s v="Mid"/>
    <s v="35-44"/>
  </r>
  <r>
    <n v="1757"/>
    <s v="Ajay"/>
    <s v="Male"/>
    <n v="27"/>
    <s v="Marketing"/>
    <s v="SEO Analyst"/>
    <x v="3"/>
    <s v="2025-02-23"/>
    <n v="4"/>
    <n v="61775"/>
    <n v="3.1"/>
    <n v="94.6"/>
    <n v="1"/>
    <n v="13"/>
    <n v="3201"/>
    <s v="Amit"/>
    <s v="Contract"/>
    <s v="Average"/>
    <s v="Medium"/>
    <s v="Mid Level"/>
    <n v="64976"/>
    <s v="Needs Improvement"/>
    <s v="Normal"/>
    <s v="Mid"/>
    <s v="25-34"/>
  </r>
  <r>
    <n v="1758"/>
    <s v="Nikhil"/>
    <s v="Male"/>
    <n v="29"/>
    <s v="HR"/>
    <s v="HR Manager"/>
    <x v="2"/>
    <s v="2020-07-26"/>
    <n v="1"/>
    <n v="35480"/>
    <n v="3.4"/>
    <n v="99.1"/>
    <n v="14"/>
    <n v="57"/>
    <n v="4105"/>
    <s v="Kavya"/>
    <s v="Full-Time"/>
    <s v="Average"/>
    <s v="Low"/>
    <s v="Junior"/>
    <n v="39585"/>
    <s v="Excellent"/>
    <s v="Normal"/>
    <s v="Junior"/>
    <s v="25-34"/>
  </r>
  <r>
    <n v="1759"/>
    <s v="Pooja"/>
    <s v="Male"/>
    <n v="41"/>
    <s v="IT"/>
    <s v="Senior Developer"/>
    <x v="0"/>
    <s v="2025-02-20"/>
    <n v="4"/>
    <n v="84100"/>
    <n v="3.2"/>
    <n v="83.9"/>
    <n v="13"/>
    <n v="35"/>
    <n v="7463"/>
    <s v="Anitha"/>
    <s v="Full-Time"/>
    <s v="Average"/>
    <s v="High"/>
    <s v="Mid Level"/>
    <n v="91563"/>
    <s v="Needs Improvement"/>
    <s v="Normal"/>
    <s v="Mid"/>
    <s v="35-44"/>
  </r>
  <r>
    <n v="1760"/>
    <s v="Kiran"/>
    <s v="Male"/>
    <n v="26"/>
    <s v="HR"/>
    <s v="HR Executive"/>
    <x v="0"/>
    <s v="2023-11-18"/>
    <n v="10"/>
    <n v="43748"/>
    <n v="4.0999999999999996"/>
    <n v="87.2"/>
    <n v="1"/>
    <n v="59"/>
    <n v="2008"/>
    <s v="Amit"/>
    <s v="Full-Time"/>
    <s v="Good"/>
    <s v="Low"/>
    <s v="Senior"/>
    <n v="45756"/>
    <s v="Needs Improvement"/>
    <s v="Normal"/>
    <s v="Senior"/>
    <s v="25-34"/>
  </r>
  <r>
    <n v="1761"/>
    <s v="Deepa"/>
    <s v="Male"/>
    <n v="34"/>
    <s v="Marketing"/>
    <s v="Marketing Executive"/>
    <x v="0"/>
    <s v="2020-04-30"/>
    <n v="8"/>
    <n v="76855"/>
    <n v="4.9000000000000004"/>
    <n v="90.3"/>
    <n v="21"/>
    <n v="21"/>
    <n v="3161"/>
    <s v="Kavya"/>
    <s v="Full-Time"/>
    <s v="Excellent"/>
    <s v="High"/>
    <s v="Senior"/>
    <n v="80016"/>
    <s v="Needs Improvement"/>
    <s v="High"/>
    <s v="Senior"/>
    <s v="25-34"/>
  </r>
  <r>
    <n v="1762"/>
    <s v="Manoj"/>
    <s v="Male"/>
    <n v="35"/>
    <s v="Sales"/>
    <s v="Sales Manager"/>
    <x v="1"/>
    <s v="2019-05-15"/>
    <n v="1"/>
    <n v="67403"/>
    <n v="3.5"/>
    <n v="98.5"/>
    <n v="3"/>
    <n v="18"/>
    <n v="14223"/>
    <s v="Kavya"/>
    <s v="Full-Time"/>
    <s v="Average"/>
    <s v="Medium"/>
    <s v="Junior"/>
    <n v="81626"/>
    <s v="Excellent"/>
    <s v="Normal"/>
    <s v="Junior"/>
    <s v="35-44"/>
  </r>
  <r>
    <n v="1763"/>
    <s v="Keerthi"/>
    <s v="Male"/>
    <n v="43"/>
    <s v="IT"/>
    <s v="Data Analyst"/>
    <x v="2"/>
    <s v="2022-10-17"/>
    <n v="2"/>
    <n v="57742"/>
    <n v="2.9"/>
    <n v="88.1"/>
    <n v="5"/>
    <n v="35"/>
    <n v="2747"/>
    <s v="Suresh"/>
    <s v="Full-Time"/>
    <s v="Needs Improvement"/>
    <s v="Medium"/>
    <s v="Junior"/>
    <n v="60489"/>
    <s v="Needs Improvement"/>
    <s v="Normal"/>
    <s v="Junior"/>
    <s v="35-44"/>
  </r>
  <r>
    <n v="1764"/>
    <s v="Pooja"/>
    <s v="Female"/>
    <n v="44"/>
    <s v="HR"/>
    <s v="HR Executive"/>
    <x v="1"/>
    <s v="2024-12-22"/>
    <n v="3"/>
    <n v="70561"/>
    <n v="3.7"/>
    <n v="82.7"/>
    <n v="4"/>
    <n v="24"/>
    <n v="12835"/>
    <s v="Kavya"/>
    <s v="Full-Time"/>
    <s v="Average"/>
    <s v="High"/>
    <s v="Mid Level"/>
    <n v="83396"/>
    <s v="Needs Improvement"/>
    <s v="Normal"/>
    <s v="Mid"/>
    <s v="35-44"/>
  </r>
  <r>
    <n v="1765"/>
    <s v="Sneha"/>
    <s v="Female"/>
    <n v="35"/>
    <s v="Marketing"/>
    <s v="Marketing Executive"/>
    <x v="1"/>
    <s v="2019-06-25"/>
    <n v="3"/>
    <n v="83669"/>
    <n v="3.7"/>
    <n v="84.1"/>
    <n v="14"/>
    <n v="33"/>
    <n v="4931"/>
    <s v="Ramesh"/>
    <s v="Full-Time"/>
    <s v="Average"/>
    <s v="High"/>
    <s v="Mid Level"/>
    <n v="88600"/>
    <s v="Needs Improvement"/>
    <s v="Normal"/>
    <s v="Mid"/>
    <s v="35-44"/>
  </r>
  <r>
    <n v="1766"/>
    <s v="Sneha"/>
    <s v="Male"/>
    <n v="28"/>
    <s v="Sales"/>
    <s v="Sales Manager"/>
    <x v="1"/>
    <s v="2019-02-12"/>
    <n v="5"/>
    <n v="35343"/>
    <n v="2.6"/>
    <n v="83.1"/>
    <n v="5"/>
    <n v="21"/>
    <n v="12560"/>
    <s v="Kavya"/>
    <s v="Full-Time"/>
    <s v="Needs Improvement"/>
    <s v="Low"/>
    <s v="Mid Level"/>
    <n v="47903"/>
    <s v="Needs Improvement"/>
    <s v="Normal"/>
    <s v="Mid"/>
    <s v="25-34"/>
  </r>
  <r>
    <n v="1767"/>
    <s v="Ajay"/>
    <s v="Female"/>
    <n v="37"/>
    <s v="HR"/>
    <s v="HR Manager"/>
    <x v="1"/>
    <s v="2020-09-27"/>
    <n v="9"/>
    <n v="43369"/>
    <n v="3.4"/>
    <n v="82.6"/>
    <n v="2"/>
    <n v="27"/>
    <n v="12931"/>
    <s v="Kavya"/>
    <s v="Full-Time"/>
    <s v="Average"/>
    <s v="Low"/>
    <s v="Senior"/>
    <n v="56300"/>
    <s v="Needs Improvement"/>
    <s v="Normal"/>
    <s v="Senior"/>
    <s v="35-44"/>
  </r>
  <r>
    <n v="1768"/>
    <s v="Priya"/>
    <s v="Male"/>
    <n v="27"/>
    <s v="Finance"/>
    <s v="Accountant"/>
    <x v="4"/>
    <s v="2018-08-16"/>
    <n v="4"/>
    <n v="57372"/>
    <n v="2.8"/>
    <n v="99.9"/>
    <n v="3"/>
    <n v="56"/>
    <n v="14730"/>
    <s v="Suresh"/>
    <s v="Full-Time"/>
    <s v="Needs Improvement"/>
    <s v="Medium"/>
    <s v="Mid Level"/>
    <n v="72102"/>
    <s v="Excellent"/>
    <s v="Normal"/>
    <s v="Mid"/>
    <s v="25-34"/>
  </r>
  <r>
    <n v="1769"/>
    <s v="Meena"/>
    <s v="Male"/>
    <n v="45"/>
    <s v="HR"/>
    <s v="HR Manager"/>
    <x v="2"/>
    <s v="2018-05-10"/>
    <n v="6"/>
    <n v="45954"/>
    <n v="4.4000000000000004"/>
    <n v="97"/>
    <n v="16"/>
    <n v="56"/>
    <n v="10058"/>
    <s v="Anitha"/>
    <s v="Full-Time"/>
    <s v="Good"/>
    <s v="Low"/>
    <s v="Senior"/>
    <n v="56012"/>
    <s v="Excellent"/>
    <s v="Normal"/>
    <s v="Mid"/>
    <s v="45+"/>
  </r>
  <r>
    <n v="1770"/>
    <s v="Nikhil"/>
    <s v="Male"/>
    <n v="27"/>
    <s v="Finance"/>
    <s v="Accountant"/>
    <x v="4"/>
    <s v="2019-10-16"/>
    <n v="2"/>
    <n v="33332"/>
    <n v="3.3"/>
    <n v="93.2"/>
    <n v="3"/>
    <n v="24"/>
    <n v="6468"/>
    <s v="Anitha"/>
    <s v="Full-Time"/>
    <s v="Average"/>
    <s v="Low"/>
    <s v="Junior"/>
    <n v="39800"/>
    <s v="Needs Improvement"/>
    <s v="Normal"/>
    <s v="Junior"/>
    <s v="25-34"/>
  </r>
  <r>
    <n v="1771"/>
    <s v="Vijay"/>
    <s v="Male"/>
    <n v="39"/>
    <s v="Sales"/>
    <s v="Sales Manager"/>
    <x v="1"/>
    <s v="2019-01-15"/>
    <n v="3"/>
    <n v="43504"/>
    <n v="2.5"/>
    <n v="86"/>
    <n v="18"/>
    <n v="20"/>
    <n v="5323"/>
    <s v="Amit"/>
    <s v="Full-Time"/>
    <s v="Needs Improvement"/>
    <s v="Low"/>
    <s v="Mid Level"/>
    <n v="48827"/>
    <s v="Needs Improvement"/>
    <s v="Normal"/>
    <s v="Mid"/>
    <s v="35-44"/>
  </r>
  <r>
    <n v="1772"/>
    <s v="Rahul"/>
    <s v="Female"/>
    <n v="26"/>
    <s v="HR"/>
    <s v="HR Executive"/>
    <x v="0"/>
    <s v="2021-03-26"/>
    <n v="7"/>
    <n v="64806"/>
    <n v="2.6"/>
    <n v="86.5"/>
    <n v="12"/>
    <n v="15"/>
    <n v="14661"/>
    <s v="Kavya"/>
    <s v="Full-Time"/>
    <s v="Needs Improvement"/>
    <s v="Medium"/>
    <s v="Senior"/>
    <n v="79467"/>
    <s v="Needs Improvement"/>
    <s v="Normal"/>
    <s v="Senior"/>
    <s v="25-34"/>
  </r>
  <r>
    <n v="1773"/>
    <s v="Meena"/>
    <s v="Female"/>
    <n v="38"/>
    <s v="Sales"/>
    <s v="Sales Manager"/>
    <x v="3"/>
    <s v="2018-11-22"/>
    <n v="4"/>
    <n v="93134"/>
    <n v="4.4000000000000004"/>
    <n v="87.4"/>
    <n v="23"/>
    <n v="39"/>
    <n v="2799"/>
    <s v="Kavya"/>
    <s v="Full-Time"/>
    <s v="Good"/>
    <s v="High"/>
    <s v="Mid Level"/>
    <n v="95933"/>
    <s v="Needs Improvement"/>
    <s v="High"/>
    <s v="Mid"/>
    <s v="35-44"/>
  </r>
  <r>
    <n v="1774"/>
    <s v="Meena"/>
    <s v="Female"/>
    <n v="42"/>
    <s v="Marketing"/>
    <s v="SEO Analyst"/>
    <x v="0"/>
    <s v="2023-08-10"/>
    <n v="4"/>
    <n v="33680"/>
    <n v="4.8"/>
    <n v="91.5"/>
    <n v="19"/>
    <n v="5"/>
    <n v="13738"/>
    <s v="Anitha"/>
    <s v="Contract"/>
    <s v="Excellent"/>
    <s v="Low"/>
    <s v="Mid Level"/>
    <n v="47418"/>
    <s v="Needs Improvement"/>
    <s v="Normal"/>
    <s v="Mid"/>
    <s v="35-44"/>
  </r>
  <r>
    <n v="1775"/>
    <s v="Sneha"/>
    <s v="Male"/>
    <n v="23"/>
    <s v="Sales"/>
    <s v="Sales Executive"/>
    <x v="0"/>
    <s v="2024-02-10"/>
    <n v="2"/>
    <n v="91817"/>
    <n v="3.3"/>
    <n v="85"/>
    <n v="4"/>
    <n v="29"/>
    <n v="2036"/>
    <s v="Ramesh"/>
    <s v="Contract"/>
    <s v="Average"/>
    <s v="High"/>
    <s v="Junior"/>
    <n v="93853"/>
    <s v="Needs Improvement"/>
    <s v="Normal"/>
    <s v="Junior"/>
    <s v="20-24"/>
  </r>
  <r>
    <n v="1776"/>
    <s v="Anu"/>
    <s v="Male"/>
    <n v="24"/>
    <s v="HR"/>
    <s v="HR Manager"/>
    <x v="3"/>
    <s v="2021-07-18"/>
    <n v="9"/>
    <n v="39441"/>
    <n v="4.7"/>
    <n v="84.1"/>
    <n v="16"/>
    <n v="55"/>
    <n v="11089"/>
    <s v="Ramesh"/>
    <s v="Contract"/>
    <s v="Excellent"/>
    <s v="Low"/>
    <s v="Senior"/>
    <n v="50530"/>
    <s v="Needs Improvement"/>
    <s v="Normal"/>
    <s v="Senior"/>
    <s v="20-24"/>
  </r>
  <r>
    <n v="1777"/>
    <s v="Manoj"/>
    <s v="Female"/>
    <n v="40"/>
    <s v="Marketing"/>
    <s v="SEO Analyst"/>
    <x v="4"/>
    <s v="2022-04-26"/>
    <n v="7"/>
    <n v="77106"/>
    <n v="4.2"/>
    <n v="95.8"/>
    <n v="4"/>
    <n v="48"/>
    <n v="11180"/>
    <s v="Suresh"/>
    <s v="Contract"/>
    <s v="Good"/>
    <s v="High"/>
    <s v="Senior"/>
    <n v="88286"/>
    <s v="Excellent"/>
    <s v="Normal"/>
    <s v="Senior"/>
    <s v="35-44"/>
  </r>
  <r>
    <n v="1778"/>
    <s v="Anu"/>
    <s v="Female"/>
    <n v="37"/>
    <s v="Marketing"/>
    <s v="SEO Analyst"/>
    <x v="4"/>
    <s v="2025-03-14"/>
    <n v="5"/>
    <n v="87044"/>
    <n v="4.5"/>
    <n v="92.4"/>
    <n v="14"/>
    <n v="53"/>
    <n v="5910"/>
    <s v="Ramesh"/>
    <s v="Contract"/>
    <s v="Excellent"/>
    <s v="High"/>
    <s v="Mid Level"/>
    <n v="92954"/>
    <s v="Needs Improvement"/>
    <s v="Normal"/>
    <s v="Mid"/>
    <s v="35-44"/>
  </r>
  <r>
    <n v="1779"/>
    <s v="Vijay"/>
    <s v="Male"/>
    <n v="25"/>
    <s v="Finance"/>
    <s v="Financial Analyst"/>
    <x v="4"/>
    <s v="2021-07-12"/>
    <n v="9"/>
    <n v="49064"/>
    <n v="4"/>
    <n v="90.6"/>
    <n v="12"/>
    <n v="33"/>
    <n v="7044"/>
    <s v="Suresh"/>
    <s v="Contract"/>
    <s v="Good"/>
    <s v="Low"/>
    <s v="Senior"/>
    <n v="56108"/>
    <s v="Needs Improvement"/>
    <s v="Normal"/>
    <s v="Senior"/>
    <s v="25-34"/>
  </r>
  <r>
    <n v="1780"/>
    <s v="Varun"/>
    <s v="Female"/>
    <n v="44"/>
    <s v="HR"/>
    <s v="HR Executive"/>
    <x v="0"/>
    <s v="2018-06-07"/>
    <n v="8"/>
    <n v="57365"/>
    <n v="2.6"/>
    <n v="95.9"/>
    <n v="15"/>
    <n v="42"/>
    <n v="7195"/>
    <s v="Kavya"/>
    <s v="Full-Time"/>
    <s v="Needs Improvement"/>
    <s v="Medium"/>
    <s v="Senior"/>
    <n v="64560"/>
    <s v="Excellent"/>
    <s v="Normal"/>
    <s v="Senior"/>
    <s v="35-44"/>
  </r>
  <r>
    <n v="1781"/>
    <s v="Nikhil"/>
    <s v="Female"/>
    <n v="27"/>
    <s v="IT"/>
    <s v="Senior Developer"/>
    <x v="2"/>
    <s v="2025-04-15"/>
    <n v="5"/>
    <n v="32218"/>
    <n v="2.8"/>
    <n v="91.4"/>
    <n v="15"/>
    <n v="28"/>
    <n v="3538"/>
    <s v="Kavya"/>
    <s v="Contract"/>
    <s v="Needs Improvement"/>
    <s v="Low"/>
    <s v="Mid Level"/>
    <n v="35756"/>
    <s v="Needs Improvement"/>
    <s v="Normal"/>
    <s v="Mid"/>
    <s v="25-34"/>
  </r>
  <r>
    <n v="1782"/>
    <s v="Rahul"/>
    <s v="Female"/>
    <n v="34"/>
    <s v="Sales"/>
    <s v="Sales Manager"/>
    <x v="1"/>
    <s v="2025-05-12"/>
    <n v="5"/>
    <n v="90381"/>
    <n v="2.6"/>
    <n v="92.7"/>
    <n v="18"/>
    <n v="47"/>
    <n v="4374"/>
    <s v="Kavya"/>
    <s v="Full-Time"/>
    <s v="Needs Improvement"/>
    <s v="High"/>
    <s v="Mid Level"/>
    <n v="94755"/>
    <s v="Needs Improvement"/>
    <s v="Normal"/>
    <s v="Mid"/>
    <s v="25-34"/>
  </r>
  <r>
    <n v="1783"/>
    <s v="Harsha"/>
    <s v="Male"/>
    <n v="44"/>
    <s v="Marketing"/>
    <s v="Marketing Executive"/>
    <x v="2"/>
    <s v="2018-06-26"/>
    <n v="2"/>
    <n v="86648"/>
    <n v="4.8"/>
    <n v="82"/>
    <n v="16"/>
    <n v="31"/>
    <n v="10845"/>
    <s v="Ramesh"/>
    <s v="Full-Time"/>
    <s v="Excellent"/>
    <s v="High"/>
    <s v="Junior"/>
    <n v="97493"/>
    <s v="Needs Improvement"/>
    <s v="Normal"/>
    <s v="Junior"/>
    <s v="35-44"/>
  </r>
  <r>
    <n v="1784"/>
    <s v="Varun"/>
    <s v="Female"/>
    <n v="40"/>
    <s v="IT"/>
    <s v="Senior Developer"/>
    <x v="4"/>
    <s v="2019-01-22"/>
    <n v="5"/>
    <n v="78277"/>
    <n v="2.7"/>
    <n v="96.4"/>
    <n v="20"/>
    <n v="42"/>
    <n v="2660"/>
    <s v="Suresh"/>
    <s v="Full-Time"/>
    <s v="Needs Improvement"/>
    <s v="High"/>
    <s v="Mid Level"/>
    <n v="80937"/>
    <s v="Excellent"/>
    <s v="Normal"/>
    <s v="Mid"/>
    <s v="35-44"/>
  </r>
  <r>
    <n v="1785"/>
    <s v="Nikhil"/>
    <s v="Male"/>
    <n v="33"/>
    <s v="HR"/>
    <s v="HR Executive"/>
    <x v="1"/>
    <s v="2018-05-29"/>
    <n v="6"/>
    <n v="56978"/>
    <n v="4.3"/>
    <n v="82.2"/>
    <n v="3"/>
    <n v="24"/>
    <n v="7426"/>
    <s v="Amit"/>
    <s v="Full-Time"/>
    <s v="Good"/>
    <s v="Medium"/>
    <s v="Senior"/>
    <n v="64404"/>
    <s v="Needs Improvement"/>
    <s v="Normal"/>
    <s v="Mid"/>
    <s v="25-34"/>
  </r>
  <r>
    <n v="1786"/>
    <s v="Pooja"/>
    <s v="Male"/>
    <n v="37"/>
    <s v="Finance"/>
    <s v="Accountant"/>
    <x v="4"/>
    <s v="2019-01-20"/>
    <n v="6"/>
    <n v="65224"/>
    <n v="4.3"/>
    <n v="89.1"/>
    <n v="1"/>
    <n v="40"/>
    <n v="4297"/>
    <s v="Suresh"/>
    <s v="Contract"/>
    <s v="Good"/>
    <s v="Medium"/>
    <s v="Senior"/>
    <n v="69521"/>
    <s v="Needs Improvement"/>
    <s v="Normal"/>
    <s v="Mid"/>
    <s v="35-44"/>
  </r>
  <r>
    <n v="1787"/>
    <s v="Rahul"/>
    <s v="Male"/>
    <n v="26"/>
    <s v="Sales"/>
    <s v="Sales Manager"/>
    <x v="2"/>
    <s v="2019-09-05"/>
    <n v="1"/>
    <n v="41441"/>
    <n v="4.0999999999999996"/>
    <n v="95.5"/>
    <n v="9"/>
    <n v="41"/>
    <n v="12093"/>
    <s v="Kavya"/>
    <s v="Full-Time"/>
    <s v="Good"/>
    <s v="Low"/>
    <s v="Junior"/>
    <n v="53534"/>
    <s v="Excellent"/>
    <s v="Normal"/>
    <s v="Junior"/>
    <s v="25-34"/>
  </r>
  <r>
    <n v="1788"/>
    <s v="Manoj"/>
    <s v="Male"/>
    <n v="44"/>
    <s v="Sales"/>
    <s v="Sales Executive"/>
    <x v="0"/>
    <s v="2020-05-06"/>
    <n v="8"/>
    <n v="69085"/>
    <n v="2.5"/>
    <n v="83.6"/>
    <n v="18"/>
    <n v="31"/>
    <n v="3606"/>
    <s v="Suresh"/>
    <s v="Full-Time"/>
    <s v="Needs Improvement"/>
    <s v="Medium"/>
    <s v="Senior"/>
    <n v="72691"/>
    <s v="Needs Improvement"/>
    <s v="Normal"/>
    <s v="Senior"/>
    <s v="35-44"/>
  </r>
  <r>
    <n v="1789"/>
    <s v="Sonia"/>
    <s v="Male"/>
    <n v="42"/>
    <s v="HR"/>
    <s v="HR Manager"/>
    <x v="4"/>
    <s v="2018-11-16"/>
    <n v="1"/>
    <n v="29199"/>
    <n v="4.9000000000000004"/>
    <n v="92.6"/>
    <n v="17"/>
    <n v="45"/>
    <n v="3754"/>
    <s v="Suresh"/>
    <s v="Contract"/>
    <s v="Excellent"/>
    <s v="Low"/>
    <s v="Junior"/>
    <n v="32953"/>
    <s v="Needs Improvement"/>
    <s v="Normal"/>
    <s v="Junior"/>
    <s v="35-44"/>
  </r>
  <r>
    <n v="1790"/>
    <s v="Sneha"/>
    <s v="Female"/>
    <n v="34"/>
    <s v="Finance"/>
    <s v="Accountant"/>
    <x v="4"/>
    <s v="2022-04-10"/>
    <n v="0"/>
    <n v="30991"/>
    <n v="4.2"/>
    <n v="88.9"/>
    <n v="3"/>
    <n v="58"/>
    <n v="5088"/>
    <s v="Suresh"/>
    <s v="Contract"/>
    <s v="Good"/>
    <s v="Low"/>
    <s v="Junior"/>
    <n v="36079"/>
    <s v="Needs Improvement"/>
    <s v="Normal"/>
    <s v="Junior"/>
    <s v="25-34"/>
  </r>
  <r>
    <n v="1791"/>
    <s v="Anu"/>
    <s v="Male"/>
    <n v="27"/>
    <s v="Marketing"/>
    <s v="SEO Analyst"/>
    <x v="2"/>
    <s v="2019-05-22"/>
    <n v="5"/>
    <n v="26859"/>
    <n v="2.7"/>
    <n v="97.4"/>
    <n v="20"/>
    <n v="53"/>
    <n v="12322"/>
    <s v="Anitha"/>
    <s v="Contract"/>
    <s v="Needs Improvement"/>
    <s v="Low"/>
    <s v="Mid Level"/>
    <n v="39181"/>
    <s v="Excellent"/>
    <s v="Normal"/>
    <s v="Mid"/>
    <s v="25-34"/>
  </r>
  <r>
    <n v="1792"/>
    <s v="Manoj"/>
    <s v="Female"/>
    <n v="23"/>
    <s v="Finance"/>
    <s v="Accountant"/>
    <x v="3"/>
    <s v="2020-03-11"/>
    <n v="2"/>
    <n v="30228"/>
    <n v="4.9000000000000004"/>
    <n v="84.6"/>
    <n v="20"/>
    <n v="5"/>
    <n v="7044"/>
    <s v="Kavya"/>
    <s v="Full-Time"/>
    <s v="Excellent"/>
    <s v="Low"/>
    <s v="Junior"/>
    <n v="37272"/>
    <s v="Needs Improvement"/>
    <s v="Normal"/>
    <s v="Junior"/>
    <s v="20-24"/>
  </r>
  <r>
    <n v="1793"/>
    <s v="Arjun"/>
    <s v="Female"/>
    <n v="39"/>
    <s v="HR"/>
    <s v="HR Executive"/>
    <x v="1"/>
    <s v="2018-03-30"/>
    <n v="10"/>
    <n v="34025"/>
    <n v="2.5"/>
    <n v="83"/>
    <n v="15"/>
    <n v="30"/>
    <n v="6903"/>
    <s v="Ramesh"/>
    <s v="Contract"/>
    <s v="Needs Improvement"/>
    <s v="Low"/>
    <s v="Senior"/>
    <n v="40928"/>
    <s v="Needs Improvement"/>
    <s v="Normal"/>
    <s v="Senior"/>
    <s v="35-44"/>
  </r>
  <r>
    <n v="1794"/>
    <s v="Priya"/>
    <s v="Female"/>
    <n v="34"/>
    <s v="Marketing"/>
    <s v="SEO Analyst"/>
    <x v="1"/>
    <s v="2019-12-14"/>
    <n v="10"/>
    <n v="83790"/>
    <n v="3.6"/>
    <n v="93.6"/>
    <n v="22"/>
    <n v="15"/>
    <n v="1269"/>
    <s v="Kavya"/>
    <s v="Contract"/>
    <s v="Average"/>
    <s v="High"/>
    <s v="Senior"/>
    <n v="85059"/>
    <s v="Needs Improvement"/>
    <s v="High"/>
    <s v="Senior"/>
    <s v="25-34"/>
  </r>
  <r>
    <n v="1795"/>
    <s v="Kiran"/>
    <s v="Male"/>
    <n v="25"/>
    <s v="Marketing"/>
    <s v="Marketing Executive"/>
    <x v="1"/>
    <s v="2023-11-14"/>
    <n v="10"/>
    <n v="41922"/>
    <n v="3.7"/>
    <n v="87.3"/>
    <n v="22"/>
    <n v="18"/>
    <n v="10658"/>
    <s v="Ramesh"/>
    <s v="Contract"/>
    <s v="Average"/>
    <s v="Low"/>
    <s v="Senior"/>
    <n v="52580"/>
    <s v="Needs Improvement"/>
    <s v="High"/>
    <s v="Senior"/>
    <s v="25-34"/>
  </r>
  <r>
    <n v="1796"/>
    <s v="Manoj"/>
    <s v="Female"/>
    <n v="41"/>
    <s v="HR"/>
    <s v="HR Manager"/>
    <x v="3"/>
    <s v="2021-04-03"/>
    <n v="3"/>
    <n v="72136"/>
    <n v="3.7"/>
    <n v="88.8"/>
    <n v="6"/>
    <n v="52"/>
    <n v="3226"/>
    <s v="Anitha"/>
    <s v="Full-Time"/>
    <s v="Average"/>
    <s v="High"/>
    <s v="Mid Level"/>
    <n v="75362"/>
    <s v="Needs Improvement"/>
    <s v="Normal"/>
    <s v="Mid"/>
    <s v="35-44"/>
  </r>
  <r>
    <n v="1797"/>
    <s v="Sonia"/>
    <s v="Female"/>
    <n v="39"/>
    <s v="Sales"/>
    <s v="Sales Executive"/>
    <x v="0"/>
    <s v="2018-09-09"/>
    <n v="0"/>
    <n v="85901"/>
    <n v="4.5"/>
    <n v="88.6"/>
    <n v="17"/>
    <n v="56"/>
    <n v="14679"/>
    <s v="Suresh"/>
    <s v="Contract"/>
    <s v="Excellent"/>
    <s v="High"/>
    <s v="Junior"/>
    <n v="100580"/>
    <s v="Needs Improvement"/>
    <s v="Normal"/>
    <s v="Junior"/>
    <s v="35-44"/>
  </r>
  <r>
    <n v="1798"/>
    <s v="Divya"/>
    <s v="Female"/>
    <n v="24"/>
    <s v="IT"/>
    <s v="Data Analyst"/>
    <x v="4"/>
    <s v="2019-02-15"/>
    <n v="8"/>
    <n v="92439"/>
    <n v="4.9000000000000004"/>
    <n v="96.6"/>
    <n v="22"/>
    <n v="41"/>
    <n v="11031"/>
    <s v="Anitha"/>
    <s v="Full-Time"/>
    <s v="Excellent"/>
    <s v="High"/>
    <s v="Senior"/>
    <n v="103470"/>
    <s v="Excellent"/>
    <s v="High"/>
    <s v="Senior"/>
    <s v="20-24"/>
  </r>
  <r>
    <n v="1799"/>
    <s v="Keerthi"/>
    <s v="Male"/>
    <n v="26"/>
    <s v="Marketing"/>
    <s v="SEO Analyst"/>
    <x v="3"/>
    <s v="2022-07-22"/>
    <n v="7"/>
    <n v="63058"/>
    <n v="3.1"/>
    <n v="90.3"/>
    <n v="7"/>
    <n v="7"/>
    <n v="5036"/>
    <s v="Anitha"/>
    <s v="Contract"/>
    <s v="Average"/>
    <s v="Medium"/>
    <s v="Senior"/>
    <n v="68094"/>
    <s v="Needs Improvement"/>
    <s v="Normal"/>
    <s v="Senior"/>
    <s v="25-34"/>
  </r>
  <r>
    <n v="1800"/>
    <s v="Keerthi"/>
    <s v="Female"/>
    <n v="41"/>
    <s v="Finance"/>
    <s v="Accountant"/>
    <x v="1"/>
    <s v="2024-11-30"/>
    <n v="7"/>
    <n v="57975"/>
    <n v="3"/>
    <n v="87.5"/>
    <n v="17"/>
    <n v="46"/>
    <n v="6916"/>
    <s v="Amit"/>
    <s v="Full-Time"/>
    <s v="Average"/>
    <s v="Medium"/>
    <s v="Senior"/>
    <n v="64891"/>
    <s v="Needs Improvement"/>
    <s v="Normal"/>
    <s v="Senior"/>
    <s v="35-44"/>
  </r>
  <r>
    <n v="1801"/>
    <s v="Sai"/>
    <s v="Male"/>
    <n v="38"/>
    <s v="Marketing"/>
    <s v="SEO Analyst"/>
    <x v="2"/>
    <s v="2022-08-10"/>
    <n v="10"/>
    <n v="47533"/>
    <n v="4.0999999999999996"/>
    <n v="99.6"/>
    <n v="17"/>
    <n v="52"/>
    <n v="9846"/>
    <s v="Ramesh"/>
    <s v="Contract"/>
    <s v="Good"/>
    <s v="Low"/>
    <s v="Senior"/>
    <n v="57379"/>
    <s v="Excellent"/>
    <s v="Normal"/>
    <s v="Senior"/>
    <s v="35-44"/>
  </r>
  <r>
    <n v="1802"/>
    <s v="Vijay"/>
    <s v="Female"/>
    <n v="43"/>
    <s v="Sales"/>
    <s v="Sales Executive"/>
    <x v="2"/>
    <s v="2023-08-11"/>
    <n v="0"/>
    <n v="52943"/>
    <n v="4.4000000000000004"/>
    <n v="88.2"/>
    <n v="11"/>
    <n v="5"/>
    <n v="1815"/>
    <s v="Ramesh"/>
    <s v="Full-Time"/>
    <s v="Good"/>
    <s v="Medium"/>
    <s v="Junior"/>
    <n v="54758"/>
    <s v="Needs Improvement"/>
    <s v="Normal"/>
    <s v="Junior"/>
    <s v="35-44"/>
  </r>
  <r>
    <n v="1803"/>
    <s v="Varun"/>
    <s v="Female"/>
    <n v="29"/>
    <s v="Finance"/>
    <s v="Financial Analyst"/>
    <x v="3"/>
    <s v="2020-05-13"/>
    <n v="7"/>
    <n v="45344"/>
    <n v="2.9"/>
    <n v="95.3"/>
    <n v="2"/>
    <n v="60"/>
    <n v="8779"/>
    <s v="Kavya"/>
    <s v="Contract"/>
    <s v="Needs Improvement"/>
    <s v="Low"/>
    <s v="Senior"/>
    <n v="54123"/>
    <s v="Excellent"/>
    <s v="Normal"/>
    <s v="Senior"/>
    <s v="25-34"/>
  </r>
  <r>
    <n v="1804"/>
    <s v="Anu"/>
    <s v="Male"/>
    <n v="26"/>
    <s v="Marketing"/>
    <s v="SEO Analyst"/>
    <x v="4"/>
    <s v="2021-04-13"/>
    <n v="1"/>
    <n v="28228"/>
    <n v="3.3"/>
    <n v="94.7"/>
    <n v="20"/>
    <n v="45"/>
    <n v="4318"/>
    <s v="Ramesh"/>
    <s v="Full-Time"/>
    <s v="Average"/>
    <s v="Low"/>
    <s v="Junior"/>
    <n v="32546"/>
    <s v="Needs Improvement"/>
    <s v="Normal"/>
    <s v="Junior"/>
    <s v="25-34"/>
  </r>
  <r>
    <n v="1805"/>
    <s v="Sai"/>
    <s v="Male"/>
    <n v="28"/>
    <s v="Sales"/>
    <s v="Sales Executive"/>
    <x v="1"/>
    <s v="2020-11-02"/>
    <n v="5"/>
    <n v="29415"/>
    <n v="4.0999999999999996"/>
    <n v="89.6"/>
    <n v="19"/>
    <n v="49"/>
    <n v="3030"/>
    <s v="Suresh"/>
    <s v="Contract"/>
    <s v="Good"/>
    <s v="Low"/>
    <s v="Mid Level"/>
    <n v="32445"/>
    <s v="Needs Improvement"/>
    <s v="Normal"/>
    <s v="Mid"/>
    <s v="25-34"/>
  </r>
  <r>
    <n v="1806"/>
    <s v="Pooja"/>
    <s v="Female"/>
    <n v="30"/>
    <s v="HR"/>
    <s v="HR Executive"/>
    <x v="2"/>
    <s v="2023-12-25"/>
    <n v="5"/>
    <n v="54602"/>
    <n v="3.7"/>
    <n v="84.2"/>
    <n v="12"/>
    <n v="12"/>
    <n v="4770"/>
    <s v="Ramesh"/>
    <s v="Full-Time"/>
    <s v="Average"/>
    <s v="Medium"/>
    <s v="Mid Level"/>
    <n v="59372"/>
    <s v="Needs Improvement"/>
    <s v="Normal"/>
    <s v="Mid"/>
    <s v="25-34"/>
  </r>
  <r>
    <n v="1807"/>
    <s v="Anu"/>
    <s v="Male"/>
    <n v="41"/>
    <s v="Sales"/>
    <s v="Sales Executive"/>
    <x v="0"/>
    <s v="2021-02-14"/>
    <n v="2"/>
    <n v="55225"/>
    <n v="4.7"/>
    <n v="87.7"/>
    <n v="11"/>
    <n v="20"/>
    <n v="6935"/>
    <s v="Ramesh"/>
    <s v="Full-Time"/>
    <s v="Excellent"/>
    <s v="Medium"/>
    <s v="Junior"/>
    <n v="62160"/>
    <s v="Needs Improvement"/>
    <s v="Normal"/>
    <s v="Junior"/>
    <s v="35-44"/>
  </r>
  <r>
    <n v="1808"/>
    <s v="Rahul"/>
    <s v="Male"/>
    <n v="29"/>
    <s v="Sales"/>
    <s v="Sales Manager"/>
    <x v="2"/>
    <s v="2019-05-26"/>
    <n v="2"/>
    <n v="73433"/>
    <n v="3.7"/>
    <n v="87.5"/>
    <n v="7"/>
    <n v="47"/>
    <n v="11335"/>
    <s v="Ramesh"/>
    <s v="Contract"/>
    <s v="Average"/>
    <s v="High"/>
    <s v="Junior"/>
    <n v="84768"/>
    <s v="Needs Improvement"/>
    <s v="Normal"/>
    <s v="Junior"/>
    <s v="25-34"/>
  </r>
  <r>
    <n v="1809"/>
    <s v="Ravi"/>
    <s v="Female"/>
    <n v="44"/>
    <s v="IT"/>
    <s v="Software Engineer"/>
    <x v="0"/>
    <s v="2024-04-13"/>
    <n v="2"/>
    <n v="67572"/>
    <n v="3.9"/>
    <n v="90.4"/>
    <n v="17"/>
    <n v="6"/>
    <n v="3980"/>
    <s v="Anitha"/>
    <s v="Contract"/>
    <s v="Average"/>
    <s v="Medium"/>
    <s v="Junior"/>
    <n v="71552"/>
    <s v="Needs Improvement"/>
    <s v="Normal"/>
    <s v="Junior"/>
    <s v="35-44"/>
  </r>
  <r>
    <n v="1810"/>
    <s v="Manoj"/>
    <s v="Female"/>
    <n v="41"/>
    <s v="IT"/>
    <s v="Data Analyst"/>
    <x v="2"/>
    <s v="2024-07-10"/>
    <n v="3"/>
    <n v="43986"/>
    <n v="4.0999999999999996"/>
    <n v="88.5"/>
    <n v="25"/>
    <n v="42"/>
    <n v="8446"/>
    <s v="Kavya"/>
    <s v="Full-Time"/>
    <s v="Good"/>
    <s v="Low"/>
    <s v="Mid Level"/>
    <n v="52432"/>
    <s v="Needs Improvement"/>
    <s v="High"/>
    <s v="Mid"/>
    <s v="35-44"/>
  </r>
  <r>
    <n v="1811"/>
    <s v="Ravi"/>
    <s v="Male"/>
    <n v="44"/>
    <s v="HR"/>
    <s v="HR Manager"/>
    <x v="4"/>
    <s v="2024-03-23"/>
    <n v="3"/>
    <n v="41703"/>
    <n v="4.3"/>
    <n v="82.5"/>
    <n v="23"/>
    <n v="27"/>
    <n v="11987"/>
    <s v="Suresh"/>
    <s v="Contract"/>
    <s v="Good"/>
    <s v="Low"/>
    <s v="Mid Level"/>
    <n v="53690"/>
    <s v="Needs Improvement"/>
    <s v="High"/>
    <s v="Mid"/>
    <s v="35-44"/>
  </r>
  <r>
    <n v="1812"/>
    <s v="Keerthi"/>
    <s v="Female"/>
    <n v="44"/>
    <s v="IT"/>
    <s v="Senior Developer"/>
    <x v="2"/>
    <s v="2021-11-09"/>
    <n v="8"/>
    <n v="61278"/>
    <n v="3.6"/>
    <n v="99.8"/>
    <n v="19"/>
    <n v="55"/>
    <n v="10054"/>
    <s v="Amit"/>
    <s v="Full-Time"/>
    <s v="Average"/>
    <s v="Medium"/>
    <s v="Senior"/>
    <n v="71332"/>
    <s v="Excellent"/>
    <s v="Normal"/>
    <s v="Senior"/>
    <s v="35-44"/>
  </r>
  <r>
    <n v="1813"/>
    <s v="Priya"/>
    <s v="Male"/>
    <n v="40"/>
    <s v="Sales"/>
    <s v="Sales Manager"/>
    <x v="4"/>
    <s v="2024-12-01"/>
    <n v="3"/>
    <n v="85153"/>
    <n v="4.0999999999999996"/>
    <n v="85.8"/>
    <n v="7"/>
    <n v="30"/>
    <n v="11696"/>
    <s v="Amit"/>
    <s v="Full-Time"/>
    <s v="Good"/>
    <s v="High"/>
    <s v="Mid Level"/>
    <n v="96849"/>
    <s v="Needs Improvement"/>
    <s v="Normal"/>
    <s v="Mid"/>
    <s v="35-44"/>
  </r>
  <r>
    <n v="1814"/>
    <s v="Ajay"/>
    <s v="Male"/>
    <n v="27"/>
    <s v="HR"/>
    <s v="HR Executive"/>
    <x v="4"/>
    <s v="2021-02-27"/>
    <n v="6"/>
    <n v="28862"/>
    <n v="3.1"/>
    <n v="87.5"/>
    <n v="19"/>
    <n v="47"/>
    <n v="2738"/>
    <s v="Ramesh"/>
    <s v="Full-Time"/>
    <s v="Average"/>
    <s v="Low"/>
    <s v="Senior"/>
    <n v="31600"/>
    <s v="Needs Improvement"/>
    <s v="Normal"/>
    <s v="Mid"/>
    <s v="25-34"/>
  </r>
  <r>
    <n v="1815"/>
    <s v="Vijay"/>
    <s v="Female"/>
    <n v="38"/>
    <s v="Sales"/>
    <s v="Sales Executive"/>
    <x v="1"/>
    <s v="2025-04-20"/>
    <n v="3"/>
    <n v="37586"/>
    <n v="2.6"/>
    <n v="95.8"/>
    <n v="0"/>
    <n v="35"/>
    <n v="4331"/>
    <s v="Kavya"/>
    <s v="Contract"/>
    <s v="Needs Improvement"/>
    <s v="Low"/>
    <s v="Mid Level"/>
    <n v="41917"/>
    <s v="Excellent"/>
    <s v="Normal"/>
    <s v="Mid"/>
    <s v="35-44"/>
  </r>
  <r>
    <n v="1816"/>
    <s v="Ajay"/>
    <s v="Male"/>
    <n v="26"/>
    <s v="IT"/>
    <s v="Data Analyst"/>
    <x v="2"/>
    <s v="2020-12-10"/>
    <n v="0"/>
    <n v="26795"/>
    <n v="4.3"/>
    <n v="87.8"/>
    <n v="19"/>
    <n v="53"/>
    <n v="14654"/>
    <s v="Suresh"/>
    <s v="Full-Time"/>
    <s v="Good"/>
    <s v="Low"/>
    <s v="Junior"/>
    <n v="41449"/>
    <s v="Needs Improvement"/>
    <s v="Normal"/>
    <s v="Junior"/>
    <s v="25-34"/>
  </r>
  <r>
    <n v="1817"/>
    <s v="Divya"/>
    <s v="Male"/>
    <n v="29"/>
    <s v="Finance"/>
    <s v="Financial Analyst"/>
    <x v="3"/>
    <s v="2023-03-30"/>
    <n v="6"/>
    <n v="38665"/>
    <n v="3.1"/>
    <n v="85.3"/>
    <n v="6"/>
    <n v="41"/>
    <n v="10652"/>
    <s v="Amit"/>
    <s v="Full-Time"/>
    <s v="Average"/>
    <s v="Low"/>
    <s v="Senior"/>
    <n v="49317"/>
    <s v="Needs Improvement"/>
    <s v="Normal"/>
    <s v="Mid"/>
    <s v="25-34"/>
  </r>
  <r>
    <n v="1818"/>
    <s v="Meena"/>
    <s v="Male"/>
    <n v="24"/>
    <s v="HR"/>
    <s v="HR Executive"/>
    <x v="4"/>
    <s v="2018-11-23"/>
    <n v="1"/>
    <n v="63350"/>
    <n v="2.6"/>
    <n v="88"/>
    <n v="11"/>
    <n v="30"/>
    <n v="9838"/>
    <s v="Ramesh"/>
    <s v="Full-Time"/>
    <s v="Needs Improvement"/>
    <s v="Medium"/>
    <s v="Junior"/>
    <n v="73188"/>
    <s v="Needs Improvement"/>
    <s v="Normal"/>
    <s v="Junior"/>
    <s v="20-24"/>
  </r>
  <r>
    <n v="1819"/>
    <s v="Kiran"/>
    <s v="Female"/>
    <n v="23"/>
    <s v="Marketing"/>
    <s v="Marketing Executive"/>
    <x v="4"/>
    <s v="2018-03-29"/>
    <n v="7"/>
    <n v="69733"/>
    <n v="4.0999999999999996"/>
    <n v="91"/>
    <n v="25"/>
    <n v="12"/>
    <n v="10266"/>
    <s v="Ramesh"/>
    <s v="Full-Time"/>
    <s v="Good"/>
    <s v="Medium"/>
    <s v="Senior"/>
    <n v="79999"/>
    <s v="Needs Improvement"/>
    <s v="High"/>
    <s v="Senior"/>
    <s v="20-24"/>
  </r>
  <r>
    <n v="1820"/>
    <s v="Divya"/>
    <s v="Male"/>
    <n v="25"/>
    <s v="IT"/>
    <s v="Senior Developer"/>
    <x v="2"/>
    <s v="2018-11-04"/>
    <n v="1"/>
    <n v="59221"/>
    <n v="3.8"/>
    <n v="96.3"/>
    <n v="12"/>
    <n v="16"/>
    <n v="14491"/>
    <s v="Ramesh"/>
    <s v="Full-Time"/>
    <s v="Average"/>
    <s v="Medium"/>
    <s v="Junior"/>
    <n v="73712"/>
    <s v="Excellent"/>
    <s v="Normal"/>
    <s v="Junior"/>
    <s v="25-34"/>
  </r>
  <r>
    <n v="1821"/>
    <s v="Nikhil"/>
    <s v="Female"/>
    <n v="35"/>
    <s v="Marketing"/>
    <s v="Marketing Executive"/>
    <x v="0"/>
    <s v="2019-07-25"/>
    <n v="5"/>
    <n v="28648"/>
    <n v="4.3"/>
    <n v="95"/>
    <n v="3"/>
    <n v="49"/>
    <n v="3355"/>
    <s v="Ramesh"/>
    <s v="Full-Time"/>
    <s v="Good"/>
    <s v="Low"/>
    <s v="Mid Level"/>
    <n v="32003"/>
    <s v="Excellent"/>
    <s v="Normal"/>
    <s v="Mid"/>
    <s v="35-44"/>
  </r>
  <r>
    <n v="1822"/>
    <s v="Kiran"/>
    <s v="Male"/>
    <n v="32"/>
    <s v="Marketing"/>
    <s v="SEO Analyst"/>
    <x v="2"/>
    <s v="2021-10-24"/>
    <n v="4"/>
    <n v="79896"/>
    <n v="3"/>
    <n v="87.6"/>
    <n v="9"/>
    <n v="28"/>
    <n v="1359"/>
    <s v="Suresh"/>
    <s v="Contract"/>
    <s v="Average"/>
    <s v="High"/>
    <s v="Mid Level"/>
    <n v="81255"/>
    <s v="Needs Improvement"/>
    <s v="Normal"/>
    <s v="Mid"/>
    <s v="25-34"/>
  </r>
  <r>
    <n v="1823"/>
    <s v="Deepa"/>
    <s v="Female"/>
    <n v="45"/>
    <s v="Sales"/>
    <s v="Sales Executive"/>
    <x v="2"/>
    <s v="2021-01-03"/>
    <n v="4"/>
    <n v="48007"/>
    <n v="4.2"/>
    <n v="94.8"/>
    <n v="21"/>
    <n v="45"/>
    <n v="7484"/>
    <s v="Ramesh"/>
    <s v="Contract"/>
    <s v="Good"/>
    <s v="Low"/>
    <s v="Mid Level"/>
    <n v="55491"/>
    <s v="Needs Improvement"/>
    <s v="High"/>
    <s v="Mid"/>
    <s v="45+"/>
  </r>
  <r>
    <n v="1824"/>
    <s v="Ajay"/>
    <s v="Female"/>
    <n v="40"/>
    <s v="HR"/>
    <s v="HR Executive"/>
    <x v="4"/>
    <s v="2019-09-06"/>
    <n v="9"/>
    <n v="87095"/>
    <n v="3.8"/>
    <n v="95.2"/>
    <n v="6"/>
    <n v="34"/>
    <n v="1854"/>
    <s v="Suresh"/>
    <s v="Full-Time"/>
    <s v="Average"/>
    <s v="High"/>
    <s v="Senior"/>
    <n v="88949"/>
    <s v="Excellent"/>
    <s v="Normal"/>
    <s v="Senior"/>
    <s v="35-44"/>
  </r>
  <r>
    <n v="1825"/>
    <s v="Harsha"/>
    <s v="Female"/>
    <n v="23"/>
    <s v="Finance"/>
    <s v="Financial Analyst"/>
    <x v="0"/>
    <s v="2021-04-05"/>
    <n v="7"/>
    <n v="67225"/>
    <n v="3.6"/>
    <n v="96.1"/>
    <n v="4"/>
    <n v="6"/>
    <n v="6641"/>
    <s v="Amit"/>
    <s v="Contract"/>
    <s v="Average"/>
    <s v="Medium"/>
    <s v="Senior"/>
    <n v="73866"/>
    <s v="Excellent"/>
    <s v="Normal"/>
    <s v="Senior"/>
    <s v="20-24"/>
  </r>
  <r>
    <n v="1826"/>
    <s v="Varun"/>
    <s v="Male"/>
    <n v="28"/>
    <s v="Marketing"/>
    <s v="Marketing Executive"/>
    <x v="0"/>
    <s v="2018-07-31"/>
    <n v="7"/>
    <n v="57339"/>
    <n v="4.9000000000000004"/>
    <n v="89.2"/>
    <n v="2"/>
    <n v="16"/>
    <n v="3321"/>
    <s v="Suresh"/>
    <s v="Contract"/>
    <s v="Excellent"/>
    <s v="Medium"/>
    <s v="Senior"/>
    <n v="60660"/>
    <s v="Needs Improvement"/>
    <s v="Normal"/>
    <s v="Senior"/>
    <s v="25-34"/>
  </r>
  <r>
    <n v="1827"/>
    <s v="Keerthi"/>
    <s v="Female"/>
    <n v="35"/>
    <s v="HR"/>
    <s v="HR Executive"/>
    <x v="3"/>
    <s v="2025-03-23"/>
    <n v="7"/>
    <n v="52804"/>
    <n v="4.9000000000000004"/>
    <n v="87.3"/>
    <n v="0"/>
    <n v="31"/>
    <n v="2064"/>
    <s v="Ramesh"/>
    <s v="Contract"/>
    <s v="Excellent"/>
    <s v="Medium"/>
    <s v="Senior"/>
    <n v="54868"/>
    <s v="Needs Improvement"/>
    <s v="Normal"/>
    <s v="Senior"/>
    <s v="35-44"/>
  </r>
  <r>
    <n v="1828"/>
    <s v="Ajay"/>
    <s v="Female"/>
    <n v="31"/>
    <s v="Finance"/>
    <s v="Financial Analyst"/>
    <x v="2"/>
    <s v="2018-02-13"/>
    <n v="9"/>
    <n v="45374"/>
    <n v="2.7"/>
    <n v="89.1"/>
    <n v="19"/>
    <n v="41"/>
    <n v="11195"/>
    <s v="Kavya"/>
    <s v="Full-Time"/>
    <s v="Needs Improvement"/>
    <s v="Low"/>
    <s v="Senior"/>
    <n v="56569"/>
    <s v="Needs Improvement"/>
    <s v="Normal"/>
    <s v="Senior"/>
    <s v="25-34"/>
  </r>
  <r>
    <n v="1829"/>
    <s v="Nikhil"/>
    <s v="Male"/>
    <n v="41"/>
    <s v="Sales"/>
    <s v="Sales Executive"/>
    <x v="4"/>
    <s v="2018-01-07"/>
    <n v="9"/>
    <n v="39745"/>
    <n v="3.3"/>
    <n v="85.3"/>
    <n v="11"/>
    <n v="59"/>
    <n v="8586"/>
    <s v="Kavya"/>
    <s v="Contract"/>
    <s v="Average"/>
    <s v="Low"/>
    <s v="Senior"/>
    <n v="48331"/>
    <s v="Needs Improvement"/>
    <s v="Normal"/>
    <s v="Senior"/>
    <s v="35-44"/>
  </r>
  <r>
    <n v="1830"/>
    <s v="Deepa"/>
    <s v="Female"/>
    <n v="22"/>
    <s v="Marketing"/>
    <s v="Marketing Executive"/>
    <x v="2"/>
    <s v="2020-03-15"/>
    <n v="9"/>
    <n v="28516"/>
    <n v="4.7"/>
    <n v="96.3"/>
    <n v="17"/>
    <n v="24"/>
    <n v="3567"/>
    <s v="Suresh"/>
    <s v="Contract"/>
    <s v="Excellent"/>
    <s v="Low"/>
    <s v="Senior"/>
    <n v="32083"/>
    <s v="Excellent"/>
    <s v="Normal"/>
    <s v="Senior"/>
    <s v="20-24"/>
  </r>
  <r>
    <n v="1831"/>
    <s v="Harsha"/>
    <s v="Female"/>
    <n v="36"/>
    <s v="Marketing"/>
    <s v="SEO Analyst"/>
    <x v="0"/>
    <s v="2020-06-17"/>
    <n v="2"/>
    <n v="68903"/>
    <n v="4.4000000000000004"/>
    <n v="94.3"/>
    <n v="19"/>
    <n v="60"/>
    <n v="7804"/>
    <s v="Suresh"/>
    <s v="Full-Time"/>
    <s v="Good"/>
    <s v="Medium"/>
    <s v="Junior"/>
    <n v="76707"/>
    <s v="Needs Improvement"/>
    <s v="Normal"/>
    <s v="Junior"/>
    <s v="35-44"/>
  </r>
  <r>
    <n v="1832"/>
    <s v="Arjun"/>
    <s v="Female"/>
    <n v="38"/>
    <s v="Finance"/>
    <s v="Accountant"/>
    <x v="1"/>
    <s v="2020-02-03"/>
    <n v="6"/>
    <n v="87599"/>
    <n v="3.8"/>
    <n v="97.4"/>
    <n v="11"/>
    <n v="32"/>
    <n v="10773"/>
    <s v="Anitha"/>
    <s v="Contract"/>
    <s v="Average"/>
    <s v="High"/>
    <s v="Senior"/>
    <n v="98372"/>
    <s v="Excellent"/>
    <s v="Normal"/>
    <s v="Mid"/>
    <s v="35-44"/>
  </r>
  <r>
    <n v="1833"/>
    <s v="Arjun"/>
    <s v="Female"/>
    <n v="24"/>
    <s v="HR"/>
    <s v="HR Manager"/>
    <x v="4"/>
    <s v="2020-02-08"/>
    <n v="5"/>
    <n v="82592"/>
    <n v="3.2"/>
    <n v="87.7"/>
    <n v="17"/>
    <n v="57"/>
    <n v="12907"/>
    <s v="Ramesh"/>
    <s v="Full-Time"/>
    <s v="Average"/>
    <s v="High"/>
    <s v="Mid Level"/>
    <n v="95499"/>
    <s v="Needs Improvement"/>
    <s v="Normal"/>
    <s v="Mid"/>
    <s v="20-24"/>
  </r>
  <r>
    <n v="1834"/>
    <s v="Divya"/>
    <s v="Male"/>
    <n v="42"/>
    <s v="IT"/>
    <s v="Software Engineer"/>
    <x v="0"/>
    <s v="2023-03-17"/>
    <n v="2"/>
    <n v="41728"/>
    <n v="3.4"/>
    <n v="94.4"/>
    <n v="3"/>
    <n v="41"/>
    <n v="5455"/>
    <s v="Amit"/>
    <s v="Contract"/>
    <s v="Average"/>
    <s v="Low"/>
    <s v="Junior"/>
    <n v="47183"/>
    <s v="Needs Improvement"/>
    <s v="Normal"/>
    <s v="Junior"/>
    <s v="35-44"/>
  </r>
  <r>
    <n v="1835"/>
    <s v="Sneha"/>
    <s v="Female"/>
    <n v="30"/>
    <s v="IT"/>
    <s v="Software Engineer"/>
    <x v="0"/>
    <s v="2022-07-23"/>
    <n v="4"/>
    <n v="77777"/>
    <n v="2.6"/>
    <n v="90.2"/>
    <n v="25"/>
    <n v="50"/>
    <n v="9090"/>
    <s v="Ramesh"/>
    <s v="Contract"/>
    <s v="Needs Improvement"/>
    <s v="High"/>
    <s v="Mid Level"/>
    <n v="86867"/>
    <s v="Needs Improvement"/>
    <s v="High"/>
    <s v="Mid"/>
    <s v="25-34"/>
  </r>
  <r>
    <n v="1836"/>
    <s v="Divya"/>
    <s v="Female"/>
    <n v="45"/>
    <s v="IT"/>
    <s v="Software Engineer"/>
    <x v="4"/>
    <s v="2020-07-17"/>
    <n v="2"/>
    <n v="42957"/>
    <n v="2.6"/>
    <n v="97.1"/>
    <n v="0"/>
    <n v="56"/>
    <n v="5038"/>
    <s v="Kavya"/>
    <s v="Full-Time"/>
    <s v="Needs Improvement"/>
    <s v="Low"/>
    <s v="Junior"/>
    <n v="47995"/>
    <s v="Excellent"/>
    <s v="Normal"/>
    <s v="Junior"/>
    <s v="45+"/>
  </r>
  <r>
    <n v="1837"/>
    <s v="Varun"/>
    <s v="Male"/>
    <n v="27"/>
    <s v="Marketing"/>
    <s v="SEO Analyst"/>
    <x v="4"/>
    <s v="2024-05-19"/>
    <n v="3"/>
    <n v="47143"/>
    <n v="4.2"/>
    <n v="92.1"/>
    <n v="13"/>
    <n v="59"/>
    <n v="9354"/>
    <s v="Suresh"/>
    <s v="Full-Time"/>
    <s v="Good"/>
    <s v="Low"/>
    <s v="Mid Level"/>
    <n v="56497"/>
    <s v="Needs Improvement"/>
    <s v="Normal"/>
    <s v="Mid"/>
    <s v="25-34"/>
  </r>
  <r>
    <n v="1838"/>
    <s v="Vijay"/>
    <s v="Male"/>
    <n v="42"/>
    <s v="Sales"/>
    <s v="Sales Manager"/>
    <x v="0"/>
    <s v="2018-08-12"/>
    <n v="3"/>
    <n v="88056"/>
    <n v="4.0999999999999996"/>
    <n v="95.1"/>
    <n v="23"/>
    <n v="60"/>
    <n v="14583"/>
    <s v="Suresh"/>
    <s v="Full-Time"/>
    <s v="Good"/>
    <s v="High"/>
    <s v="Mid Level"/>
    <n v="102639"/>
    <s v="Excellent"/>
    <s v="High"/>
    <s v="Mid"/>
    <s v="35-44"/>
  </r>
  <r>
    <n v="1839"/>
    <s v="Vijay"/>
    <s v="Male"/>
    <n v="34"/>
    <s v="Finance"/>
    <s v="Accountant"/>
    <x v="0"/>
    <s v="2020-04-12"/>
    <n v="0"/>
    <n v="45891"/>
    <n v="3.1"/>
    <n v="93"/>
    <n v="22"/>
    <n v="42"/>
    <n v="8272"/>
    <s v="Amit"/>
    <s v="Contract"/>
    <s v="Average"/>
    <s v="Low"/>
    <s v="Junior"/>
    <n v="54163"/>
    <s v="Needs Improvement"/>
    <s v="High"/>
    <s v="Junior"/>
    <s v="25-34"/>
  </r>
  <r>
    <n v="1840"/>
    <s v="Harsha"/>
    <s v="Female"/>
    <n v="39"/>
    <s v="Finance"/>
    <s v="Accountant"/>
    <x v="3"/>
    <s v="2022-10-08"/>
    <n v="9"/>
    <n v="80672"/>
    <n v="2.7"/>
    <n v="98.5"/>
    <n v="14"/>
    <n v="23"/>
    <n v="5626"/>
    <s v="Suresh"/>
    <s v="Full-Time"/>
    <s v="Needs Improvement"/>
    <s v="High"/>
    <s v="Senior"/>
    <n v="86298"/>
    <s v="Excellent"/>
    <s v="Normal"/>
    <s v="Senior"/>
    <s v="35-44"/>
  </r>
  <r>
    <n v="1841"/>
    <s v="Deepa"/>
    <s v="Male"/>
    <n v="40"/>
    <s v="Finance"/>
    <s v="Accountant"/>
    <x v="0"/>
    <s v="2022-10-15"/>
    <n v="8"/>
    <n v="93429"/>
    <n v="3.2"/>
    <n v="94.8"/>
    <n v="4"/>
    <n v="45"/>
    <n v="9286"/>
    <s v="Ramesh"/>
    <s v="Full-Time"/>
    <s v="Average"/>
    <s v="High"/>
    <s v="Senior"/>
    <n v="102715"/>
    <s v="Needs Improvement"/>
    <s v="Normal"/>
    <s v="Senior"/>
    <s v="35-44"/>
  </r>
  <r>
    <n v="1842"/>
    <s v="Meena"/>
    <s v="Male"/>
    <n v="35"/>
    <s v="Finance"/>
    <s v="Financial Analyst"/>
    <x v="0"/>
    <s v="2018-03-25"/>
    <n v="0"/>
    <n v="66842"/>
    <n v="4.9000000000000004"/>
    <n v="88.3"/>
    <n v="3"/>
    <n v="44"/>
    <n v="4309"/>
    <s v="Anitha"/>
    <s v="Contract"/>
    <s v="Excellent"/>
    <s v="Medium"/>
    <s v="Junior"/>
    <n v="71151"/>
    <s v="Needs Improvement"/>
    <s v="Normal"/>
    <s v="Junior"/>
    <s v="35-44"/>
  </r>
  <r>
    <n v="1843"/>
    <s v="Keerthi"/>
    <s v="Female"/>
    <n v="44"/>
    <s v="Finance"/>
    <s v="Financial Analyst"/>
    <x v="0"/>
    <s v="2018-04-05"/>
    <n v="10"/>
    <n v="67329"/>
    <n v="4"/>
    <n v="83.3"/>
    <n v="1"/>
    <n v="15"/>
    <n v="8269"/>
    <s v="Amit"/>
    <s v="Contract"/>
    <s v="Good"/>
    <s v="Medium"/>
    <s v="Senior"/>
    <n v="75598"/>
    <s v="Needs Improvement"/>
    <s v="Normal"/>
    <s v="Senior"/>
    <s v="35-44"/>
  </r>
  <r>
    <n v="1844"/>
    <s v="Priya"/>
    <s v="Female"/>
    <n v="24"/>
    <s v="IT"/>
    <s v="Data Analyst"/>
    <x v="3"/>
    <s v="2020-12-18"/>
    <n v="6"/>
    <n v="37353"/>
    <n v="3.1"/>
    <n v="94"/>
    <n v="11"/>
    <n v="10"/>
    <n v="14128"/>
    <s v="Suresh"/>
    <s v="Full-Time"/>
    <s v="Average"/>
    <s v="Low"/>
    <s v="Senior"/>
    <n v="51481"/>
    <s v="Needs Improvement"/>
    <s v="Normal"/>
    <s v="Mid"/>
    <s v="20-24"/>
  </r>
  <r>
    <n v="1845"/>
    <s v="Sai"/>
    <s v="Male"/>
    <n v="23"/>
    <s v="HR"/>
    <s v="HR Manager"/>
    <x v="4"/>
    <s v="2023-12-14"/>
    <n v="3"/>
    <n v="60754"/>
    <n v="3.5"/>
    <n v="83.3"/>
    <n v="0"/>
    <n v="50"/>
    <n v="14137"/>
    <s v="Kavya"/>
    <s v="Full-Time"/>
    <s v="Average"/>
    <s v="Medium"/>
    <s v="Mid Level"/>
    <n v="74891"/>
    <s v="Needs Improvement"/>
    <s v="Normal"/>
    <s v="Mid"/>
    <s v="20-24"/>
  </r>
  <r>
    <n v="1846"/>
    <s v="Ajay"/>
    <s v="Male"/>
    <n v="33"/>
    <s v="HR"/>
    <s v="HR Manager"/>
    <x v="0"/>
    <s v="2022-05-13"/>
    <n v="3"/>
    <n v="81658"/>
    <n v="3.6"/>
    <n v="88.4"/>
    <n v="10"/>
    <n v="29"/>
    <n v="6031"/>
    <s v="Suresh"/>
    <s v="Contract"/>
    <s v="Average"/>
    <s v="High"/>
    <s v="Mid Level"/>
    <n v="87689"/>
    <s v="Needs Improvement"/>
    <s v="Normal"/>
    <s v="Mid"/>
    <s v="25-34"/>
  </r>
  <r>
    <n v="1847"/>
    <s v="Arjun"/>
    <s v="Male"/>
    <n v="32"/>
    <s v="HR"/>
    <s v="HR Manager"/>
    <x v="1"/>
    <s v="2018-01-30"/>
    <n v="0"/>
    <n v="40106"/>
    <n v="4"/>
    <n v="95.1"/>
    <n v="5"/>
    <n v="18"/>
    <n v="2226"/>
    <s v="Amit"/>
    <s v="Contract"/>
    <s v="Good"/>
    <s v="Low"/>
    <s v="Junior"/>
    <n v="42332"/>
    <s v="Excellent"/>
    <s v="Normal"/>
    <s v="Junior"/>
    <s v="25-34"/>
  </r>
  <r>
    <n v="1848"/>
    <s v="Ajay"/>
    <s v="Male"/>
    <n v="37"/>
    <s v="IT"/>
    <s v="Data Analyst"/>
    <x v="0"/>
    <s v="2023-01-29"/>
    <n v="3"/>
    <n v="65902"/>
    <n v="3.8"/>
    <n v="98.1"/>
    <n v="14"/>
    <n v="29"/>
    <n v="7811"/>
    <s v="Ramesh"/>
    <s v="Contract"/>
    <s v="Average"/>
    <s v="Medium"/>
    <s v="Mid Level"/>
    <n v="73713"/>
    <s v="Excellent"/>
    <s v="Normal"/>
    <s v="Mid"/>
    <s v="35-44"/>
  </r>
  <r>
    <n v="1849"/>
    <s v="Divya"/>
    <s v="Male"/>
    <n v="26"/>
    <s v="Finance"/>
    <s v="Accountant"/>
    <x v="4"/>
    <s v="2025-02-12"/>
    <n v="2"/>
    <n v="44981"/>
    <n v="3.4"/>
    <n v="86.8"/>
    <n v="8"/>
    <n v="29"/>
    <n v="5388"/>
    <s v="Anitha"/>
    <s v="Full-Time"/>
    <s v="Average"/>
    <s v="Low"/>
    <s v="Junior"/>
    <n v="50369"/>
    <s v="Needs Improvement"/>
    <s v="Normal"/>
    <s v="Junior"/>
    <s v="25-34"/>
  </r>
  <r>
    <n v="1850"/>
    <s v="Meena"/>
    <s v="Male"/>
    <n v="36"/>
    <s v="Sales"/>
    <s v="Sales Executive"/>
    <x v="4"/>
    <s v="2022-12-30"/>
    <n v="4"/>
    <n v="41393"/>
    <n v="4.0999999999999996"/>
    <n v="83.8"/>
    <n v="9"/>
    <n v="33"/>
    <n v="12777"/>
    <s v="Ramesh"/>
    <s v="Contract"/>
    <s v="Good"/>
    <s v="Low"/>
    <s v="Mid Level"/>
    <n v="54170"/>
    <s v="Needs Improvement"/>
    <s v="Normal"/>
    <s v="Mid"/>
    <s v="35-44"/>
  </r>
  <r>
    <n v="1851"/>
    <s v="Ravi"/>
    <s v="Female"/>
    <n v="36"/>
    <s v="Finance"/>
    <s v="Accountant"/>
    <x v="2"/>
    <s v="2023-11-19"/>
    <n v="10"/>
    <n v="37907"/>
    <n v="3.2"/>
    <n v="83.2"/>
    <n v="13"/>
    <n v="54"/>
    <n v="3908"/>
    <s v="Ramesh"/>
    <s v="Full-Time"/>
    <s v="Average"/>
    <s v="Low"/>
    <s v="Senior"/>
    <n v="41815"/>
    <s v="Needs Improvement"/>
    <s v="Normal"/>
    <s v="Senior"/>
    <s v="35-44"/>
  </r>
  <r>
    <n v="1852"/>
    <s v="Sneha"/>
    <s v="Male"/>
    <n v="22"/>
    <s v="Sales"/>
    <s v="Sales Manager"/>
    <x v="4"/>
    <s v="2020-02-07"/>
    <n v="2"/>
    <n v="69571"/>
    <n v="4.4000000000000004"/>
    <n v="86.5"/>
    <n v="5"/>
    <n v="5"/>
    <n v="5282"/>
    <s v="Amit"/>
    <s v="Full-Time"/>
    <s v="Good"/>
    <s v="Medium"/>
    <s v="Junior"/>
    <n v="74853"/>
    <s v="Needs Improvement"/>
    <s v="Normal"/>
    <s v="Junior"/>
    <s v="20-24"/>
  </r>
  <r>
    <n v="1853"/>
    <s v="Priya"/>
    <s v="Male"/>
    <n v="25"/>
    <s v="Marketing"/>
    <s v="Marketing Executive"/>
    <x v="3"/>
    <s v="2020-05-30"/>
    <n v="6"/>
    <n v="52044"/>
    <n v="5"/>
    <n v="83.3"/>
    <n v="22"/>
    <n v="49"/>
    <n v="3363"/>
    <s v="Ramesh"/>
    <s v="Full-Time"/>
    <s v="Excellent"/>
    <s v="Medium"/>
    <s v="Senior"/>
    <n v="55407"/>
    <s v="Needs Improvement"/>
    <s v="High"/>
    <s v="Mid"/>
    <s v="25-34"/>
  </r>
  <r>
    <n v="1854"/>
    <s v="Sneha"/>
    <s v="Female"/>
    <n v="26"/>
    <s v="HR"/>
    <s v="HR Manager"/>
    <x v="2"/>
    <s v="2024-09-02"/>
    <n v="6"/>
    <n v="86383"/>
    <n v="4.8"/>
    <n v="88.1"/>
    <n v="12"/>
    <n v="42"/>
    <n v="4052"/>
    <s v="Suresh"/>
    <s v="Full-Time"/>
    <s v="Excellent"/>
    <s v="High"/>
    <s v="Senior"/>
    <n v="90435"/>
    <s v="Needs Improvement"/>
    <s v="Normal"/>
    <s v="Mid"/>
    <s v="25-34"/>
  </r>
  <r>
    <n v="1855"/>
    <s v="Kiran"/>
    <s v="Male"/>
    <n v="43"/>
    <s v="Marketing"/>
    <s v="SEO Analyst"/>
    <x v="1"/>
    <s v="2023-03-19"/>
    <n v="6"/>
    <n v="60184"/>
    <n v="2.5"/>
    <n v="93.5"/>
    <n v="12"/>
    <n v="38"/>
    <n v="12038"/>
    <s v="Amit"/>
    <s v="Contract"/>
    <s v="Needs Improvement"/>
    <s v="Medium"/>
    <s v="Senior"/>
    <n v="72222"/>
    <s v="Needs Improvement"/>
    <s v="Normal"/>
    <s v="Mid"/>
    <s v="35-44"/>
  </r>
  <r>
    <n v="1856"/>
    <s v="Sonia"/>
    <s v="Female"/>
    <n v="34"/>
    <s v="Finance"/>
    <s v="Accountant"/>
    <x v="0"/>
    <s v="2022-06-17"/>
    <n v="2"/>
    <n v="80478"/>
    <n v="4.3"/>
    <n v="82.3"/>
    <n v="21"/>
    <n v="26"/>
    <n v="6873"/>
    <s v="Amit"/>
    <s v="Full-Time"/>
    <s v="Good"/>
    <s v="High"/>
    <s v="Junior"/>
    <n v="87351"/>
    <s v="Needs Improvement"/>
    <s v="High"/>
    <s v="Junior"/>
    <s v="25-34"/>
  </r>
  <r>
    <n v="1857"/>
    <s v="Divya"/>
    <s v="Male"/>
    <n v="39"/>
    <s v="Marketing"/>
    <s v="Marketing Executive"/>
    <x v="2"/>
    <s v="2018-01-18"/>
    <n v="10"/>
    <n v="41448"/>
    <n v="4.4000000000000004"/>
    <n v="94.4"/>
    <n v="13"/>
    <n v="25"/>
    <n v="4010"/>
    <s v="Kavya"/>
    <s v="Full-Time"/>
    <s v="Good"/>
    <s v="Low"/>
    <s v="Senior"/>
    <n v="45458"/>
    <s v="Needs Improvement"/>
    <s v="Normal"/>
    <s v="Senior"/>
    <s v="35-44"/>
  </r>
  <r>
    <n v="1858"/>
    <s v="Priya"/>
    <s v="Male"/>
    <n v="31"/>
    <s v="Marketing"/>
    <s v="SEO Analyst"/>
    <x v="3"/>
    <s v="2019-06-08"/>
    <n v="3"/>
    <n v="85099"/>
    <n v="3.3"/>
    <n v="82.3"/>
    <n v="17"/>
    <n v="33"/>
    <n v="9658"/>
    <s v="Ramesh"/>
    <s v="Full-Time"/>
    <s v="Average"/>
    <s v="High"/>
    <s v="Mid Level"/>
    <n v="94757"/>
    <s v="Needs Improvement"/>
    <s v="Normal"/>
    <s v="Mid"/>
    <s v="25-34"/>
  </r>
  <r>
    <n v="1859"/>
    <s v="Kiran"/>
    <s v="Male"/>
    <n v="31"/>
    <s v="IT"/>
    <s v="Senior Developer"/>
    <x v="1"/>
    <s v="2023-11-17"/>
    <n v="8"/>
    <n v="52199"/>
    <n v="4.4000000000000004"/>
    <n v="99.1"/>
    <n v="24"/>
    <n v="19"/>
    <n v="5501"/>
    <s v="Ramesh"/>
    <s v="Contract"/>
    <s v="Good"/>
    <s v="Medium"/>
    <s v="Senior"/>
    <n v="57700"/>
    <s v="Excellent"/>
    <s v="High"/>
    <s v="Senior"/>
    <s v="25-34"/>
  </r>
  <r>
    <n v="1860"/>
    <s v="Divya"/>
    <s v="Male"/>
    <n v="25"/>
    <s v="Marketing"/>
    <s v="Marketing Executive"/>
    <x v="3"/>
    <s v="2020-02-18"/>
    <n v="0"/>
    <n v="53337"/>
    <n v="2.7"/>
    <n v="91"/>
    <n v="18"/>
    <n v="56"/>
    <n v="1778"/>
    <s v="Kavya"/>
    <s v="Full-Time"/>
    <s v="Needs Improvement"/>
    <s v="Medium"/>
    <s v="Junior"/>
    <n v="55115"/>
    <s v="Needs Improvement"/>
    <s v="Normal"/>
    <s v="Junior"/>
    <s v="25-34"/>
  </r>
  <r>
    <n v="1861"/>
    <s v="Arjun"/>
    <s v="Male"/>
    <n v="32"/>
    <s v="Marketing"/>
    <s v="Marketing Executive"/>
    <x v="1"/>
    <s v="2018-08-14"/>
    <n v="0"/>
    <n v="76062"/>
    <n v="4.3"/>
    <n v="98.1"/>
    <n v="17"/>
    <n v="14"/>
    <n v="7776"/>
    <s v="Amit"/>
    <s v="Contract"/>
    <s v="Good"/>
    <s v="High"/>
    <s v="Junior"/>
    <n v="83838"/>
    <s v="Excellent"/>
    <s v="Normal"/>
    <s v="Junior"/>
    <s v="25-34"/>
  </r>
  <r>
    <n v="1862"/>
    <s v="Sneha"/>
    <s v="Male"/>
    <n v="28"/>
    <s v="Finance"/>
    <s v="Financial Analyst"/>
    <x v="2"/>
    <s v="2024-11-15"/>
    <n v="9"/>
    <n v="85209"/>
    <n v="5"/>
    <n v="93.3"/>
    <n v="25"/>
    <n v="28"/>
    <n v="5824"/>
    <s v="Amit"/>
    <s v="Contract"/>
    <s v="Excellent"/>
    <s v="High"/>
    <s v="Senior"/>
    <n v="91033"/>
    <s v="Needs Improvement"/>
    <s v="High"/>
    <s v="Senior"/>
    <s v="25-34"/>
  </r>
  <r>
    <n v="1863"/>
    <s v="Nikhil"/>
    <s v="Female"/>
    <n v="29"/>
    <s v="Marketing"/>
    <s v="SEO Analyst"/>
    <x v="0"/>
    <s v="2022-08-13"/>
    <n v="7"/>
    <n v="66248"/>
    <n v="4.3"/>
    <n v="92.1"/>
    <n v="12"/>
    <n v="22"/>
    <n v="12779"/>
    <s v="Kavya"/>
    <s v="Full-Time"/>
    <s v="Good"/>
    <s v="Medium"/>
    <s v="Senior"/>
    <n v="79027"/>
    <s v="Needs Improvement"/>
    <s v="Normal"/>
    <s v="Senior"/>
    <s v="25-34"/>
  </r>
  <r>
    <n v="1864"/>
    <s v="Ajay"/>
    <s v="Female"/>
    <n v="27"/>
    <s v="IT"/>
    <s v="Software Engineer"/>
    <x v="2"/>
    <s v="2018-02-12"/>
    <n v="7"/>
    <n v="74775"/>
    <n v="4.5999999999999996"/>
    <n v="93.3"/>
    <n v="6"/>
    <n v="59"/>
    <n v="7445"/>
    <s v="Suresh"/>
    <s v="Contract"/>
    <s v="Excellent"/>
    <s v="High"/>
    <s v="Senior"/>
    <n v="82220"/>
    <s v="Needs Improvement"/>
    <s v="Normal"/>
    <s v="Senior"/>
    <s v="25-34"/>
  </r>
  <r>
    <n v="1865"/>
    <s v="Sai"/>
    <s v="Female"/>
    <n v="31"/>
    <s v="IT"/>
    <s v="Data Analyst"/>
    <x v="2"/>
    <s v="2021-07-12"/>
    <n v="5"/>
    <n v="26002"/>
    <n v="3.5"/>
    <n v="91.4"/>
    <n v="19"/>
    <n v="41"/>
    <n v="10729"/>
    <s v="Amit"/>
    <s v="Full-Time"/>
    <s v="Average"/>
    <s v="Low"/>
    <s v="Mid Level"/>
    <n v="36731"/>
    <s v="Needs Improvement"/>
    <s v="Normal"/>
    <s v="Mid"/>
    <s v="25-34"/>
  </r>
  <r>
    <n v="1866"/>
    <s v="Meena"/>
    <s v="Male"/>
    <n v="45"/>
    <s v="Marketing"/>
    <s v="Marketing Executive"/>
    <x v="3"/>
    <s v="2018-07-11"/>
    <n v="4"/>
    <n v="40785"/>
    <n v="4.9000000000000004"/>
    <n v="85"/>
    <n v="4"/>
    <n v="48"/>
    <n v="11864"/>
    <s v="Kavya"/>
    <s v="Contract"/>
    <s v="Excellent"/>
    <s v="Low"/>
    <s v="Mid Level"/>
    <n v="52649"/>
    <s v="Needs Improvement"/>
    <s v="Normal"/>
    <s v="Mid"/>
    <s v="45+"/>
  </r>
  <r>
    <n v="1867"/>
    <s v="Anu"/>
    <s v="Female"/>
    <n v="43"/>
    <s v="Marketing"/>
    <s v="SEO Analyst"/>
    <x v="2"/>
    <s v="2023-12-02"/>
    <n v="6"/>
    <n v="85268"/>
    <n v="3.6"/>
    <n v="89.8"/>
    <n v="10"/>
    <n v="60"/>
    <n v="13180"/>
    <s v="Suresh"/>
    <s v="Full-Time"/>
    <s v="Average"/>
    <s v="High"/>
    <s v="Senior"/>
    <n v="98448"/>
    <s v="Needs Improvement"/>
    <s v="Normal"/>
    <s v="Mid"/>
    <s v="35-44"/>
  </r>
  <r>
    <n v="1868"/>
    <s v="Varun"/>
    <s v="Male"/>
    <n v="37"/>
    <s v="Marketing"/>
    <s v="SEO Analyst"/>
    <x v="1"/>
    <s v="2018-11-11"/>
    <n v="6"/>
    <n v="40681"/>
    <n v="3.5"/>
    <n v="93.1"/>
    <n v="16"/>
    <n v="34"/>
    <n v="11649"/>
    <s v="Anitha"/>
    <s v="Full-Time"/>
    <s v="Average"/>
    <s v="Low"/>
    <s v="Senior"/>
    <n v="52330"/>
    <s v="Needs Improvement"/>
    <s v="Normal"/>
    <s v="Mid"/>
    <s v="35-44"/>
  </r>
  <r>
    <n v="1869"/>
    <s v="Harsha"/>
    <s v="Female"/>
    <n v="28"/>
    <s v="Finance"/>
    <s v="Financial Analyst"/>
    <x v="2"/>
    <s v="2018-12-28"/>
    <n v="0"/>
    <n v="83333"/>
    <n v="4.7"/>
    <n v="88.3"/>
    <n v="10"/>
    <n v="45"/>
    <n v="4210"/>
    <s v="Kavya"/>
    <s v="Full-Time"/>
    <s v="Excellent"/>
    <s v="High"/>
    <s v="Junior"/>
    <n v="87543"/>
    <s v="Needs Improvement"/>
    <s v="Normal"/>
    <s v="Junior"/>
    <s v="25-34"/>
  </r>
  <r>
    <n v="1870"/>
    <s v="Sai"/>
    <s v="Male"/>
    <n v="34"/>
    <s v="Sales"/>
    <s v="Sales Executive"/>
    <x v="1"/>
    <s v="2023-06-09"/>
    <n v="5"/>
    <n v="38045"/>
    <n v="4.4000000000000004"/>
    <n v="89.4"/>
    <n v="22"/>
    <n v="12"/>
    <n v="6977"/>
    <s v="Amit"/>
    <s v="Contract"/>
    <s v="Good"/>
    <s v="Low"/>
    <s v="Mid Level"/>
    <n v="45022"/>
    <s v="Needs Improvement"/>
    <s v="High"/>
    <s v="Mid"/>
    <s v="25-34"/>
  </r>
  <r>
    <n v="1871"/>
    <s v="Ravi"/>
    <s v="Male"/>
    <n v="27"/>
    <s v="Sales"/>
    <s v="Sales Manager"/>
    <x v="0"/>
    <s v="2022-09-25"/>
    <n v="2"/>
    <n v="80815"/>
    <n v="2.6"/>
    <n v="89.9"/>
    <n v="2"/>
    <n v="21"/>
    <n v="14191"/>
    <s v="Ramesh"/>
    <s v="Contract"/>
    <s v="Needs Improvement"/>
    <s v="High"/>
    <s v="Junior"/>
    <n v="95006"/>
    <s v="Needs Improvement"/>
    <s v="Normal"/>
    <s v="Junior"/>
    <s v="25-34"/>
  </r>
  <r>
    <n v="1872"/>
    <s v="Harsha"/>
    <s v="Female"/>
    <n v="45"/>
    <s v="Marketing"/>
    <s v="SEO Analyst"/>
    <x v="0"/>
    <s v="2019-06-16"/>
    <n v="9"/>
    <n v="75947"/>
    <n v="5"/>
    <n v="94.8"/>
    <n v="25"/>
    <n v="37"/>
    <n v="8730"/>
    <s v="Suresh"/>
    <s v="Contract"/>
    <s v="Excellent"/>
    <s v="High"/>
    <s v="Senior"/>
    <n v="84677"/>
    <s v="Needs Improvement"/>
    <s v="High"/>
    <s v="Senior"/>
    <s v="45+"/>
  </r>
  <r>
    <n v="1873"/>
    <s v="Arjun"/>
    <s v="Male"/>
    <n v="31"/>
    <s v="Marketing"/>
    <s v="Marketing Executive"/>
    <x v="3"/>
    <s v="2023-05-19"/>
    <n v="1"/>
    <n v="27736"/>
    <n v="4.0999999999999996"/>
    <n v="99.1"/>
    <n v="3"/>
    <n v="15"/>
    <n v="12061"/>
    <s v="Anitha"/>
    <s v="Full-Time"/>
    <s v="Good"/>
    <s v="Low"/>
    <s v="Junior"/>
    <n v="39797"/>
    <s v="Excellent"/>
    <s v="Normal"/>
    <s v="Junior"/>
    <s v="25-34"/>
  </r>
  <r>
    <n v="1874"/>
    <s v="Priya"/>
    <s v="Male"/>
    <n v="22"/>
    <s v="Marketing"/>
    <s v="Marketing Executive"/>
    <x v="3"/>
    <s v="2024-08-12"/>
    <n v="0"/>
    <n v="71379"/>
    <n v="2.6"/>
    <n v="83.2"/>
    <n v="22"/>
    <n v="55"/>
    <n v="10530"/>
    <s v="Ramesh"/>
    <s v="Contract"/>
    <s v="Needs Improvement"/>
    <s v="High"/>
    <s v="Junior"/>
    <n v="81909"/>
    <s v="Needs Improvement"/>
    <s v="High"/>
    <s v="Junior"/>
    <s v="20-24"/>
  </r>
  <r>
    <n v="1875"/>
    <s v="Vijay"/>
    <s v="Female"/>
    <n v="44"/>
    <s v="Sales"/>
    <s v="Sales Executive"/>
    <x v="2"/>
    <s v="2025-02-26"/>
    <n v="4"/>
    <n v="35899"/>
    <n v="4"/>
    <n v="95.2"/>
    <n v="14"/>
    <n v="38"/>
    <n v="7458"/>
    <s v="Amit"/>
    <s v="Full-Time"/>
    <s v="Good"/>
    <s v="Low"/>
    <s v="Mid Level"/>
    <n v="43357"/>
    <s v="Excellent"/>
    <s v="Normal"/>
    <s v="Mid"/>
    <s v="35-44"/>
  </r>
  <r>
    <n v="1876"/>
    <s v="Keerthi"/>
    <s v="Male"/>
    <n v="39"/>
    <s v="Marketing"/>
    <s v="Marketing Executive"/>
    <x v="3"/>
    <s v="2022-11-09"/>
    <n v="7"/>
    <n v="93114"/>
    <n v="3.3"/>
    <n v="93.5"/>
    <n v="2"/>
    <n v="5"/>
    <n v="9231"/>
    <s v="Ramesh"/>
    <s v="Full-Time"/>
    <s v="Average"/>
    <s v="High"/>
    <s v="Senior"/>
    <n v="102345"/>
    <s v="Needs Improvement"/>
    <s v="Normal"/>
    <s v="Senior"/>
    <s v="35-44"/>
  </r>
  <r>
    <n v="1877"/>
    <s v="Ravi"/>
    <s v="Female"/>
    <n v="29"/>
    <s v="IT"/>
    <s v="Senior Developer"/>
    <x v="4"/>
    <s v="2024-05-15"/>
    <n v="1"/>
    <n v="40163"/>
    <n v="4.2"/>
    <n v="83.3"/>
    <n v="11"/>
    <n v="46"/>
    <n v="9265"/>
    <s v="Amit"/>
    <s v="Contract"/>
    <s v="Good"/>
    <s v="Low"/>
    <s v="Junior"/>
    <n v="49428"/>
    <s v="Needs Improvement"/>
    <s v="Normal"/>
    <s v="Junior"/>
    <s v="25-34"/>
  </r>
  <r>
    <n v="1878"/>
    <s v="Deepa"/>
    <s v="Female"/>
    <n v="32"/>
    <s v="Sales"/>
    <s v="Sales Executive"/>
    <x v="1"/>
    <s v="2020-11-17"/>
    <n v="8"/>
    <n v="35680"/>
    <n v="4.4000000000000004"/>
    <n v="89.1"/>
    <n v="4"/>
    <n v="28"/>
    <n v="10345"/>
    <s v="Ramesh"/>
    <s v="Contract"/>
    <s v="Good"/>
    <s v="Low"/>
    <s v="Senior"/>
    <n v="46025"/>
    <s v="Needs Improvement"/>
    <s v="Normal"/>
    <s v="Senior"/>
    <s v="25-34"/>
  </r>
  <r>
    <n v="1879"/>
    <s v="Anu"/>
    <s v="Female"/>
    <n v="28"/>
    <s v="Finance"/>
    <s v="Accountant"/>
    <x v="0"/>
    <s v="2019-08-09"/>
    <n v="0"/>
    <n v="66878"/>
    <n v="3.8"/>
    <n v="93.6"/>
    <n v="12"/>
    <n v="12"/>
    <n v="9966"/>
    <s v="Ramesh"/>
    <s v="Contract"/>
    <s v="Average"/>
    <s v="Medium"/>
    <s v="Junior"/>
    <n v="76844"/>
    <s v="Needs Improvement"/>
    <s v="Normal"/>
    <s v="Junior"/>
    <s v="25-34"/>
  </r>
  <r>
    <n v="1880"/>
    <s v="Manoj"/>
    <s v="Female"/>
    <n v="26"/>
    <s v="Marketing"/>
    <s v="Marketing Executive"/>
    <x v="1"/>
    <s v="2021-12-05"/>
    <n v="7"/>
    <n v="32089"/>
    <n v="3.9"/>
    <n v="85.7"/>
    <n v="23"/>
    <n v="39"/>
    <n v="4992"/>
    <s v="Kavya"/>
    <s v="Full-Time"/>
    <s v="Average"/>
    <s v="Low"/>
    <s v="Senior"/>
    <n v="37081"/>
    <s v="Needs Improvement"/>
    <s v="High"/>
    <s v="Senior"/>
    <s v="25-34"/>
  </r>
  <r>
    <n v="1881"/>
    <s v="Priya"/>
    <s v="Male"/>
    <n v="31"/>
    <s v="Marketing"/>
    <s v="SEO Analyst"/>
    <x v="3"/>
    <s v="2022-05-06"/>
    <n v="9"/>
    <n v="90402"/>
    <n v="2.8"/>
    <n v="94.8"/>
    <n v="13"/>
    <n v="47"/>
    <n v="13445"/>
    <s v="Anitha"/>
    <s v="Full-Time"/>
    <s v="Needs Improvement"/>
    <s v="High"/>
    <s v="Senior"/>
    <n v="103847"/>
    <s v="Needs Improvement"/>
    <s v="Normal"/>
    <s v="Senior"/>
    <s v="25-34"/>
  </r>
  <r>
    <n v="1882"/>
    <s v="Nikhil"/>
    <s v="Male"/>
    <n v="37"/>
    <s v="Marketing"/>
    <s v="Marketing Executive"/>
    <x v="2"/>
    <s v="2025-02-17"/>
    <n v="9"/>
    <n v="42628"/>
    <n v="3"/>
    <n v="97.3"/>
    <n v="13"/>
    <n v="45"/>
    <n v="9205"/>
    <s v="Anitha"/>
    <s v="Contract"/>
    <s v="Average"/>
    <s v="Low"/>
    <s v="Senior"/>
    <n v="51833"/>
    <s v="Excellent"/>
    <s v="Normal"/>
    <s v="Senior"/>
    <s v="35-44"/>
  </r>
  <r>
    <n v="1883"/>
    <s v="Nikhil"/>
    <s v="Male"/>
    <n v="33"/>
    <s v="Finance"/>
    <s v="Financial Analyst"/>
    <x v="2"/>
    <s v="2020-01-15"/>
    <n v="1"/>
    <n v="33843"/>
    <n v="3.8"/>
    <n v="93"/>
    <n v="19"/>
    <n v="36"/>
    <n v="1328"/>
    <s v="Ramesh"/>
    <s v="Full-Time"/>
    <s v="Average"/>
    <s v="Low"/>
    <s v="Junior"/>
    <n v="35171"/>
    <s v="Needs Improvement"/>
    <s v="Normal"/>
    <s v="Junior"/>
    <s v="25-34"/>
  </r>
  <r>
    <n v="1884"/>
    <s v="Priya"/>
    <s v="Male"/>
    <n v="27"/>
    <s v="Finance"/>
    <s v="Accountant"/>
    <x v="4"/>
    <s v="2022-09-22"/>
    <n v="8"/>
    <n v="42046"/>
    <n v="4.2"/>
    <n v="91"/>
    <n v="20"/>
    <n v="9"/>
    <n v="9057"/>
    <s v="Amit"/>
    <s v="Contract"/>
    <s v="Good"/>
    <s v="Low"/>
    <s v="Senior"/>
    <n v="51103"/>
    <s v="Needs Improvement"/>
    <s v="Normal"/>
    <s v="Senior"/>
    <s v="25-34"/>
  </r>
  <r>
    <n v="1885"/>
    <s v="Kiran"/>
    <s v="Female"/>
    <n v="32"/>
    <s v="HR"/>
    <s v="HR Executive"/>
    <x v="0"/>
    <s v="2021-07-25"/>
    <n v="0"/>
    <n v="75334"/>
    <n v="3.6"/>
    <n v="85.2"/>
    <n v="3"/>
    <n v="18"/>
    <n v="11811"/>
    <s v="Anitha"/>
    <s v="Full-Time"/>
    <s v="Average"/>
    <s v="High"/>
    <s v="Junior"/>
    <n v="87145"/>
    <s v="Needs Improvement"/>
    <s v="Normal"/>
    <s v="Junior"/>
    <s v="25-34"/>
  </r>
  <r>
    <n v="1886"/>
    <s v="Divya"/>
    <s v="Female"/>
    <n v="38"/>
    <s v="Finance"/>
    <s v="Accountant"/>
    <x v="2"/>
    <s v="2020-09-25"/>
    <n v="8"/>
    <n v="50966"/>
    <n v="2.5"/>
    <n v="97.3"/>
    <n v="20"/>
    <n v="5"/>
    <n v="5726"/>
    <s v="Kavya"/>
    <s v="Contract"/>
    <s v="Needs Improvement"/>
    <s v="Medium"/>
    <s v="Senior"/>
    <n v="56692"/>
    <s v="Excellent"/>
    <s v="Normal"/>
    <s v="Senior"/>
    <s v="35-44"/>
  </r>
  <r>
    <n v="1887"/>
    <s v="Sai"/>
    <s v="Female"/>
    <n v="35"/>
    <s v="Marketing"/>
    <s v="SEO Analyst"/>
    <x v="3"/>
    <s v="2024-04-12"/>
    <n v="6"/>
    <n v="52179"/>
    <n v="4.0999999999999996"/>
    <n v="86.2"/>
    <n v="10"/>
    <n v="5"/>
    <n v="6913"/>
    <s v="Amit"/>
    <s v="Contract"/>
    <s v="Good"/>
    <s v="Medium"/>
    <s v="Senior"/>
    <n v="59092"/>
    <s v="Needs Improvement"/>
    <s v="Normal"/>
    <s v="Mid"/>
    <s v="35-44"/>
  </r>
  <r>
    <n v="1888"/>
    <s v="Ajay"/>
    <s v="Female"/>
    <n v="27"/>
    <s v="Finance"/>
    <s v="Financial Analyst"/>
    <x v="0"/>
    <s v="2021-05-05"/>
    <n v="2"/>
    <n v="62898"/>
    <n v="3"/>
    <n v="97.6"/>
    <n v="23"/>
    <n v="18"/>
    <n v="6233"/>
    <s v="Suresh"/>
    <s v="Full-Time"/>
    <s v="Average"/>
    <s v="Medium"/>
    <s v="Junior"/>
    <n v="69131"/>
    <s v="Excellent"/>
    <s v="High"/>
    <s v="Junior"/>
    <s v="25-34"/>
  </r>
  <r>
    <n v="1889"/>
    <s v="Kiran"/>
    <s v="Female"/>
    <n v="36"/>
    <s v="Marketing"/>
    <s v="Marketing Executive"/>
    <x v="3"/>
    <s v="2022-03-21"/>
    <n v="8"/>
    <n v="84703"/>
    <n v="3.2"/>
    <n v="86.9"/>
    <n v="4"/>
    <n v="52"/>
    <n v="14583"/>
    <s v="Amit"/>
    <s v="Full-Time"/>
    <s v="Average"/>
    <s v="High"/>
    <s v="Senior"/>
    <n v="99286"/>
    <s v="Needs Improvement"/>
    <s v="Normal"/>
    <s v="Senior"/>
    <s v="35-44"/>
  </r>
  <r>
    <n v="1890"/>
    <s v="Ravi"/>
    <s v="Male"/>
    <n v="24"/>
    <s v="Sales"/>
    <s v="Sales Manager"/>
    <x v="2"/>
    <s v="2019-06-18"/>
    <n v="9"/>
    <n v="31517"/>
    <n v="2.7"/>
    <n v="98.7"/>
    <n v="14"/>
    <n v="28"/>
    <n v="14049"/>
    <s v="Amit"/>
    <s v="Full-Time"/>
    <s v="Needs Improvement"/>
    <s v="Low"/>
    <s v="Senior"/>
    <n v="45566"/>
    <s v="Excellent"/>
    <s v="Normal"/>
    <s v="Senior"/>
    <s v="20-24"/>
  </r>
  <r>
    <n v="1891"/>
    <s v="Nikhil"/>
    <s v="Female"/>
    <n v="34"/>
    <s v="Marketing"/>
    <s v="Marketing Executive"/>
    <x v="0"/>
    <s v="2024-08-06"/>
    <n v="0"/>
    <n v="94086"/>
    <n v="4.4000000000000004"/>
    <n v="89"/>
    <n v="18"/>
    <n v="58"/>
    <n v="12969"/>
    <s v="Amit"/>
    <s v="Full-Time"/>
    <s v="Good"/>
    <s v="High"/>
    <s v="Junior"/>
    <n v="107055"/>
    <s v="Needs Improvement"/>
    <s v="Normal"/>
    <s v="Junior"/>
    <s v="25-34"/>
  </r>
  <r>
    <n v="1892"/>
    <s v="Divya"/>
    <s v="Male"/>
    <n v="27"/>
    <s v="Sales"/>
    <s v="Sales Manager"/>
    <x v="1"/>
    <s v="2022-06-30"/>
    <n v="7"/>
    <n v="48659"/>
    <n v="3.1"/>
    <n v="100"/>
    <n v="8"/>
    <n v="58"/>
    <n v="5817"/>
    <s v="Suresh"/>
    <s v="Full-Time"/>
    <s v="Average"/>
    <s v="Low"/>
    <s v="Senior"/>
    <n v="54476"/>
    <s v="Excellent"/>
    <s v="Normal"/>
    <s v="Senior"/>
    <s v="25-34"/>
  </r>
  <r>
    <n v="1893"/>
    <s v="Ajay"/>
    <s v="Male"/>
    <n v="41"/>
    <s v="HR"/>
    <s v="HR Executive"/>
    <x v="0"/>
    <s v="2021-10-29"/>
    <n v="8"/>
    <n v="73463"/>
    <n v="4.9000000000000004"/>
    <n v="87.4"/>
    <n v="17"/>
    <n v="37"/>
    <n v="10132"/>
    <s v="Suresh"/>
    <s v="Contract"/>
    <s v="Excellent"/>
    <s v="High"/>
    <s v="Senior"/>
    <n v="83595"/>
    <s v="Needs Improvement"/>
    <s v="Normal"/>
    <s v="Senior"/>
    <s v="35-44"/>
  </r>
  <r>
    <n v="1894"/>
    <s v="Arjun"/>
    <s v="Female"/>
    <n v="35"/>
    <s v="Marketing"/>
    <s v="Marketing Executive"/>
    <x v="4"/>
    <s v="2023-03-04"/>
    <n v="6"/>
    <n v="57475"/>
    <n v="3.1"/>
    <n v="92.7"/>
    <n v="20"/>
    <n v="28"/>
    <n v="14001"/>
    <s v="Amit"/>
    <s v="Full-Time"/>
    <s v="Average"/>
    <s v="Medium"/>
    <s v="Senior"/>
    <n v="71476"/>
    <s v="Needs Improvement"/>
    <s v="Normal"/>
    <s v="Mid"/>
    <s v="35-44"/>
  </r>
  <r>
    <n v="1895"/>
    <s v="Ajay"/>
    <s v="Male"/>
    <n v="33"/>
    <s v="Marketing"/>
    <s v="SEO Analyst"/>
    <x v="0"/>
    <s v="2018-03-17"/>
    <n v="9"/>
    <n v="93883"/>
    <n v="3.1"/>
    <n v="93.9"/>
    <n v="3"/>
    <n v="53"/>
    <n v="11782"/>
    <s v="Ramesh"/>
    <s v="Full-Time"/>
    <s v="Average"/>
    <s v="High"/>
    <s v="Senior"/>
    <n v="105665"/>
    <s v="Needs Improvement"/>
    <s v="Normal"/>
    <s v="Senior"/>
    <s v="25-34"/>
  </r>
  <r>
    <n v="1896"/>
    <s v="Ravi"/>
    <s v="Female"/>
    <n v="39"/>
    <s v="Finance"/>
    <s v="Accountant"/>
    <x v="1"/>
    <s v="2019-09-13"/>
    <n v="9"/>
    <n v="62416"/>
    <n v="4.0999999999999996"/>
    <n v="89.5"/>
    <n v="5"/>
    <n v="35"/>
    <n v="7341"/>
    <s v="Ramesh"/>
    <s v="Contract"/>
    <s v="Good"/>
    <s v="Medium"/>
    <s v="Senior"/>
    <n v="69757"/>
    <s v="Needs Improvement"/>
    <s v="Normal"/>
    <s v="Senior"/>
    <s v="35-44"/>
  </r>
  <r>
    <n v="1897"/>
    <s v="Rahul"/>
    <s v="Male"/>
    <n v="38"/>
    <s v="Sales"/>
    <s v="Sales Manager"/>
    <x v="2"/>
    <s v="2018-09-03"/>
    <n v="9"/>
    <n v="76750"/>
    <n v="4.5999999999999996"/>
    <n v="88.9"/>
    <n v="6"/>
    <n v="32"/>
    <n v="1840"/>
    <s v="Ramesh"/>
    <s v="Contract"/>
    <s v="Excellent"/>
    <s v="High"/>
    <s v="Senior"/>
    <n v="78590"/>
    <s v="Needs Improvement"/>
    <s v="Normal"/>
    <s v="Senior"/>
    <s v="35-44"/>
  </r>
  <r>
    <n v="1898"/>
    <s v="Arjun"/>
    <s v="Female"/>
    <n v="41"/>
    <s v="Finance"/>
    <s v="Financial Analyst"/>
    <x v="3"/>
    <s v="2020-05-28"/>
    <n v="4"/>
    <n v="90767"/>
    <n v="2.7"/>
    <n v="90.1"/>
    <n v="22"/>
    <n v="44"/>
    <n v="6388"/>
    <s v="Suresh"/>
    <s v="Full-Time"/>
    <s v="Needs Improvement"/>
    <s v="High"/>
    <s v="Mid Level"/>
    <n v="97155"/>
    <s v="Needs Improvement"/>
    <s v="High"/>
    <s v="Mid"/>
    <s v="35-44"/>
  </r>
  <r>
    <n v="1899"/>
    <s v="Kiran"/>
    <s v="Female"/>
    <n v="42"/>
    <s v="HR"/>
    <s v="HR Manager"/>
    <x v="0"/>
    <s v="2020-12-28"/>
    <n v="3"/>
    <m/>
    <n v="4.9000000000000004"/>
    <n v="98.9"/>
    <n v="0"/>
    <n v="46"/>
    <n v="2594"/>
    <s v="Kavya"/>
    <s v="Contract"/>
    <s v="Excellent"/>
    <s v="Low"/>
    <s v="Mid Level"/>
    <n v="2594"/>
    <s v="Excellent"/>
    <s v="Normal"/>
    <s v="Mid"/>
    <s v="35-44"/>
  </r>
  <r>
    <n v="1900"/>
    <s v="Pooja"/>
    <s v="Male"/>
    <n v="34"/>
    <s v="Sales"/>
    <s v="Sales Executive"/>
    <x v="4"/>
    <s v="2020-08-12"/>
    <n v="5"/>
    <n v="48647"/>
    <n v="2.9"/>
    <n v="89.1"/>
    <n v="11"/>
    <n v="41"/>
    <n v="4895"/>
    <s v="Kavya"/>
    <s v="Contract"/>
    <s v="Needs Improvement"/>
    <s v="Low"/>
    <s v="Mid Level"/>
    <n v="53542"/>
    <s v="Needs Improvement"/>
    <s v="Normal"/>
    <s v="Mid"/>
    <s v="25-34"/>
  </r>
  <r>
    <n v="1901"/>
    <s v="Nikhil"/>
    <s v="Female"/>
    <n v="33"/>
    <s v="Marketing"/>
    <s v="Marketing Executive"/>
    <x v="2"/>
    <s v="2022-02-02"/>
    <n v="2"/>
    <n v="71210"/>
    <n v="3.7"/>
    <n v="86"/>
    <n v="0"/>
    <n v="7"/>
    <n v="1882"/>
    <s v="Suresh"/>
    <s v="Contract"/>
    <s v="Average"/>
    <s v="High"/>
    <s v="Junior"/>
    <n v="73092"/>
    <s v="Needs Improvement"/>
    <s v="Normal"/>
    <s v="Junior"/>
    <s v="25-34"/>
  </r>
  <r>
    <n v="1902"/>
    <s v="Sneha"/>
    <s v="Female"/>
    <n v="26"/>
    <s v="Marketing"/>
    <s v="Marketing Executive"/>
    <x v="1"/>
    <s v="2020-08-23"/>
    <n v="10"/>
    <n v="76535"/>
    <n v="4"/>
    <n v="94.5"/>
    <n v="21"/>
    <n v="32"/>
    <n v="1994"/>
    <s v="Amit"/>
    <s v="Contract"/>
    <s v="Good"/>
    <s v="High"/>
    <s v="Senior"/>
    <n v="78529"/>
    <s v="Needs Improvement"/>
    <s v="High"/>
    <s v="Senior"/>
    <s v="25-34"/>
  </r>
  <r>
    <n v="1903"/>
    <s v="Meena"/>
    <s v="Male"/>
    <n v="44"/>
    <s v="Finance"/>
    <s v="Financial Analyst"/>
    <x v="1"/>
    <s v="2019-10-23"/>
    <n v="2"/>
    <n v="59585"/>
    <n v="3.9"/>
    <n v="95.5"/>
    <n v="24"/>
    <n v="24"/>
    <n v="13067"/>
    <s v="Amit"/>
    <s v="Contract"/>
    <s v="Average"/>
    <s v="Medium"/>
    <s v="Junior"/>
    <n v="72652"/>
    <s v="Excellent"/>
    <s v="High"/>
    <s v="Junior"/>
    <s v="35-44"/>
  </r>
  <r>
    <n v="1904"/>
    <s v="Keerthi"/>
    <s v="Male"/>
    <n v="37"/>
    <s v="Sales"/>
    <s v="Sales Executive"/>
    <x v="0"/>
    <s v="2023-10-13"/>
    <n v="7"/>
    <n v="78894"/>
    <n v="4.4000000000000004"/>
    <n v="95.9"/>
    <n v="6"/>
    <n v="14"/>
    <n v="8568"/>
    <s v="Ramesh"/>
    <s v="Full-Time"/>
    <s v="Good"/>
    <s v="High"/>
    <s v="Senior"/>
    <n v="87462"/>
    <s v="Excellent"/>
    <s v="Normal"/>
    <s v="Senior"/>
    <s v="35-44"/>
  </r>
  <r>
    <n v="1905"/>
    <s v="Sai"/>
    <s v="Male"/>
    <n v="31"/>
    <s v="Sales"/>
    <s v="Sales Manager"/>
    <x v="2"/>
    <s v="2020-08-18"/>
    <n v="4"/>
    <n v="61526"/>
    <n v="2.9"/>
    <n v="99.6"/>
    <n v="20"/>
    <n v="18"/>
    <n v="1710"/>
    <s v="Amit"/>
    <s v="Contract"/>
    <s v="Needs Improvement"/>
    <s v="Medium"/>
    <s v="Mid Level"/>
    <n v="63236"/>
    <s v="Excellent"/>
    <s v="Normal"/>
    <s v="Mid"/>
    <s v="25-34"/>
  </r>
  <r>
    <n v="1906"/>
    <s v="Manoj"/>
    <s v="Female"/>
    <n v="39"/>
    <s v="Sales"/>
    <s v="Sales Manager"/>
    <x v="1"/>
    <s v="2022-03-07"/>
    <n v="0"/>
    <n v="72173"/>
    <n v="4.5999999999999996"/>
    <n v="82.2"/>
    <n v="21"/>
    <n v="22"/>
    <n v="12450"/>
    <s v="Anitha"/>
    <s v="Contract"/>
    <s v="Excellent"/>
    <s v="High"/>
    <s v="Junior"/>
    <n v="84623"/>
    <s v="Needs Improvement"/>
    <s v="High"/>
    <s v="Junior"/>
    <s v="35-44"/>
  </r>
  <r>
    <n v="1907"/>
    <s v="Deepa"/>
    <s v="Female"/>
    <n v="36"/>
    <s v="Marketing"/>
    <s v="Marketing Executive"/>
    <x v="4"/>
    <s v="2021-01-29"/>
    <n v="2"/>
    <n v="35824"/>
    <n v="3.3"/>
    <n v="95"/>
    <n v="2"/>
    <n v="12"/>
    <n v="1466"/>
    <s v="Amit"/>
    <s v="Contract"/>
    <s v="Average"/>
    <s v="Low"/>
    <s v="Junior"/>
    <n v="37290"/>
    <s v="Excellent"/>
    <s v="Normal"/>
    <s v="Junior"/>
    <s v="35-44"/>
  </r>
  <r>
    <n v="1908"/>
    <s v="Keerthi"/>
    <s v="Male"/>
    <n v="26"/>
    <s v="Marketing"/>
    <s v="SEO Analyst"/>
    <x v="0"/>
    <s v="2023-04-03"/>
    <n v="7"/>
    <n v="36467"/>
    <n v="2.8"/>
    <n v="83.7"/>
    <n v="9"/>
    <n v="39"/>
    <n v="6198"/>
    <s v="Amit"/>
    <s v="Contract"/>
    <s v="Needs Improvement"/>
    <s v="Low"/>
    <s v="Senior"/>
    <n v="42665"/>
    <s v="Needs Improvement"/>
    <s v="Normal"/>
    <s v="Senior"/>
    <s v="25-34"/>
  </r>
  <r>
    <n v="1909"/>
    <s v="Rahul"/>
    <s v="Female"/>
    <n v="40"/>
    <s v="IT"/>
    <s v="Data Analyst"/>
    <x v="0"/>
    <s v="2020-07-11"/>
    <n v="0"/>
    <n v="83568"/>
    <n v="4.7"/>
    <n v="99.8"/>
    <n v="0"/>
    <n v="24"/>
    <n v="7958"/>
    <s v="Kavya"/>
    <s v="Contract"/>
    <s v="Excellent"/>
    <s v="High"/>
    <s v="Junior"/>
    <n v="91526"/>
    <s v="Excellent"/>
    <s v="Normal"/>
    <s v="Junior"/>
    <s v="35-44"/>
  </r>
  <r>
    <n v="1910"/>
    <s v="Vijay"/>
    <s v="Male"/>
    <n v="40"/>
    <s v="HR"/>
    <s v="HR Manager"/>
    <x v="2"/>
    <s v="2020-12-06"/>
    <n v="10"/>
    <n v="66087"/>
    <n v="3.4"/>
    <n v="95.4"/>
    <n v="2"/>
    <n v="19"/>
    <n v="9203"/>
    <s v="Amit"/>
    <s v="Contract"/>
    <s v="Average"/>
    <s v="Medium"/>
    <s v="Senior"/>
    <n v="75290"/>
    <s v="Excellent"/>
    <s v="Normal"/>
    <s v="Senior"/>
    <s v="35-44"/>
  </r>
  <r>
    <n v="1911"/>
    <s v="Sonia"/>
    <s v="Female"/>
    <n v="26"/>
    <s v="Finance"/>
    <s v="Accountant"/>
    <x v="0"/>
    <s v="2020-11-09"/>
    <n v="4"/>
    <n v="68146"/>
    <n v="4.0999999999999996"/>
    <n v="85.2"/>
    <n v="0"/>
    <n v="48"/>
    <n v="5193"/>
    <s v="Kavya"/>
    <s v="Contract"/>
    <s v="Good"/>
    <s v="Medium"/>
    <s v="Mid Level"/>
    <n v="73339"/>
    <s v="Needs Improvement"/>
    <s v="Normal"/>
    <s v="Mid"/>
    <s v="25-34"/>
  </r>
  <r>
    <n v="1912"/>
    <s v="Sai"/>
    <s v="Male"/>
    <n v="35"/>
    <s v="Marketing"/>
    <s v="SEO Analyst"/>
    <x v="0"/>
    <s v="2021-04-17"/>
    <n v="4"/>
    <n v="45698"/>
    <n v="4.5"/>
    <n v="98"/>
    <n v="8"/>
    <n v="58"/>
    <n v="9476"/>
    <s v="Anitha"/>
    <s v="Contract"/>
    <s v="Excellent"/>
    <s v="Low"/>
    <s v="Mid Level"/>
    <n v="55174"/>
    <s v="Excellent"/>
    <s v="Normal"/>
    <s v="Mid"/>
    <s v="35-44"/>
  </r>
  <r>
    <n v="1913"/>
    <s v="Ravi"/>
    <s v="Female"/>
    <n v="34"/>
    <s v="HR"/>
    <s v="HR Manager"/>
    <x v="3"/>
    <s v="2019-06-26"/>
    <n v="0"/>
    <n v="40317"/>
    <n v="4.5"/>
    <n v="89.1"/>
    <n v="4"/>
    <n v="5"/>
    <n v="13363"/>
    <s v="Anitha"/>
    <s v="Contract"/>
    <s v="Excellent"/>
    <s v="Low"/>
    <s v="Junior"/>
    <n v="53680"/>
    <s v="Needs Improvement"/>
    <s v="Normal"/>
    <s v="Junior"/>
    <s v="25-34"/>
  </r>
  <r>
    <n v="1914"/>
    <s v="Varun"/>
    <s v="Female"/>
    <n v="35"/>
    <s v="Finance"/>
    <s v="Financial Analyst"/>
    <x v="1"/>
    <s v="2019-04-18"/>
    <n v="2"/>
    <n v="87123"/>
    <n v="2.9"/>
    <n v="83.9"/>
    <n v="12"/>
    <n v="56"/>
    <n v="4066"/>
    <s v="Ramesh"/>
    <s v="Full-Time"/>
    <s v="Needs Improvement"/>
    <s v="High"/>
    <s v="Junior"/>
    <n v="91189"/>
    <s v="Needs Improvement"/>
    <s v="Normal"/>
    <s v="Junior"/>
    <s v="35-44"/>
  </r>
  <r>
    <n v="1915"/>
    <s v="Ajay"/>
    <s v="Male"/>
    <n v="42"/>
    <s v="Marketing"/>
    <s v="SEO Analyst"/>
    <x v="0"/>
    <s v="2018-07-25"/>
    <n v="4"/>
    <n v="82070"/>
    <n v="4.7"/>
    <n v="98.2"/>
    <n v="12"/>
    <n v="49"/>
    <n v="5093"/>
    <s v="Anitha"/>
    <s v="Full-Time"/>
    <s v="Excellent"/>
    <s v="High"/>
    <s v="Mid Level"/>
    <n v="87163"/>
    <s v="Excellent"/>
    <s v="Normal"/>
    <s v="Mid"/>
    <s v="35-44"/>
  </r>
  <r>
    <n v="1916"/>
    <s v="Vijay"/>
    <s v="Male"/>
    <n v="42"/>
    <s v="Finance"/>
    <s v="Financial Analyst"/>
    <x v="3"/>
    <s v="2024-07-30"/>
    <n v="7"/>
    <n v="51899"/>
    <n v="2.7"/>
    <n v="95.4"/>
    <n v="0"/>
    <n v="42"/>
    <n v="11369"/>
    <s v="Anitha"/>
    <s v="Contract"/>
    <s v="Needs Improvement"/>
    <s v="Medium"/>
    <s v="Senior"/>
    <n v="63268"/>
    <s v="Excellent"/>
    <s v="Normal"/>
    <s v="Senior"/>
    <s v="35-44"/>
  </r>
  <r>
    <n v="1917"/>
    <s v="Kiran"/>
    <s v="Male"/>
    <n v="33"/>
    <s v="IT"/>
    <s v="Software Engineer"/>
    <x v="1"/>
    <s v="2022-09-10"/>
    <n v="0"/>
    <n v="55531"/>
    <n v="3.1"/>
    <n v="83.9"/>
    <n v="15"/>
    <n v="16"/>
    <n v="7185"/>
    <s v="Amit"/>
    <s v="Full-Time"/>
    <s v="Average"/>
    <s v="Medium"/>
    <s v="Junior"/>
    <n v="62716"/>
    <s v="Needs Improvement"/>
    <s v="Normal"/>
    <s v="Junior"/>
    <s v="25-34"/>
  </r>
  <r>
    <n v="1918"/>
    <s v="Harsha"/>
    <s v="Male"/>
    <n v="30"/>
    <s v="Sales"/>
    <s v="Sales Manager"/>
    <x v="4"/>
    <s v="2020-05-05"/>
    <n v="8"/>
    <n v="44894"/>
    <n v="4.8"/>
    <n v="82.1"/>
    <n v="13"/>
    <n v="20"/>
    <n v="4392"/>
    <s v="Amit"/>
    <s v="Contract"/>
    <s v="Excellent"/>
    <s v="Low"/>
    <s v="Senior"/>
    <n v="49286"/>
    <s v="Needs Improvement"/>
    <s v="Normal"/>
    <s v="Senior"/>
    <s v="25-34"/>
  </r>
  <r>
    <n v="1919"/>
    <s v="Deepa"/>
    <s v="Female"/>
    <n v="36"/>
    <s v="HR"/>
    <s v="HR Executive"/>
    <x v="2"/>
    <s v="2024-07-31"/>
    <n v="10"/>
    <n v="36194"/>
    <n v="3.8"/>
    <n v="89.4"/>
    <n v="13"/>
    <n v="21"/>
    <n v="14296"/>
    <s v="Amit"/>
    <s v="Contract"/>
    <s v="Average"/>
    <s v="Low"/>
    <s v="Senior"/>
    <n v="50490"/>
    <s v="Needs Improvement"/>
    <s v="Normal"/>
    <s v="Senior"/>
    <s v="35-44"/>
  </r>
  <r>
    <n v="1920"/>
    <s v="Arjun"/>
    <s v="Male"/>
    <n v="32"/>
    <s v="IT"/>
    <s v="Senior Developer"/>
    <x v="4"/>
    <s v="2018-07-06"/>
    <n v="2"/>
    <n v="40941"/>
    <n v="3.1"/>
    <n v="95.8"/>
    <n v="0"/>
    <n v="24"/>
    <n v="1823"/>
    <s v="Ramesh"/>
    <s v="Full-Time"/>
    <s v="Average"/>
    <s v="Low"/>
    <s v="Junior"/>
    <n v="42764"/>
    <s v="Excellent"/>
    <s v="Normal"/>
    <s v="Junior"/>
    <s v="25-34"/>
  </r>
  <r>
    <n v="1921"/>
    <s v="Rahul"/>
    <s v="Female"/>
    <n v="31"/>
    <s v="Finance"/>
    <s v="Accountant"/>
    <x v="3"/>
    <s v="2022-06-19"/>
    <n v="10"/>
    <n v="87764"/>
    <n v="2.7"/>
    <n v="88.2"/>
    <n v="2"/>
    <n v="55"/>
    <n v="9217"/>
    <s v="Ramesh"/>
    <s v="Full-Time"/>
    <s v="Needs Improvement"/>
    <s v="High"/>
    <s v="Senior"/>
    <n v="96981"/>
    <s v="Needs Improvement"/>
    <s v="Normal"/>
    <s v="Senior"/>
    <s v="25-34"/>
  </r>
  <r>
    <n v="1922"/>
    <s v="Priya"/>
    <s v="Female"/>
    <n v="23"/>
    <s v="Marketing"/>
    <s v="SEO Analyst"/>
    <x v="2"/>
    <s v="2018-04-24"/>
    <n v="4"/>
    <n v="89022"/>
    <n v="4.0999999999999996"/>
    <n v="83.1"/>
    <n v="9"/>
    <n v="46"/>
    <n v="9423"/>
    <s v="Anitha"/>
    <s v="Contract"/>
    <s v="Good"/>
    <s v="High"/>
    <s v="Mid Level"/>
    <n v="98445"/>
    <s v="Needs Improvement"/>
    <s v="Normal"/>
    <s v="Mid"/>
    <s v="20-24"/>
  </r>
  <r>
    <n v="1923"/>
    <s v="Anu"/>
    <s v="Female"/>
    <n v="28"/>
    <s v="Finance"/>
    <s v="Accountant"/>
    <x v="1"/>
    <s v="2020-10-21"/>
    <n v="7"/>
    <n v="68114"/>
    <n v="2.6"/>
    <n v="87.1"/>
    <n v="23"/>
    <n v="44"/>
    <n v="12693"/>
    <s v="Ramesh"/>
    <s v="Contract"/>
    <s v="Needs Improvement"/>
    <s v="Medium"/>
    <s v="Senior"/>
    <n v="80807"/>
    <s v="Needs Improvement"/>
    <s v="High"/>
    <s v="Senior"/>
    <s v="25-34"/>
  </r>
  <r>
    <n v="1924"/>
    <s v="Meena"/>
    <s v="Male"/>
    <n v="44"/>
    <s v="Marketing"/>
    <s v="SEO Analyst"/>
    <x v="3"/>
    <s v="2023-02-21"/>
    <n v="4"/>
    <n v="34434"/>
    <n v="3.9"/>
    <n v="99.6"/>
    <n v="5"/>
    <n v="36"/>
    <n v="9654"/>
    <s v="Amit"/>
    <s v="Contract"/>
    <s v="Average"/>
    <s v="Low"/>
    <s v="Mid Level"/>
    <n v="44088"/>
    <s v="Excellent"/>
    <s v="Normal"/>
    <s v="Mid"/>
    <s v="35-44"/>
  </r>
  <r>
    <n v="1925"/>
    <s v="Rahul"/>
    <s v="Male"/>
    <n v="42"/>
    <s v="Finance"/>
    <s v="Financial Analyst"/>
    <x v="2"/>
    <s v="2021-01-15"/>
    <n v="2"/>
    <n v="67653"/>
    <n v="4.5999999999999996"/>
    <n v="83.8"/>
    <n v="11"/>
    <n v="35"/>
    <n v="2659"/>
    <s v="Kavya"/>
    <s v="Full-Time"/>
    <s v="Excellent"/>
    <s v="Medium"/>
    <s v="Junior"/>
    <n v="70312"/>
    <s v="Needs Improvement"/>
    <s v="Normal"/>
    <s v="Junior"/>
    <s v="35-44"/>
  </r>
  <r>
    <n v="1926"/>
    <s v="Rahul"/>
    <s v="Female"/>
    <n v="26"/>
    <s v="Finance"/>
    <s v="Financial Analyst"/>
    <x v="1"/>
    <s v="2020-08-04"/>
    <n v="6"/>
    <n v="60272"/>
    <n v="3.8"/>
    <n v="94.1"/>
    <n v="17"/>
    <n v="46"/>
    <n v="8886"/>
    <s v="Anitha"/>
    <s v="Contract"/>
    <s v="Average"/>
    <s v="Medium"/>
    <s v="Senior"/>
    <n v="69158"/>
    <s v="Needs Improvement"/>
    <s v="Normal"/>
    <s v="Mid"/>
    <s v="25-34"/>
  </r>
  <r>
    <n v="1927"/>
    <s v="Sonia"/>
    <s v="Female"/>
    <n v="23"/>
    <s v="Sales"/>
    <s v="Sales Manager"/>
    <x v="1"/>
    <s v="2023-08-25"/>
    <n v="6"/>
    <n v="69831"/>
    <n v="4.8"/>
    <n v="86.9"/>
    <n v="11"/>
    <n v="31"/>
    <n v="3194"/>
    <s v="Suresh"/>
    <s v="Full-Time"/>
    <s v="Excellent"/>
    <s v="Medium"/>
    <s v="Senior"/>
    <n v="73025"/>
    <s v="Needs Improvement"/>
    <s v="Normal"/>
    <s v="Mid"/>
    <s v="20-24"/>
  </r>
  <r>
    <n v="1928"/>
    <s v="Varun"/>
    <s v="Female"/>
    <n v="43"/>
    <s v="HR"/>
    <s v="HR Executive"/>
    <x v="3"/>
    <s v="2020-08-15"/>
    <n v="6"/>
    <n v="58607"/>
    <n v="2.9"/>
    <n v="97.5"/>
    <n v="14"/>
    <n v="50"/>
    <n v="10288"/>
    <s v="Amit"/>
    <s v="Contract"/>
    <s v="Needs Improvement"/>
    <s v="Medium"/>
    <s v="Senior"/>
    <n v="68895"/>
    <s v="Excellent"/>
    <s v="Normal"/>
    <s v="Mid"/>
    <s v="35-44"/>
  </r>
  <r>
    <n v="1929"/>
    <s v="Sonia"/>
    <s v="Male"/>
    <n v="32"/>
    <s v="Sales"/>
    <s v="Sales Manager"/>
    <x v="2"/>
    <s v="2019-02-09"/>
    <n v="0"/>
    <n v="38632"/>
    <n v="3.2"/>
    <n v="83"/>
    <n v="5"/>
    <n v="37"/>
    <n v="14434"/>
    <s v="Kavya"/>
    <s v="Full-Time"/>
    <s v="Average"/>
    <s v="Low"/>
    <s v="Junior"/>
    <n v="53066"/>
    <s v="Needs Improvement"/>
    <s v="Normal"/>
    <s v="Junior"/>
    <s v="25-34"/>
  </r>
  <r>
    <n v="1930"/>
    <s v="Manoj"/>
    <s v="Male"/>
    <n v="40"/>
    <s v="HR"/>
    <s v="HR Manager"/>
    <x v="4"/>
    <s v="2021-07-12"/>
    <n v="0"/>
    <n v="56756"/>
    <n v="2.8"/>
    <n v="97.2"/>
    <n v="4"/>
    <n v="37"/>
    <n v="10852"/>
    <s v="Anitha"/>
    <s v="Full-Time"/>
    <s v="Needs Improvement"/>
    <s v="Medium"/>
    <s v="Junior"/>
    <n v="67608"/>
    <s v="Excellent"/>
    <s v="Normal"/>
    <s v="Junior"/>
    <s v="35-44"/>
  </r>
  <r>
    <n v="1931"/>
    <s v="Divya"/>
    <s v="Female"/>
    <n v="35"/>
    <s v="Sales"/>
    <s v="Sales Executive"/>
    <x v="3"/>
    <s v="2018-08-21"/>
    <n v="2"/>
    <n v="54920"/>
    <n v="3.7"/>
    <n v="95.4"/>
    <n v="15"/>
    <n v="32"/>
    <n v="9049"/>
    <s v="Kavya"/>
    <s v="Contract"/>
    <s v="Average"/>
    <s v="Medium"/>
    <s v="Junior"/>
    <n v="63969"/>
    <s v="Excellent"/>
    <s v="Normal"/>
    <s v="Junior"/>
    <s v="35-44"/>
  </r>
  <r>
    <n v="1932"/>
    <s v="Sai"/>
    <s v="Male"/>
    <n v="39"/>
    <s v="Marketing"/>
    <s v="SEO Analyst"/>
    <x v="1"/>
    <s v="2018-12-25"/>
    <n v="2"/>
    <n v="87229"/>
    <n v="2.8"/>
    <n v="82.9"/>
    <n v="6"/>
    <n v="38"/>
    <n v="8438"/>
    <s v="Suresh"/>
    <s v="Contract"/>
    <s v="Needs Improvement"/>
    <s v="High"/>
    <s v="Junior"/>
    <n v="95667"/>
    <s v="Needs Improvement"/>
    <s v="Normal"/>
    <s v="Junior"/>
    <s v="35-44"/>
  </r>
  <r>
    <n v="1933"/>
    <s v="Vijay"/>
    <s v="Male"/>
    <n v="43"/>
    <s v="HR"/>
    <s v="HR Executive"/>
    <x v="2"/>
    <s v="2023-07-31"/>
    <n v="2"/>
    <n v="73985"/>
    <n v="3.9"/>
    <n v="99.3"/>
    <n v="20"/>
    <n v="56"/>
    <n v="1087"/>
    <s v="Kavya"/>
    <s v="Full-Time"/>
    <s v="Average"/>
    <s v="High"/>
    <s v="Junior"/>
    <n v="75072"/>
    <s v="Excellent"/>
    <s v="Normal"/>
    <s v="Junior"/>
    <s v="35-44"/>
  </r>
  <r>
    <n v="1934"/>
    <s v="Divya"/>
    <s v="Female"/>
    <n v="26"/>
    <s v="IT"/>
    <s v="Software Engineer"/>
    <x v="0"/>
    <s v="2025-01-30"/>
    <n v="2"/>
    <n v="89483"/>
    <n v="3.8"/>
    <n v="95.8"/>
    <n v="8"/>
    <n v="44"/>
    <n v="1814"/>
    <s v="Suresh"/>
    <s v="Contract"/>
    <s v="Average"/>
    <s v="High"/>
    <s v="Junior"/>
    <n v="91297"/>
    <s v="Excellent"/>
    <s v="Normal"/>
    <s v="Junior"/>
    <s v="25-34"/>
  </r>
  <r>
    <n v="1935"/>
    <s v="Arjun"/>
    <s v="Female"/>
    <n v="38"/>
    <s v="IT"/>
    <s v="Software Engineer"/>
    <x v="4"/>
    <s v="2020-08-08"/>
    <n v="6"/>
    <n v="67395"/>
    <n v="4"/>
    <n v="87.1"/>
    <n v="13"/>
    <n v="6"/>
    <n v="9660"/>
    <s v="Amit"/>
    <s v="Full-Time"/>
    <s v="Good"/>
    <s v="Medium"/>
    <s v="Senior"/>
    <n v="77055"/>
    <s v="Needs Improvement"/>
    <s v="Normal"/>
    <s v="Mid"/>
    <s v="35-44"/>
  </r>
  <r>
    <n v="1936"/>
    <s v="Pooja"/>
    <s v="Male"/>
    <n v="24"/>
    <s v="Sales"/>
    <s v="Sales Manager"/>
    <x v="1"/>
    <s v="2022-08-02"/>
    <n v="9"/>
    <n v="51346"/>
    <n v="3.7"/>
    <n v="85.1"/>
    <n v="24"/>
    <n v="55"/>
    <n v="2664"/>
    <s v="Anitha"/>
    <s v="Full-Time"/>
    <s v="Average"/>
    <s v="Medium"/>
    <s v="Senior"/>
    <n v="54010"/>
    <s v="Needs Improvement"/>
    <s v="High"/>
    <s v="Senior"/>
    <s v="20-24"/>
  </r>
  <r>
    <n v="1937"/>
    <s v="Divya"/>
    <s v="Male"/>
    <n v="24"/>
    <s v="HR"/>
    <s v="HR Manager"/>
    <x v="0"/>
    <s v="2018-05-21"/>
    <n v="4"/>
    <n v="47810"/>
    <n v="2.8"/>
    <n v="94.1"/>
    <n v="19"/>
    <n v="30"/>
    <n v="9437"/>
    <s v="Ramesh"/>
    <s v="Contract"/>
    <s v="Needs Improvement"/>
    <s v="Low"/>
    <s v="Mid Level"/>
    <n v="57247"/>
    <s v="Needs Improvement"/>
    <s v="Normal"/>
    <s v="Mid"/>
    <s v="20-24"/>
  </r>
  <r>
    <n v="1938"/>
    <s v="Divya"/>
    <s v="Female"/>
    <n v="34"/>
    <s v="Marketing"/>
    <s v="Marketing Executive"/>
    <x v="2"/>
    <s v="2018-09-30"/>
    <n v="10"/>
    <n v="30531"/>
    <n v="3.8"/>
    <n v="89.8"/>
    <n v="12"/>
    <n v="58"/>
    <n v="13390"/>
    <s v="Ramesh"/>
    <s v="Contract"/>
    <s v="Average"/>
    <s v="Low"/>
    <s v="Senior"/>
    <n v="43921"/>
    <s v="Needs Improvement"/>
    <s v="Normal"/>
    <s v="Senior"/>
    <s v="25-34"/>
  </r>
  <r>
    <n v="1939"/>
    <s v="Kiran"/>
    <s v="Male"/>
    <n v="40"/>
    <s v="Sales"/>
    <s v="Sales Executive"/>
    <x v="2"/>
    <s v="2022-07-12"/>
    <n v="7"/>
    <n v="60087"/>
    <n v="3.1"/>
    <n v="97.5"/>
    <n v="17"/>
    <n v="49"/>
    <n v="11884"/>
    <s v="Kavya"/>
    <s v="Contract"/>
    <s v="Average"/>
    <s v="Medium"/>
    <s v="Senior"/>
    <n v="71971"/>
    <s v="Excellent"/>
    <s v="Normal"/>
    <s v="Senior"/>
    <s v="35-44"/>
  </r>
  <r>
    <n v="1940"/>
    <s v="Meena"/>
    <s v="Male"/>
    <n v="35"/>
    <s v="IT"/>
    <s v="Senior Developer"/>
    <x v="4"/>
    <s v="2018-10-17"/>
    <n v="1"/>
    <n v="51061"/>
    <n v="4.5"/>
    <n v="87.5"/>
    <n v="23"/>
    <n v="21"/>
    <n v="8684"/>
    <s v="Anitha"/>
    <s v="Contract"/>
    <s v="Excellent"/>
    <s v="Medium"/>
    <s v="Junior"/>
    <n v="59745"/>
    <s v="Needs Improvement"/>
    <s v="High"/>
    <s v="Junior"/>
    <s v="35-44"/>
  </r>
  <r>
    <n v="1941"/>
    <s v="Nikhil"/>
    <s v="Female"/>
    <n v="24"/>
    <s v="Finance"/>
    <s v="Financial Analyst"/>
    <x v="4"/>
    <s v="2022-03-10"/>
    <n v="10"/>
    <n v="76990"/>
    <n v="2.8"/>
    <n v="92"/>
    <n v="23"/>
    <n v="5"/>
    <n v="7373"/>
    <s v="Kavya"/>
    <s v="Full-Time"/>
    <s v="Needs Improvement"/>
    <s v="High"/>
    <s v="Senior"/>
    <n v="84363"/>
    <s v="Needs Improvement"/>
    <s v="High"/>
    <s v="Senior"/>
    <s v="20-24"/>
  </r>
  <r>
    <n v="1942"/>
    <s v="Arjun"/>
    <s v="Female"/>
    <n v="27"/>
    <s v="HR"/>
    <s v="HR Executive"/>
    <x v="3"/>
    <s v="2021-07-31"/>
    <n v="2"/>
    <n v="61249"/>
    <n v="4.0999999999999996"/>
    <n v="93.3"/>
    <n v="9"/>
    <n v="27"/>
    <n v="1457"/>
    <s v="Anitha"/>
    <s v="Contract"/>
    <s v="Good"/>
    <s v="Medium"/>
    <s v="Junior"/>
    <n v="62706"/>
    <s v="Needs Improvement"/>
    <s v="Normal"/>
    <s v="Junior"/>
    <s v="25-34"/>
  </r>
  <r>
    <n v="1943"/>
    <s v="Ravi"/>
    <s v="Male"/>
    <n v="41"/>
    <s v="Finance"/>
    <s v="Financial Analyst"/>
    <x v="3"/>
    <s v="2019-06-09"/>
    <n v="9"/>
    <n v="84048"/>
    <n v="3"/>
    <n v="88.6"/>
    <n v="6"/>
    <n v="26"/>
    <n v="5066"/>
    <s v="Ramesh"/>
    <s v="Contract"/>
    <s v="Average"/>
    <s v="High"/>
    <s v="Senior"/>
    <n v="89114"/>
    <s v="Needs Improvement"/>
    <s v="Normal"/>
    <s v="Senior"/>
    <s v="35-44"/>
  </r>
  <r>
    <n v="1944"/>
    <s v="Manoj"/>
    <s v="Male"/>
    <n v="33"/>
    <s v="Sales"/>
    <s v="Sales Manager"/>
    <x v="4"/>
    <s v="2021-05-15"/>
    <n v="1"/>
    <n v="93144"/>
    <n v="2.5"/>
    <n v="90.3"/>
    <n v="4"/>
    <n v="37"/>
    <n v="8247"/>
    <s v="Anitha"/>
    <s v="Full-Time"/>
    <s v="Needs Improvement"/>
    <s v="High"/>
    <s v="Junior"/>
    <n v="101391"/>
    <s v="Needs Improvement"/>
    <s v="Normal"/>
    <s v="Junior"/>
    <s v="25-34"/>
  </r>
  <r>
    <n v="1945"/>
    <s v="Divya"/>
    <s v="Male"/>
    <n v="29"/>
    <s v="Sales"/>
    <s v="Sales Manager"/>
    <x v="0"/>
    <s v="2021-09-20"/>
    <n v="2"/>
    <n v="40643"/>
    <n v="2.8"/>
    <n v="89"/>
    <n v="11"/>
    <n v="10"/>
    <n v="1146"/>
    <s v="Kavya"/>
    <s v="Full-Time"/>
    <s v="Needs Improvement"/>
    <s v="Low"/>
    <s v="Junior"/>
    <n v="41789"/>
    <s v="Needs Improvement"/>
    <s v="Normal"/>
    <s v="Junior"/>
    <s v="25-34"/>
  </r>
  <r>
    <n v="1946"/>
    <s v="Anu"/>
    <s v="Female"/>
    <n v="29"/>
    <s v="HR"/>
    <s v="HR Executive"/>
    <x v="4"/>
    <s v="2021-03-07"/>
    <n v="2"/>
    <n v="53500"/>
    <n v="4.9000000000000004"/>
    <n v="90.5"/>
    <n v="18"/>
    <n v="9"/>
    <n v="4063"/>
    <s v="Ramesh"/>
    <s v="Contract"/>
    <s v="Excellent"/>
    <s v="Medium"/>
    <s v="Junior"/>
    <n v="57563"/>
    <s v="Needs Improvement"/>
    <s v="Normal"/>
    <s v="Junior"/>
    <s v="25-34"/>
  </r>
  <r>
    <n v="1947"/>
    <s v="Deepa"/>
    <s v="Male"/>
    <n v="34"/>
    <s v="IT"/>
    <s v="Software Engineer"/>
    <x v="1"/>
    <s v="2019-12-13"/>
    <n v="1"/>
    <n v="55662"/>
    <n v="2.8"/>
    <n v="92.7"/>
    <n v="3"/>
    <n v="47"/>
    <n v="9846"/>
    <s v="Ramesh"/>
    <s v="Full-Time"/>
    <s v="Needs Improvement"/>
    <s v="Medium"/>
    <s v="Junior"/>
    <n v="65508"/>
    <s v="Needs Improvement"/>
    <s v="Normal"/>
    <s v="Junior"/>
    <s v="25-34"/>
  </r>
  <r>
    <n v="1948"/>
    <s v="Meena"/>
    <s v="Female"/>
    <n v="36"/>
    <s v="Finance"/>
    <s v="Financial Analyst"/>
    <x v="0"/>
    <s v="2022-07-22"/>
    <n v="10"/>
    <n v="36733"/>
    <n v="3.4"/>
    <n v="90.9"/>
    <n v="20"/>
    <n v="31"/>
    <n v="3948"/>
    <s v="Kavya"/>
    <s v="Full-Time"/>
    <s v="Average"/>
    <s v="Low"/>
    <s v="Senior"/>
    <n v="40681"/>
    <s v="Needs Improvement"/>
    <s v="Normal"/>
    <s v="Senior"/>
    <s v="35-44"/>
  </r>
  <r>
    <n v="1949"/>
    <s v="Kiran"/>
    <s v="Male"/>
    <n v="45"/>
    <s v="Marketing"/>
    <s v="Marketing Executive"/>
    <x v="2"/>
    <s v="2019-09-30"/>
    <n v="5"/>
    <n v="41446"/>
    <n v="3.1"/>
    <n v="95.4"/>
    <n v="21"/>
    <n v="52"/>
    <n v="10216"/>
    <s v="Anitha"/>
    <s v="Contract"/>
    <s v="Average"/>
    <s v="Low"/>
    <s v="Mid Level"/>
    <n v="51662"/>
    <s v="Excellent"/>
    <s v="High"/>
    <s v="Mid"/>
    <s v="45+"/>
  </r>
  <r>
    <n v="1950"/>
    <s v="Divya"/>
    <s v="Female"/>
    <n v="26"/>
    <s v="IT"/>
    <s v="Data Analyst"/>
    <x v="3"/>
    <s v="2019-08-30"/>
    <n v="2"/>
    <n v="42737"/>
    <n v="3.9"/>
    <n v="99.1"/>
    <n v="24"/>
    <n v="21"/>
    <n v="3664"/>
    <s v="Ramesh"/>
    <s v="Contract"/>
    <s v="Average"/>
    <s v="Low"/>
    <s v="Junior"/>
    <n v="46401"/>
    <s v="Excellent"/>
    <s v="High"/>
    <s v="Junior"/>
    <s v="25-34"/>
  </r>
  <r>
    <n v="1951"/>
    <s v="Varun"/>
    <s v="Female"/>
    <n v="22"/>
    <s v="Finance"/>
    <s v="Accountant"/>
    <x v="3"/>
    <s v="2025-03-30"/>
    <n v="1"/>
    <n v="25511"/>
    <n v="2.6"/>
    <n v="96.4"/>
    <n v="0"/>
    <n v="38"/>
    <n v="10264"/>
    <s v="Kavya"/>
    <s v="Full-Time"/>
    <s v="Needs Improvement"/>
    <s v="Low"/>
    <s v="Junior"/>
    <n v="35775"/>
    <s v="Excellent"/>
    <s v="Normal"/>
    <s v="Junior"/>
    <s v="20-24"/>
  </r>
  <r>
    <n v="1952"/>
    <s v="Deepa"/>
    <s v="Female"/>
    <n v="43"/>
    <s v="IT"/>
    <s v="Senior Developer"/>
    <x v="3"/>
    <s v="2024-10-13"/>
    <n v="0"/>
    <n v="53955"/>
    <n v="2.8"/>
    <n v="92.9"/>
    <n v="21"/>
    <n v="27"/>
    <n v="10284"/>
    <s v="Ramesh"/>
    <s v="Full-Time"/>
    <s v="Needs Improvement"/>
    <s v="Medium"/>
    <s v="Junior"/>
    <n v="64239"/>
    <s v="Needs Improvement"/>
    <s v="High"/>
    <s v="Junior"/>
    <s v="35-44"/>
  </r>
  <r>
    <n v="1953"/>
    <s v="Sonia"/>
    <s v="Female"/>
    <n v="28"/>
    <s v="IT"/>
    <s v="Data Analyst"/>
    <x v="0"/>
    <s v="2018-06-12"/>
    <n v="5"/>
    <n v="46607"/>
    <n v="3"/>
    <n v="95.8"/>
    <n v="3"/>
    <n v="41"/>
    <n v="3976"/>
    <s v="Ramesh"/>
    <s v="Full-Time"/>
    <s v="Average"/>
    <s v="Low"/>
    <s v="Mid Level"/>
    <n v="50583"/>
    <s v="Excellent"/>
    <s v="Normal"/>
    <s v="Mid"/>
    <s v="25-34"/>
  </r>
  <r>
    <n v="1954"/>
    <s v="Sneha"/>
    <s v="Female"/>
    <n v="25"/>
    <s v="Marketing"/>
    <s v="Marketing Executive"/>
    <x v="0"/>
    <s v="2024-09-16"/>
    <n v="2"/>
    <n v="42198"/>
    <n v="4.5"/>
    <n v="94.2"/>
    <n v="14"/>
    <n v="19"/>
    <n v="10316"/>
    <s v="Suresh"/>
    <s v="Full-Time"/>
    <s v="Excellent"/>
    <s v="Low"/>
    <s v="Junior"/>
    <n v="52514"/>
    <s v="Needs Improvement"/>
    <s v="Normal"/>
    <s v="Junior"/>
    <s v="25-34"/>
  </r>
  <r>
    <n v="1955"/>
    <s v="Rahul"/>
    <s v="Male"/>
    <n v="34"/>
    <s v="Marketing"/>
    <s v="SEO Analyst"/>
    <x v="2"/>
    <s v="2019-06-27"/>
    <n v="5"/>
    <n v="52286"/>
    <n v="3"/>
    <n v="95.6"/>
    <n v="15"/>
    <n v="24"/>
    <n v="6895"/>
    <s v="Ramesh"/>
    <s v="Contract"/>
    <s v="Average"/>
    <s v="Medium"/>
    <s v="Mid Level"/>
    <n v="59181"/>
    <s v="Excellent"/>
    <s v="Normal"/>
    <s v="Mid"/>
    <s v="25-34"/>
  </r>
  <r>
    <n v="1956"/>
    <s v="Rahul"/>
    <s v="Female"/>
    <n v="42"/>
    <s v="Finance"/>
    <s v="Financial Analyst"/>
    <x v="2"/>
    <s v="2023-09-28"/>
    <n v="8"/>
    <n v="37444"/>
    <n v="4.0999999999999996"/>
    <n v="90.9"/>
    <n v="14"/>
    <n v="53"/>
    <n v="4682"/>
    <s v="Suresh"/>
    <s v="Contract"/>
    <s v="Good"/>
    <s v="Low"/>
    <s v="Senior"/>
    <n v="42126"/>
    <s v="Needs Improvement"/>
    <s v="Normal"/>
    <s v="Senior"/>
    <s v="35-44"/>
  </r>
  <r>
    <n v="1957"/>
    <s v="Ravi"/>
    <s v="Female"/>
    <n v="22"/>
    <s v="HR"/>
    <s v="HR Manager"/>
    <x v="2"/>
    <s v="2021-02-05"/>
    <n v="9"/>
    <n v="78981"/>
    <n v="4.9000000000000004"/>
    <n v="85.3"/>
    <n v="22"/>
    <n v="11"/>
    <n v="4020"/>
    <s v="Kavya"/>
    <s v="Full-Time"/>
    <s v="Excellent"/>
    <s v="High"/>
    <s v="Senior"/>
    <n v="83001"/>
    <s v="Needs Improvement"/>
    <s v="High"/>
    <s v="Senior"/>
    <s v="20-24"/>
  </r>
  <r>
    <n v="1958"/>
    <s v="Rahul"/>
    <s v="Male"/>
    <n v="33"/>
    <s v="IT"/>
    <s v="Software Engineer"/>
    <x v="0"/>
    <s v="2022-12-17"/>
    <n v="7"/>
    <n v="74813"/>
    <n v="4"/>
    <n v="89.3"/>
    <n v="11"/>
    <n v="58"/>
    <n v="8124"/>
    <s v="Anitha"/>
    <s v="Full-Time"/>
    <s v="Good"/>
    <s v="High"/>
    <s v="Senior"/>
    <n v="82937"/>
    <s v="Needs Improvement"/>
    <s v="Normal"/>
    <s v="Senior"/>
    <s v="25-34"/>
  </r>
  <r>
    <n v="1959"/>
    <s v="Sai"/>
    <s v="Female"/>
    <n v="33"/>
    <s v="Sales"/>
    <s v="Sales Executive"/>
    <x v="2"/>
    <s v="2020-11-25"/>
    <n v="9"/>
    <n v="53661"/>
    <n v="4.0999999999999996"/>
    <n v="99.4"/>
    <n v="25"/>
    <n v="28"/>
    <n v="5622"/>
    <s v="Suresh"/>
    <s v="Full-Time"/>
    <s v="Good"/>
    <s v="Medium"/>
    <s v="Senior"/>
    <n v="59283"/>
    <s v="Excellent"/>
    <s v="High"/>
    <s v="Senior"/>
    <s v="25-34"/>
  </r>
  <r>
    <n v="1960"/>
    <s v="Varun"/>
    <s v="Female"/>
    <n v="42"/>
    <s v="Marketing"/>
    <s v="Marketing Executive"/>
    <x v="2"/>
    <s v="2022-01-04"/>
    <n v="0"/>
    <n v="42515"/>
    <n v="3.1"/>
    <n v="97.1"/>
    <n v="23"/>
    <n v="8"/>
    <n v="6843"/>
    <s v="Anitha"/>
    <s v="Contract"/>
    <s v="Average"/>
    <s v="Low"/>
    <s v="Junior"/>
    <n v="49358"/>
    <s v="Excellent"/>
    <s v="High"/>
    <s v="Junior"/>
    <s v="35-44"/>
  </r>
  <r>
    <n v="1961"/>
    <s v="Meena"/>
    <s v="Male"/>
    <n v="29"/>
    <s v="Marketing"/>
    <s v="SEO Analyst"/>
    <x v="1"/>
    <s v="2019-03-29"/>
    <n v="6"/>
    <n v="56313"/>
    <n v="2.5"/>
    <n v="90.8"/>
    <n v="4"/>
    <n v="56"/>
    <n v="11785"/>
    <s v="Ramesh"/>
    <s v="Contract"/>
    <s v="Needs Improvement"/>
    <s v="Medium"/>
    <s v="Senior"/>
    <n v="68098"/>
    <s v="Needs Improvement"/>
    <s v="Normal"/>
    <s v="Mid"/>
    <s v="25-34"/>
  </r>
  <r>
    <n v="1962"/>
    <s v="Varun"/>
    <s v="Female"/>
    <n v="33"/>
    <s v="Finance"/>
    <s v="Financial Analyst"/>
    <x v="0"/>
    <s v="2021-05-05"/>
    <n v="4"/>
    <n v="61615"/>
    <n v="3"/>
    <n v="87.5"/>
    <n v="20"/>
    <n v="43"/>
    <n v="13774"/>
    <s v="Suresh"/>
    <s v="Contract"/>
    <s v="Average"/>
    <s v="Medium"/>
    <s v="Mid Level"/>
    <n v="75389"/>
    <s v="Needs Improvement"/>
    <s v="Normal"/>
    <s v="Mid"/>
    <s v="25-34"/>
  </r>
  <r>
    <n v="1963"/>
    <s v="Sonia"/>
    <s v="Male"/>
    <n v="45"/>
    <s v="IT"/>
    <s v="Data Analyst"/>
    <x v="2"/>
    <s v="2021-09-23"/>
    <n v="9"/>
    <n v="61385"/>
    <n v="2.7"/>
    <n v="95.5"/>
    <n v="3"/>
    <n v="35"/>
    <n v="10734"/>
    <s v="Ramesh"/>
    <s v="Contract"/>
    <s v="Needs Improvement"/>
    <s v="Medium"/>
    <s v="Senior"/>
    <n v="72119"/>
    <s v="Excellent"/>
    <s v="Normal"/>
    <s v="Senior"/>
    <s v="45+"/>
  </r>
  <r>
    <n v="1964"/>
    <s v="Rahul"/>
    <s v="Female"/>
    <n v="25"/>
    <s v="IT"/>
    <s v="Senior Developer"/>
    <x v="4"/>
    <s v="2024-02-20"/>
    <n v="8"/>
    <n v="48470"/>
    <n v="3.5"/>
    <n v="85"/>
    <n v="3"/>
    <n v="46"/>
    <n v="2844"/>
    <s v="Amit"/>
    <s v="Full-Time"/>
    <s v="Average"/>
    <s v="Low"/>
    <s v="Senior"/>
    <n v="51314"/>
    <s v="Needs Improvement"/>
    <s v="Normal"/>
    <s v="Senior"/>
    <s v="25-34"/>
  </r>
  <r>
    <n v="1965"/>
    <s v="Manoj"/>
    <s v="Female"/>
    <n v="43"/>
    <s v="HR"/>
    <s v="HR Manager"/>
    <x v="3"/>
    <s v="2024-10-15"/>
    <n v="6"/>
    <n v="34616"/>
    <n v="3.5"/>
    <n v="91.2"/>
    <n v="21"/>
    <n v="47"/>
    <n v="10281"/>
    <s v="Kavya"/>
    <s v="Full-Time"/>
    <s v="Average"/>
    <s v="Low"/>
    <s v="Senior"/>
    <n v="44897"/>
    <s v="Needs Improvement"/>
    <s v="High"/>
    <s v="Mid"/>
    <s v="35-44"/>
  </r>
  <r>
    <n v="1966"/>
    <s v="Pooja"/>
    <s v="Female"/>
    <n v="22"/>
    <s v="HR"/>
    <s v="HR Executive"/>
    <x v="3"/>
    <s v="2025-03-20"/>
    <n v="10"/>
    <n v="67353"/>
    <n v="3.2"/>
    <n v="98.6"/>
    <n v="18"/>
    <n v="48"/>
    <n v="14607"/>
    <s v="Amit"/>
    <s v="Full-Time"/>
    <s v="Average"/>
    <s v="Medium"/>
    <s v="Senior"/>
    <n v="81960"/>
    <s v="Excellent"/>
    <s v="Normal"/>
    <s v="Senior"/>
    <s v="20-24"/>
  </r>
  <r>
    <n v="1967"/>
    <s v="Deepa"/>
    <s v="Female"/>
    <n v="35"/>
    <s v="HR"/>
    <s v="HR Executive"/>
    <x v="4"/>
    <s v="2022-10-20"/>
    <n v="0"/>
    <n v="94324"/>
    <n v="4.0999999999999996"/>
    <n v="99.5"/>
    <n v="22"/>
    <n v="52"/>
    <n v="6598"/>
    <s v="Amit"/>
    <s v="Full-Time"/>
    <s v="Good"/>
    <s v="High"/>
    <s v="Junior"/>
    <n v="100922"/>
    <s v="Excellent"/>
    <s v="High"/>
    <s v="Junior"/>
    <s v="35-44"/>
  </r>
  <r>
    <n v="1968"/>
    <s v="Kiran"/>
    <s v="Female"/>
    <n v="41"/>
    <s v="Finance"/>
    <s v="Accountant"/>
    <x v="4"/>
    <s v="2023-07-23"/>
    <n v="6"/>
    <n v="56303"/>
    <n v="3"/>
    <n v="96.7"/>
    <n v="15"/>
    <n v="25"/>
    <n v="13542"/>
    <s v="Suresh"/>
    <s v="Full-Time"/>
    <s v="Average"/>
    <s v="Medium"/>
    <s v="Senior"/>
    <n v="69845"/>
    <s v="Excellent"/>
    <s v="Normal"/>
    <s v="Mid"/>
    <s v="35-44"/>
  </r>
  <r>
    <n v="1969"/>
    <s v="Rahul"/>
    <s v="Male"/>
    <n v="28"/>
    <s v="HR"/>
    <s v="HR Executive"/>
    <x v="1"/>
    <s v="2019-05-31"/>
    <n v="10"/>
    <n v="74746"/>
    <n v="2.9"/>
    <n v="97.2"/>
    <n v="24"/>
    <n v="10"/>
    <n v="7112"/>
    <s v="Suresh"/>
    <s v="Contract"/>
    <s v="Needs Improvement"/>
    <s v="High"/>
    <s v="Senior"/>
    <n v="81858"/>
    <s v="Excellent"/>
    <s v="High"/>
    <s v="Senior"/>
    <s v="25-34"/>
  </r>
  <r>
    <n v="1970"/>
    <s v="Deepa"/>
    <s v="Male"/>
    <n v="36"/>
    <s v="HR"/>
    <s v="HR Manager"/>
    <x v="1"/>
    <s v="2018-03-30"/>
    <n v="0"/>
    <n v="51006"/>
    <n v="2.6"/>
    <n v="83.8"/>
    <n v="5"/>
    <n v="37"/>
    <n v="4446"/>
    <s v="Kavya"/>
    <s v="Full-Time"/>
    <s v="Needs Improvement"/>
    <s v="Medium"/>
    <s v="Junior"/>
    <n v="55452"/>
    <s v="Needs Improvement"/>
    <s v="Normal"/>
    <s v="Junior"/>
    <s v="35-44"/>
  </r>
  <r>
    <n v="1971"/>
    <s v="Nikhil"/>
    <s v="Female"/>
    <n v="43"/>
    <s v="HR"/>
    <s v="HR Executive"/>
    <x v="2"/>
    <s v="2018-12-07"/>
    <n v="8"/>
    <n v="82112"/>
    <n v="3.5"/>
    <n v="97.6"/>
    <n v="22"/>
    <n v="58"/>
    <n v="9600"/>
    <s v="Kavya"/>
    <s v="Contract"/>
    <s v="Average"/>
    <s v="High"/>
    <s v="Senior"/>
    <n v="91712"/>
    <s v="Excellent"/>
    <s v="High"/>
    <s v="Senior"/>
    <s v="35-44"/>
  </r>
  <r>
    <n v="1972"/>
    <s v="Deepa"/>
    <s v="Female"/>
    <n v="45"/>
    <s v="HR"/>
    <s v="HR Executive"/>
    <x v="4"/>
    <s v="2021-11-29"/>
    <n v="1"/>
    <n v="66743"/>
    <n v="2.8"/>
    <n v="99"/>
    <n v="19"/>
    <n v="58"/>
    <n v="1411"/>
    <s v="Amit"/>
    <s v="Full-Time"/>
    <s v="Needs Improvement"/>
    <s v="Medium"/>
    <s v="Junior"/>
    <n v="68154"/>
    <s v="Excellent"/>
    <s v="Normal"/>
    <s v="Junior"/>
    <s v="45+"/>
  </r>
  <r>
    <n v="1973"/>
    <s v="Sai"/>
    <s v="Female"/>
    <n v="32"/>
    <s v="Finance"/>
    <s v="Accountant"/>
    <x v="4"/>
    <s v="2022-11-17"/>
    <n v="0"/>
    <n v="52303"/>
    <n v="3.4"/>
    <n v="99.6"/>
    <n v="20"/>
    <n v="51"/>
    <n v="13260"/>
    <s v="Amit"/>
    <s v="Contract"/>
    <s v="Average"/>
    <s v="Medium"/>
    <s v="Junior"/>
    <n v="65563"/>
    <s v="Excellent"/>
    <s v="Normal"/>
    <s v="Junior"/>
    <s v="25-34"/>
  </r>
  <r>
    <n v="1974"/>
    <s v="Divya"/>
    <s v="Male"/>
    <n v="42"/>
    <s v="HR"/>
    <s v="HR Manager"/>
    <x v="2"/>
    <s v="2023-08-31"/>
    <n v="5"/>
    <n v="88240"/>
    <n v="2.7"/>
    <n v="83"/>
    <n v="3"/>
    <n v="49"/>
    <n v="13340"/>
    <s v="Amit"/>
    <s v="Contract"/>
    <s v="Needs Improvement"/>
    <s v="High"/>
    <s v="Mid Level"/>
    <n v="101580"/>
    <s v="Needs Improvement"/>
    <s v="Normal"/>
    <s v="Mid"/>
    <s v="35-44"/>
  </r>
  <r>
    <n v="1975"/>
    <s v="Meena"/>
    <s v="Female"/>
    <n v="31"/>
    <s v="IT"/>
    <s v="Senior Developer"/>
    <x v="3"/>
    <s v="2019-09-14"/>
    <n v="5"/>
    <n v="37540"/>
    <n v="5"/>
    <n v="99.3"/>
    <n v="14"/>
    <n v="38"/>
    <n v="12648"/>
    <s v="Kavya"/>
    <s v="Full-Time"/>
    <s v="Excellent"/>
    <s v="Low"/>
    <s v="Mid Level"/>
    <n v="50188"/>
    <s v="Excellent"/>
    <s v="Normal"/>
    <s v="Mid"/>
    <s v="25-34"/>
  </r>
  <r>
    <n v="1976"/>
    <s v="Sai"/>
    <s v="Male"/>
    <n v="29"/>
    <s v="HR"/>
    <s v="HR Executive"/>
    <x v="1"/>
    <s v="2023-04-07"/>
    <n v="8"/>
    <n v="33061"/>
    <n v="4.5999999999999996"/>
    <n v="86.6"/>
    <n v="8"/>
    <n v="48"/>
    <n v="2682"/>
    <s v="Anitha"/>
    <s v="Contract"/>
    <s v="Excellent"/>
    <s v="Low"/>
    <s v="Senior"/>
    <n v="35743"/>
    <s v="Needs Improvement"/>
    <s v="Normal"/>
    <s v="Senior"/>
    <s v="25-34"/>
  </r>
  <r>
    <n v="1977"/>
    <s v="Vijay"/>
    <s v="Female"/>
    <n v="35"/>
    <s v="Finance"/>
    <s v="Accountant"/>
    <x v="3"/>
    <s v="2021-08-21"/>
    <n v="2"/>
    <n v="34565"/>
    <n v="4.0999999999999996"/>
    <n v="89.2"/>
    <n v="24"/>
    <n v="42"/>
    <n v="5111"/>
    <s v="Amit"/>
    <s v="Contract"/>
    <s v="Good"/>
    <s v="Low"/>
    <s v="Junior"/>
    <n v="39676"/>
    <s v="Needs Improvement"/>
    <s v="High"/>
    <s v="Junior"/>
    <s v="35-44"/>
  </r>
  <r>
    <n v="1978"/>
    <s v="Pooja"/>
    <s v="Female"/>
    <n v="38"/>
    <s v="Sales"/>
    <s v="Sales Manager"/>
    <x v="0"/>
    <s v="2024-05-28"/>
    <n v="10"/>
    <n v="91191"/>
    <n v="4"/>
    <n v="93.3"/>
    <n v="24"/>
    <n v="50"/>
    <n v="8080"/>
    <s v="Kavya"/>
    <s v="Full-Time"/>
    <s v="Good"/>
    <s v="High"/>
    <s v="Senior"/>
    <n v="99271"/>
    <s v="Needs Improvement"/>
    <s v="High"/>
    <s v="Senior"/>
    <s v="35-44"/>
  </r>
  <r>
    <n v="1979"/>
    <s v="Harsha"/>
    <s v="Female"/>
    <n v="44"/>
    <s v="HR"/>
    <s v="HR Manager"/>
    <x v="0"/>
    <s v="2023-11-08"/>
    <n v="6"/>
    <n v="51048"/>
    <n v="4.4000000000000004"/>
    <n v="96"/>
    <n v="20"/>
    <n v="14"/>
    <n v="1275"/>
    <s v="Kavya"/>
    <s v="Contract"/>
    <s v="Good"/>
    <s v="Medium"/>
    <s v="Senior"/>
    <n v="52323"/>
    <s v="Excellent"/>
    <s v="Normal"/>
    <s v="Mid"/>
    <s v="35-44"/>
  </r>
  <r>
    <n v="1980"/>
    <s v="Keerthi"/>
    <s v="Female"/>
    <n v="34"/>
    <s v="IT"/>
    <s v="Data Analyst"/>
    <x v="0"/>
    <s v="2020-02-09"/>
    <n v="10"/>
    <n v="83653"/>
    <n v="2.7"/>
    <n v="91.8"/>
    <n v="0"/>
    <n v="35"/>
    <n v="10325"/>
    <s v="Amit"/>
    <s v="Full-Time"/>
    <s v="Needs Improvement"/>
    <s v="High"/>
    <s v="Senior"/>
    <n v="93978"/>
    <s v="Needs Improvement"/>
    <s v="Normal"/>
    <s v="Senior"/>
    <s v="25-34"/>
  </r>
  <r>
    <n v="1981"/>
    <s v="Ajay"/>
    <s v="Male"/>
    <n v="43"/>
    <s v="Finance"/>
    <s v="Financial Analyst"/>
    <x v="4"/>
    <s v="2022-10-24"/>
    <n v="1"/>
    <n v="70508"/>
    <n v="3.7"/>
    <n v="92.9"/>
    <n v="6"/>
    <n v="47"/>
    <n v="12394"/>
    <s v="Anitha"/>
    <s v="Contract"/>
    <s v="Average"/>
    <s v="High"/>
    <s v="Junior"/>
    <n v="82902"/>
    <s v="Needs Improvement"/>
    <s v="Normal"/>
    <s v="Junior"/>
    <s v="35-44"/>
  </r>
  <r>
    <n v="1982"/>
    <s v="Kiran"/>
    <s v="Male"/>
    <n v="23"/>
    <s v="Sales"/>
    <s v="Sales Executive"/>
    <x v="3"/>
    <s v="2018-12-02"/>
    <n v="2"/>
    <n v="54393"/>
    <n v="4.4000000000000004"/>
    <n v="88.4"/>
    <n v="20"/>
    <n v="47"/>
    <n v="11914"/>
    <s v="Ramesh"/>
    <s v="Contract"/>
    <s v="Good"/>
    <s v="Medium"/>
    <s v="Junior"/>
    <n v="66307"/>
    <s v="Needs Improvement"/>
    <s v="Normal"/>
    <s v="Junior"/>
    <s v="20-24"/>
  </r>
  <r>
    <n v="1983"/>
    <s v="Ajay"/>
    <s v="Female"/>
    <n v="29"/>
    <s v="HR"/>
    <s v="HR Executive"/>
    <x v="1"/>
    <s v="2020-07-08"/>
    <n v="3"/>
    <n v="90723"/>
    <n v="3.3"/>
    <n v="97.4"/>
    <n v="3"/>
    <n v="29"/>
    <n v="6747"/>
    <s v="Kavya"/>
    <s v="Contract"/>
    <s v="Average"/>
    <s v="High"/>
    <s v="Mid Level"/>
    <n v="97470"/>
    <s v="Excellent"/>
    <s v="Normal"/>
    <s v="Mid"/>
    <s v="25-34"/>
  </r>
  <r>
    <n v="1984"/>
    <s v="Harsha"/>
    <s v="Female"/>
    <n v="36"/>
    <s v="Sales"/>
    <s v="Sales Manager"/>
    <x v="4"/>
    <s v="2021-09-30"/>
    <n v="0"/>
    <n v="61918"/>
    <n v="3.8"/>
    <n v="89.3"/>
    <n v="2"/>
    <n v="42"/>
    <n v="10222"/>
    <s v="Anitha"/>
    <s v="Full-Time"/>
    <s v="Average"/>
    <s v="Medium"/>
    <s v="Junior"/>
    <n v="72140"/>
    <s v="Needs Improvement"/>
    <s v="Normal"/>
    <s v="Junior"/>
    <s v="35-44"/>
  </r>
  <r>
    <n v="1985"/>
    <s v="Arjun"/>
    <s v="Male"/>
    <n v="39"/>
    <s v="Sales"/>
    <s v="Sales Manager"/>
    <x v="0"/>
    <s v="2022-08-09"/>
    <n v="8"/>
    <n v="25641"/>
    <n v="3.4"/>
    <n v="89.4"/>
    <n v="0"/>
    <n v="17"/>
    <n v="9393"/>
    <s v="Kavya"/>
    <s v="Full-Time"/>
    <s v="Average"/>
    <s v="Low"/>
    <s v="Senior"/>
    <n v="35034"/>
    <s v="Needs Improvement"/>
    <s v="Normal"/>
    <s v="Senior"/>
    <s v="35-44"/>
  </r>
  <r>
    <n v="1986"/>
    <s v="Sonia"/>
    <s v="Female"/>
    <n v="24"/>
    <s v="HR"/>
    <s v="HR Manager"/>
    <x v="3"/>
    <s v="2023-11-25"/>
    <n v="0"/>
    <n v="80640"/>
    <n v="2.8"/>
    <n v="94.9"/>
    <n v="6"/>
    <n v="43"/>
    <n v="7765"/>
    <s v="Amit"/>
    <s v="Full-Time"/>
    <s v="Needs Improvement"/>
    <s v="High"/>
    <s v="Junior"/>
    <n v="88405"/>
    <s v="Needs Improvement"/>
    <s v="Normal"/>
    <s v="Junior"/>
    <s v="20-24"/>
  </r>
  <r>
    <n v="1987"/>
    <s v="Anu"/>
    <s v="Male"/>
    <n v="39"/>
    <s v="Sales"/>
    <s v="Sales Manager"/>
    <x v="3"/>
    <s v="2022-12-27"/>
    <n v="7"/>
    <n v="46873"/>
    <n v="4.4000000000000004"/>
    <n v="85.5"/>
    <n v="7"/>
    <n v="25"/>
    <n v="4683"/>
    <s v="Ramesh"/>
    <s v="Contract"/>
    <s v="Good"/>
    <s v="Low"/>
    <s v="Senior"/>
    <n v="51556"/>
    <s v="Needs Improvement"/>
    <s v="Normal"/>
    <s v="Senior"/>
    <s v="35-44"/>
  </r>
  <r>
    <n v="1988"/>
    <s v="Ajay"/>
    <s v="Male"/>
    <n v="38"/>
    <s v="Finance"/>
    <s v="Financial Analyst"/>
    <x v="3"/>
    <s v="2023-07-19"/>
    <n v="1"/>
    <n v="33778"/>
    <n v="3.1"/>
    <n v="84.6"/>
    <n v="8"/>
    <n v="23"/>
    <n v="10531"/>
    <s v="Anitha"/>
    <s v="Full-Time"/>
    <s v="Average"/>
    <s v="Low"/>
    <s v="Junior"/>
    <n v="44309"/>
    <s v="Needs Improvement"/>
    <s v="Normal"/>
    <s v="Junior"/>
    <s v="35-44"/>
  </r>
  <r>
    <n v="1989"/>
    <s v="Sonia"/>
    <s v="Male"/>
    <n v="29"/>
    <s v="HR"/>
    <s v="HR Executive"/>
    <x v="2"/>
    <s v="2023-12-15"/>
    <n v="4"/>
    <n v="52235"/>
    <n v="2.6"/>
    <n v="92.4"/>
    <n v="15"/>
    <n v="23"/>
    <n v="3361"/>
    <s v="Anitha"/>
    <s v="Full-Time"/>
    <s v="Needs Improvement"/>
    <s v="Medium"/>
    <s v="Mid Level"/>
    <n v="55596"/>
    <s v="Needs Improvement"/>
    <s v="Normal"/>
    <s v="Mid"/>
    <s v="25-34"/>
  </r>
  <r>
    <n v="1990"/>
    <s v="Ajay"/>
    <s v="Male"/>
    <n v="32"/>
    <s v="Marketing"/>
    <s v="SEO Analyst"/>
    <x v="1"/>
    <s v="2019-12-18"/>
    <n v="2"/>
    <n v="87051"/>
    <n v="2.6"/>
    <n v="91.2"/>
    <n v="15"/>
    <n v="48"/>
    <n v="14838"/>
    <s v="Amit"/>
    <s v="Contract"/>
    <s v="Needs Improvement"/>
    <s v="High"/>
    <s v="Junior"/>
    <n v="101889"/>
    <s v="Needs Improvement"/>
    <s v="Normal"/>
    <s v="Junior"/>
    <s v="25-34"/>
  </r>
  <r>
    <n v="1991"/>
    <s v="Keerthi"/>
    <s v="Female"/>
    <n v="36"/>
    <s v="HR"/>
    <s v="HR Executive"/>
    <x v="4"/>
    <s v="2018-07-09"/>
    <n v="9"/>
    <n v="47894"/>
    <n v="3.2"/>
    <n v="84.8"/>
    <n v="5"/>
    <n v="16"/>
    <n v="1958"/>
    <s v="Anitha"/>
    <s v="Full-Time"/>
    <s v="Average"/>
    <s v="Low"/>
    <s v="Senior"/>
    <n v="49852"/>
    <s v="Needs Improvement"/>
    <s v="Normal"/>
    <s v="Senior"/>
    <s v="35-44"/>
  </r>
  <r>
    <n v="1992"/>
    <s v="Sai"/>
    <s v="Male"/>
    <n v="43"/>
    <s v="Finance"/>
    <s v="Financial Analyst"/>
    <x v="4"/>
    <s v="2024-04-05"/>
    <n v="4"/>
    <n v="42665"/>
    <n v="3.3"/>
    <n v="92.3"/>
    <n v="0"/>
    <n v="13"/>
    <n v="4629"/>
    <s v="Amit"/>
    <s v="Contract"/>
    <s v="Average"/>
    <s v="Low"/>
    <s v="Mid Level"/>
    <n v="47294"/>
    <s v="Needs Improvement"/>
    <s v="Normal"/>
    <s v="Mid"/>
    <s v="35-44"/>
  </r>
  <r>
    <n v="1993"/>
    <s v="Sai"/>
    <s v="Male"/>
    <n v="24"/>
    <s v="Sales"/>
    <s v="Sales Manager"/>
    <x v="3"/>
    <s v="2022-07-30"/>
    <n v="4"/>
    <n v="36419"/>
    <n v="3.3"/>
    <n v="97.8"/>
    <n v="14"/>
    <n v="46"/>
    <n v="11331"/>
    <s v="Suresh"/>
    <s v="Contract"/>
    <s v="Average"/>
    <s v="Low"/>
    <s v="Mid Level"/>
    <n v="47750"/>
    <s v="Excellent"/>
    <s v="Normal"/>
    <s v="Mid"/>
    <s v="20-24"/>
  </r>
  <r>
    <n v="1994"/>
    <s v="Sai"/>
    <s v="Female"/>
    <n v="28"/>
    <s v="Finance"/>
    <s v="Financial Analyst"/>
    <x v="2"/>
    <s v="2018-05-27"/>
    <n v="9"/>
    <n v="31929"/>
    <n v="3.8"/>
    <n v="93.6"/>
    <n v="24"/>
    <n v="39"/>
    <n v="7310"/>
    <s v="Amit"/>
    <s v="Full-Time"/>
    <s v="Average"/>
    <s v="Low"/>
    <s v="Senior"/>
    <n v="39239"/>
    <s v="Needs Improvement"/>
    <s v="High"/>
    <s v="Senior"/>
    <s v="25-34"/>
  </r>
  <r>
    <n v="1995"/>
    <s v="Divya"/>
    <s v="Female"/>
    <n v="40"/>
    <s v="IT"/>
    <s v="Senior Developer"/>
    <x v="3"/>
    <s v="2023-07-08"/>
    <n v="5"/>
    <n v="46136"/>
    <n v="2.8"/>
    <n v="93.5"/>
    <n v="4"/>
    <n v="19"/>
    <n v="1996"/>
    <s v="Amit"/>
    <s v="Full-Time"/>
    <s v="Needs Improvement"/>
    <s v="Low"/>
    <s v="Mid Level"/>
    <n v="48132"/>
    <s v="Needs Improvement"/>
    <s v="Normal"/>
    <s v="Mid"/>
    <s v="35-44"/>
  </r>
  <r>
    <n v="1996"/>
    <s v="Pooja"/>
    <s v="Male"/>
    <n v="31"/>
    <s v="IT"/>
    <s v="Senior Developer"/>
    <x v="2"/>
    <s v="2020-07-18"/>
    <n v="7"/>
    <n v="62459"/>
    <n v="3.5"/>
    <n v="83.7"/>
    <n v="1"/>
    <n v="28"/>
    <n v="13496"/>
    <s v="Ramesh"/>
    <s v="Full-Time"/>
    <s v="Average"/>
    <s v="Medium"/>
    <s v="Senior"/>
    <n v="75955"/>
    <s v="Needs Improvement"/>
    <s v="Normal"/>
    <s v="Senior"/>
    <s v="25-34"/>
  </r>
  <r>
    <n v="1997"/>
    <s v="Arjun"/>
    <s v="Female"/>
    <n v="33"/>
    <s v="Sales"/>
    <s v="Sales Manager"/>
    <x v="1"/>
    <s v="2019-09-23"/>
    <n v="6"/>
    <n v="53773"/>
    <n v="3.7"/>
    <n v="98.1"/>
    <n v="13"/>
    <n v="27"/>
    <n v="4653"/>
    <s v="Kavya"/>
    <s v="Contract"/>
    <s v="Average"/>
    <s v="Medium"/>
    <s v="Senior"/>
    <n v="58426"/>
    <s v="Excellent"/>
    <s v="Normal"/>
    <s v="Mid"/>
    <s v="25-34"/>
  </r>
  <r>
    <n v="1998"/>
    <s v="Manoj"/>
    <s v="Male"/>
    <n v="23"/>
    <s v="Marketing"/>
    <s v="Marketing Executive"/>
    <x v="2"/>
    <s v="2022-03-11"/>
    <n v="8"/>
    <n v="76041"/>
    <n v="3.8"/>
    <n v="89.3"/>
    <n v="20"/>
    <n v="54"/>
    <n v="7317"/>
    <s v="Kavya"/>
    <s v="Contract"/>
    <s v="Average"/>
    <s v="High"/>
    <s v="Senior"/>
    <n v="83358"/>
    <s v="Needs Improvement"/>
    <s v="Normal"/>
    <s v="Senior"/>
    <s v="20-24"/>
  </r>
  <r>
    <n v="1999"/>
    <s v="Sneha"/>
    <s v="Female"/>
    <n v="30"/>
    <s v="HR"/>
    <s v="HR Executive"/>
    <x v="3"/>
    <s v="2022-12-15"/>
    <n v="3"/>
    <n v="57025"/>
    <n v="4"/>
    <n v="82.7"/>
    <n v="19"/>
    <n v="36"/>
    <n v="5814"/>
    <s v="Anitha"/>
    <s v="Full-Time"/>
    <s v="Good"/>
    <s v="Medium"/>
    <s v="Mid Level"/>
    <n v="62839"/>
    <s v="Needs Improvement"/>
    <s v="Normal"/>
    <s v="Mid"/>
    <s v="25-34"/>
  </r>
  <r>
    <n v="2000"/>
    <s v="Varun"/>
    <s v="Male"/>
    <n v="43"/>
    <s v="Finance"/>
    <s v="Financial Analyst"/>
    <x v="0"/>
    <s v="2020-02-27"/>
    <n v="2"/>
    <n v="84959"/>
    <n v="4.5"/>
    <n v="85.1"/>
    <n v="22"/>
    <n v="43"/>
    <n v="3413"/>
    <s v="Amit"/>
    <s v="Full-Time"/>
    <s v="Excellent"/>
    <s v="High"/>
    <s v="Junior"/>
    <n v="88372"/>
    <s v="Needs Improvement"/>
    <s v="High"/>
    <s v="Junior"/>
    <s v="3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201955-B796-462E-9692-04B6F9C3F013}"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B18" firstHeaderRow="1" firstDataRow="1" firstDataCol="1"/>
  <pivotFields count="25">
    <pivotField dataField="1" showAll="0"/>
    <pivotField showAll="0"/>
    <pivotField showAll="0"/>
    <pivotField showAll="0"/>
    <pivotField showAll="0"/>
    <pivotField showAll="0"/>
    <pivotField axis="axisRow" showAll="0">
      <items count="6">
        <item x="0"/>
        <item x="2"/>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Employee_ID" fld="0" baseField="0" baseItem="0"/>
  </dataFields>
  <chartFormats count="1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6" count="1" selected="0">
            <x v="4"/>
          </reference>
        </references>
      </pivotArea>
    </chartFormat>
    <chartFormat chart="7" format="4">
      <pivotArea type="data" outline="0" fieldPosition="0">
        <references count="2">
          <reference field="4294967294" count="1" selected="0">
            <x v="0"/>
          </reference>
          <reference field="6" count="1" selected="0">
            <x v="3"/>
          </reference>
        </references>
      </pivotArea>
    </chartFormat>
    <chartFormat chart="7" format="5">
      <pivotArea type="data" outline="0" fieldPosition="0">
        <references count="2">
          <reference field="4294967294" count="1" selected="0">
            <x v="0"/>
          </reference>
          <reference field="6" count="1" selected="0">
            <x v="2"/>
          </reference>
        </references>
      </pivotArea>
    </chartFormat>
    <chartFormat chart="7" format="6">
      <pivotArea type="data" outline="0" fieldPosition="0">
        <references count="2">
          <reference field="4294967294" count="1" selected="0">
            <x v="0"/>
          </reference>
          <reference field="6" count="1" selected="0">
            <x v="1"/>
          </reference>
        </references>
      </pivotArea>
    </chartFormat>
    <chartFormat chart="7" format="7">
      <pivotArea type="data" outline="0" fieldPosition="0">
        <references count="2">
          <reference field="4294967294" count="1" selected="0">
            <x v="0"/>
          </reference>
          <reference field="6" count="1" selected="0">
            <x v="0"/>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6" count="1" selected="0">
            <x v="0"/>
          </reference>
        </references>
      </pivotArea>
    </chartFormat>
    <chartFormat chart="11" format="16">
      <pivotArea type="data" outline="0" fieldPosition="0">
        <references count="2">
          <reference field="4294967294" count="1" selected="0">
            <x v="0"/>
          </reference>
          <reference field="6" count="1" selected="0">
            <x v="1"/>
          </reference>
        </references>
      </pivotArea>
    </chartFormat>
    <chartFormat chart="11" format="17">
      <pivotArea type="data" outline="0" fieldPosition="0">
        <references count="2">
          <reference field="4294967294" count="1" selected="0">
            <x v="0"/>
          </reference>
          <reference field="6" count="1" selected="0">
            <x v="2"/>
          </reference>
        </references>
      </pivotArea>
    </chartFormat>
    <chartFormat chart="11" format="18">
      <pivotArea type="data" outline="0" fieldPosition="0">
        <references count="2">
          <reference field="4294967294" count="1" selected="0">
            <x v="0"/>
          </reference>
          <reference field="6" count="1" selected="0">
            <x v="3"/>
          </reference>
        </references>
      </pivotArea>
    </chartFormat>
    <chartFormat chart="11" format="19">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E2DEE1-922A-4D39-BA05-572B688164C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J3:K6" firstHeaderRow="1" firstDataRow="1" firstDataCol="1"/>
  <pivotFields count="20">
    <pivotField dataField="1" showAll="0"/>
    <pivotField showAll="0"/>
    <pivotField axis="axisRow" showAll="0">
      <items count="3">
        <item x="1"/>
        <item x="0"/>
        <item t="default"/>
      </items>
    </pivotField>
    <pivotField showAll="0"/>
    <pivotField showAll="0">
      <items count="6">
        <item x="1"/>
        <item x="3"/>
        <item x="2"/>
        <item x="4"/>
        <item x="0"/>
        <item t="default"/>
      </items>
    </pivotField>
    <pivotField showAll="0"/>
    <pivotField showAll="0">
      <items count="7">
        <item h="1" x="0"/>
        <item x="2"/>
        <item x="1"/>
        <item x="3"/>
        <item x="4"/>
        <item x="5"/>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s>
  <rowFields count="1">
    <field x="2"/>
  </rowFields>
  <rowItems count="3">
    <i>
      <x/>
    </i>
    <i>
      <x v="1"/>
    </i>
    <i t="grand">
      <x/>
    </i>
  </rowItems>
  <colItems count="1">
    <i/>
  </colItems>
  <dataFields count="1">
    <dataField name="Count of Employee_ID" fld="0" subtotal="count" baseField="2" baseItem="0"/>
  </dataFields>
  <chartFormats count="6">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2" count="1" selected="0">
            <x v="0"/>
          </reference>
        </references>
      </pivotArea>
    </chartFormat>
    <chartFormat chart="21" format="1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085DEA-67D2-43AF-A91C-773F0C9CF1C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2:E16" firstHeaderRow="1" firstDataRow="1" firstDataCol="1"/>
  <pivotFields count="20">
    <pivotField showAll="0"/>
    <pivotField showAll="0"/>
    <pivotField showAll="0">
      <items count="3">
        <item x="1"/>
        <item x="0"/>
        <item t="default"/>
      </items>
    </pivotField>
    <pivotField showAll="0"/>
    <pivotField showAll="0">
      <items count="6">
        <item x="1"/>
        <item x="3"/>
        <item x="2"/>
        <item x="4"/>
        <item x="0"/>
        <item t="default"/>
      </items>
    </pivotField>
    <pivotField showAll="0"/>
    <pivotField showAll="0">
      <items count="7">
        <item h="1" x="0"/>
        <item x="2"/>
        <item x="1"/>
        <item x="3"/>
        <item x="4"/>
        <item x="5"/>
        <item t="default"/>
      </items>
    </pivotField>
    <pivotField showAll="0"/>
    <pivotField showAll="0"/>
    <pivotField dataField="1" showAll="0"/>
    <pivotField showAll="0"/>
    <pivotField showAll="0"/>
    <pivotField showAll="0"/>
    <pivotField showAll="0"/>
    <pivotField showAll="0"/>
    <pivotField showAll="0"/>
    <pivotField showAll="0">
      <items count="3">
        <item x="0"/>
        <item x="1"/>
        <item t="default"/>
      </items>
    </pivotField>
    <pivotField showAll="0"/>
    <pivotField showAll="0"/>
    <pivotField axis="axisRow" showAll="0">
      <items count="4">
        <item x="0"/>
        <item x="1"/>
        <item x="2"/>
        <item t="default"/>
      </items>
    </pivotField>
  </pivotFields>
  <rowFields count="1">
    <field x="19"/>
  </rowFields>
  <rowItems count="4">
    <i>
      <x/>
    </i>
    <i>
      <x v="1"/>
    </i>
    <i>
      <x v="2"/>
    </i>
    <i t="grand">
      <x/>
    </i>
  </rowItems>
  <colItems count="1">
    <i/>
  </colItems>
  <dataFields count="1">
    <dataField name="Average of Salary" fld="9" subtotal="average" baseField="19" baseItem="0"/>
  </dataFields>
  <chartFormats count="2">
    <chartFormat chart="4"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7D8072-53EE-4D67-AB0C-6A0ACE9FE39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1:B25" firstHeaderRow="1" firstDataRow="1" firstDataCol="1"/>
  <pivotFields count="20">
    <pivotField dataField="1" showAll="0"/>
    <pivotField showAll="0"/>
    <pivotField showAll="0">
      <items count="3">
        <item x="1"/>
        <item x="0"/>
        <item t="default"/>
      </items>
    </pivotField>
    <pivotField showAll="0"/>
    <pivotField showAll="0">
      <items count="6">
        <item x="1"/>
        <item x="3"/>
        <item x="2"/>
        <item x="4"/>
        <item x="0"/>
        <item t="default"/>
      </items>
    </pivotField>
    <pivotField showAll="0"/>
    <pivotField showAll="0">
      <items count="7">
        <item h="1" x="0"/>
        <item x="2"/>
        <item x="1"/>
        <item x="3"/>
        <item x="4"/>
        <item x="5"/>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axis="axisRow" showAll="0">
      <items count="4">
        <item x="0"/>
        <item x="1"/>
        <item x="2"/>
        <item t="default"/>
      </items>
    </pivotField>
    <pivotField showAll="0">
      <items count="4">
        <item x="0"/>
        <item x="1"/>
        <item x="2"/>
        <item t="default"/>
      </items>
    </pivotField>
  </pivotFields>
  <rowFields count="1">
    <field x="18"/>
  </rowFields>
  <rowItems count="4">
    <i>
      <x/>
    </i>
    <i>
      <x v="1"/>
    </i>
    <i>
      <x v="2"/>
    </i>
    <i t="grand">
      <x/>
    </i>
  </rowItems>
  <colItems count="1">
    <i/>
  </colItems>
  <dataFields count="1">
    <dataField name="Sum of Employee_ID" fld="0" baseField="0" baseItem="0"/>
  </dataFields>
  <chartFormats count="2">
    <chartFormat chart="12"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4876F9-1A3A-4328-8989-CBD09B65474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D3:E9" firstHeaderRow="1" firstDataRow="1" firstDataCol="1"/>
  <pivotFields count="20">
    <pivotField showAll="0"/>
    <pivotField showAll="0"/>
    <pivotField showAll="0">
      <items count="3">
        <item x="1"/>
        <item x="0"/>
        <item t="default"/>
      </items>
    </pivotField>
    <pivotField showAll="0"/>
    <pivotField axis="axisRow" showAll="0" sortType="ascending">
      <items count="6">
        <item x="1"/>
        <item x="3"/>
        <item x="2"/>
        <item x="4"/>
        <item x="0"/>
        <item t="default"/>
      </items>
    </pivotField>
    <pivotField showAll="0"/>
    <pivotField showAll="0">
      <items count="7">
        <item h="1" x="0"/>
        <item x="2"/>
        <item x="1"/>
        <item x="3"/>
        <item x="4"/>
        <item x="5"/>
        <item t="default"/>
      </items>
    </pivotField>
    <pivotField showAll="0"/>
    <pivotField showAll="0"/>
    <pivotField showAll="0"/>
    <pivotField dataField="1" showAll="0"/>
    <pivotField showAll="0"/>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s>
  <rowFields count="1">
    <field x="4"/>
  </rowFields>
  <rowItems count="6">
    <i>
      <x/>
    </i>
    <i>
      <x v="1"/>
    </i>
    <i>
      <x v="2"/>
    </i>
    <i>
      <x v="3"/>
    </i>
    <i>
      <x v="4"/>
    </i>
    <i t="grand">
      <x/>
    </i>
  </rowItems>
  <colItems count="1">
    <i/>
  </colItems>
  <dataFields count="1">
    <dataField name="Average of Performance_Rating" fld="10" subtotal="average" baseField="4" baseItem="0"/>
  </dataFields>
  <chartFormats count="2">
    <chartFormat chart="26" format="3"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ADA8CE-3808-4041-B9AC-32690CD384A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1:E27" firstHeaderRow="1" firstDataRow="1" firstDataCol="1"/>
  <pivotFields count="20">
    <pivotField showAll="0"/>
    <pivotField showAll="0"/>
    <pivotField showAll="0">
      <items count="3">
        <item x="1"/>
        <item x="0"/>
        <item t="default"/>
      </items>
    </pivotField>
    <pivotField showAll="0"/>
    <pivotField axis="axisRow" showAll="0">
      <items count="6">
        <item x="1"/>
        <item x="3"/>
        <item x="2"/>
        <item x="4"/>
        <item x="0"/>
        <item t="default"/>
      </items>
    </pivotField>
    <pivotField showAll="0"/>
    <pivotField showAll="0">
      <items count="7">
        <item h="1" x="0"/>
        <item x="2"/>
        <item x="1"/>
        <item x="3"/>
        <item x="4"/>
        <item x="5"/>
        <item t="default"/>
      </items>
    </pivotField>
    <pivotField showAll="0"/>
    <pivotField showAll="0"/>
    <pivotField showAll="0"/>
    <pivotField showAll="0"/>
    <pivotField dataField="1" showAll="0"/>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s>
  <rowFields count="1">
    <field x="4"/>
  </rowFields>
  <rowItems count="6">
    <i>
      <x/>
    </i>
    <i>
      <x v="1"/>
    </i>
    <i>
      <x v="2"/>
    </i>
    <i>
      <x v="3"/>
    </i>
    <i>
      <x v="4"/>
    </i>
    <i t="grand">
      <x/>
    </i>
  </rowItems>
  <colItems count="1">
    <i/>
  </colItems>
  <dataFields count="1">
    <dataField name="Average of Attendance_Percent" fld="11" subtotal="average" baseField="4" baseItem="0"/>
  </dataFields>
  <chartFormats count="2">
    <chartFormat chart="4"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7A7B56-AE8A-4DDF-AE56-65549B3847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9" firstHeaderRow="1" firstDataRow="1" firstDataCol="1"/>
  <pivotFields count="20">
    <pivotField showAll="0"/>
    <pivotField showAll="0"/>
    <pivotField showAll="0">
      <items count="3">
        <item x="1"/>
        <item x="0"/>
        <item t="default"/>
      </items>
    </pivotField>
    <pivotField showAll="0"/>
    <pivotField axis="axisRow" showAll="0">
      <items count="6">
        <item x="1"/>
        <item x="3"/>
        <item x="2"/>
        <item x="4"/>
        <item x="0"/>
        <item t="default"/>
      </items>
    </pivotField>
    <pivotField showAll="0"/>
    <pivotField showAll="0">
      <items count="7">
        <item h="1" x="0"/>
        <item x="2"/>
        <item x="1"/>
        <item x="3"/>
        <item x="4"/>
        <item x="5"/>
        <item t="default"/>
      </items>
    </pivotField>
    <pivotField showAll="0"/>
    <pivotField showAll="0"/>
    <pivotField dataField="1"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s>
  <rowFields count="1">
    <field x="4"/>
  </rowFields>
  <rowItems count="6">
    <i>
      <x/>
    </i>
    <i>
      <x v="1"/>
    </i>
    <i>
      <x v="2"/>
    </i>
    <i>
      <x v="3"/>
    </i>
    <i>
      <x v="4"/>
    </i>
    <i t="grand">
      <x/>
    </i>
  </rowItems>
  <colItems count="1">
    <i/>
  </colItems>
  <dataFields count="1">
    <dataField name="Average of Salary" fld="9" subtotal="average" baseField="4" baseItem="0" numFmtId="1"/>
  </dataFields>
  <chartFormats count="2">
    <chartFormat chart="20"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E24C22-9926-425B-B656-F28AACFD355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12:K15" firstHeaderRow="1" firstDataRow="1" firstDataCol="1"/>
  <pivotFields count="20">
    <pivotField dataField="1" showAll="0"/>
    <pivotField showAll="0"/>
    <pivotField showAll="0">
      <items count="3">
        <item x="1"/>
        <item x="0"/>
        <item t="default"/>
      </items>
    </pivotField>
    <pivotField showAll="0"/>
    <pivotField showAll="0">
      <items count="6">
        <item x="1"/>
        <item x="3"/>
        <item x="2"/>
        <item x="4"/>
        <item x="0"/>
        <item t="default"/>
      </items>
    </pivotField>
    <pivotField showAll="0"/>
    <pivotField showAll="0">
      <items count="7">
        <item h="1" x="0"/>
        <item x="2"/>
        <item x="1"/>
        <item x="3"/>
        <item x="4"/>
        <item x="5"/>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items count="4">
        <item x="0"/>
        <item x="1"/>
        <item x="2"/>
        <item t="default"/>
      </items>
    </pivotField>
  </pivotFields>
  <rowFields count="1">
    <field x="16"/>
  </rowFields>
  <rowItems count="3">
    <i>
      <x/>
    </i>
    <i>
      <x v="1"/>
    </i>
    <i t="grand">
      <x/>
    </i>
  </rowItems>
  <colItems count="1">
    <i/>
  </colItems>
  <dataFields count="1">
    <dataField name="Sum of Employee_ID" fld="0" baseField="0" baseItem="0"/>
  </dataFields>
  <chartFormats count="6">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6" count="1" selected="0">
            <x v="0"/>
          </reference>
        </references>
      </pivotArea>
    </chartFormat>
    <chartFormat chart="5" format="6">
      <pivotArea type="data" outline="0" fieldPosition="0">
        <references count="2">
          <reference field="4294967294" count="1" selected="0">
            <x v="0"/>
          </reference>
          <reference field="16"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6" count="1" selected="0">
            <x v="0"/>
          </reference>
        </references>
      </pivotArea>
    </chartFormat>
    <chartFormat chart="13" format="1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505518-648F-44B4-B296-E253BBD317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3:H9" firstHeaderRow="1" firstDataRow="1" firstDataCol="1"/>
  <pivotFields count="20">
    <pivotField dataField="1" showAll="0"/>
    <pivotField showAll="0"/>
    <pivotField showAll="0">
      <items count="3">
        <item x="1"/>
        <item x="0"/>
        <item t="default"/>
      </items>
    </pivotField>
    <pivotField showAll="0"/>
    <pivotField axis="axisRow" showAll="0">
      <items count="6">
        <item x="1"/>
        <item x="3"/>
        <item x="2"/>
        <item x="4"/>
        <item x="0"/>
        <item t="default"/>
      </items>
    </pivotField>
    <pivotField showAll="0"/>
    <pivotField showAll="0">
      <items count="7">
        <item h="1" x="0"/>
        <item x="2"/>
        <item x="1"/>
        <item x="3"/>
        <item x="4"/>
        <item x="5"/>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s>
  <rowFields count="1">
    <field x="4"/>
  </rowFields>
  <rowItems count="6">
    <i>
      <x/>
    </i>
    <i>
      <x v="1"/>
    </i>
    <i>
      <x v="2"/>
    </i>
    <i>
      <x v="3"/>
    </i>
    <i>
      <x v="4"/>
    </i>
    <i t="grand">
      <x/>
    </i>
  </rowItems>
  <colItems count="1">
    <i/>
  </colItems>
  <dataFields count="1">
    <dataField name="Count of Employee_ID" fld="0" subtotal="count" baseField="4" baseItem="0"/>
  </dataFields>
  <chartFormats count="2">
    <chartFormat chart="9"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8A7929-54D3-49D5-ADAB-65BE85172C7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2:H17" firstHeaderRow="1" firstDataRow="1" firstDataCol="1"/>
  <pivotFields count="20">
    <pivotField dataField="1" showAll="0"/>
    <pivotField showAll="0"/>
    <pivotField showAll="0">
      <items count="3">
        <item x="1"/>
        <item x="0"/>
        <item t="default"/>
      </items>
    </pivotField>
    <pivotField showAll="0"/>
    <pivotField showAll="0">
      <items count="6">
        <item x="1"/>
        <item x="3"/>
        <item x="2"/>
        <item x="4"/>
        <item x="0"/>
        <item t="default"/>
      </items>
    </pivotField>
    <pivotField showAll="0"/>
    <pivotField showAll="0">
      <items count="7">
        <item h="1" x="0"/>
        <item x="2"/>
        <item x="1"/>
        <item x="3"/>
        <item x="4"/>
        <item x="5"/>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5">
        <item x="0"/>
        <item x="3"/>
        <item x="2"/>
        <item x="1"/>
        <item t="default"/>
      </items>
    </pivotField>
    <pivotField showAll="0"/>
    <pivotField showAll="0">
      <items count="4">
        <item x="0"/>
        <item x="1"/>
        <item x="2"/>
        <item t="default"/>
      </items>
    </pivotField>
  </pivotFields>
  <rowFields count="1">
    <field x="17"/>
  </rowFields>
  <rowItems count="5">
    <i>
      <x/>
    </i>
    <i>
      <x v="1"/>
    </i>
    <i>
      <x v="2"/>
    </i>
    <i>
      <x v="3"/>
    </i>
    <i t="grand">
      <x/>
    </i>
  </rowItems>
  <colItems count="1">
    <i/>
  </colItems>
  <dataFields count="1">
    <dataField name="Sum of Employee_ID" fld="0" baseField="0" baseItem="0"/>
  </dataFields>
  <chartFormats count="10">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7" count="1" selected="0">
            <x v="0"/>
          </reference>
        </references>
      </pivotArea>
    </chartFormat>
    <chartFormat chart="5" format="12">
      <pivotArea type="data" outline="0" fieldPosition="0">
        <references count="2">
          <reference field="4294967294" count="1" selected="0">
            <x v="0"/>
          </reference>
          <reference field="17" count="1" selected="0">
            <x v="1"/>
          </reference>
        </references>
      </pivotArea>
    </chartFormat>
    <chartFormat chart="5" format="13">
      <pivotArea type="data" outline="0" fieldPosition="0">
        <references count="2">
          <reference field="4294967294" count="1" selected="0">
            <x v="0"/>
          </reference>
          <reference field="17" count="1" selected="0">
            <x v="2"/>
          </reference>
        </references>
      </pivotArea>
    </chartFormat>
    <chartFormat chart="5" format="14">
      <pivotArea type="data" outline="0" fieldPosition="0">
        <references count="2">
          <reference field="4294967294" count="1" selected="0">
            <x v="0"/>
          </reference>
          <reference field="17" count="1" selected="0">
            <x v="3"/>
          </reference>
        </references>
      </pivotArea>
    </chartFormat>
    <chartFormat chart="12" format="20" series="1">
      <pivotArea type="data" outline="0" fieldPosition="0">
        <references count="1">
          <reference field="4294967294" count="1" selected="0">
            <x v="0"/>
          </reference>
        </references>
      </pivotArea>
    </chartFormat>
    <chartFormat chart="12" format="21">
      <pivotArea type="data" outline="0" fieldPosition="0">
        <references count="2">
          <reference field="4294967294" count="1" selected="0">
            <x v="0"/>
          </reference>
          <reference field="17" count="1" selected="0">
            <x v="0"/>
          </reference>
        </references>
      </pivotArea>
    </chartFormat>
    <chartFormat chart="12" format="22">
      <pivotArea type="data" outline="0" fieldPosition="0">
        <references count="2">
          <reference field="4294967294" count="1" selected="0">
            <x v="0"/>
          </reference>
          <reference field="17" count="1" selected="0">
            <x v="1"/>
          </reference>
        </references>
      </pivotArea>
    </chartFormat>
    <chartFormat chart="12" format="23">
      <pivotArea type="data" outline="0" fieldPosition="0">
        <references count="2">
          <reference field="4294967294" count="1" selected="0">
            <x v="0"/>
          </reference>
          <reference field="17" count="1" selected="0">
            <x v="2"/>
          </reference>
        </references>
      </pivotArea>
    </chartFormat>
    <chartFormat chart="12" format="2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77BBB7-04FC-49EC-AA21-C04C30004CED}" sourceName="Gender">
  <pivotTables>
    <pivotTable tabId="5" name="PivotTable2"/>
    <pivotTable tabId="5" name="PivotTable10"/>
    <pivotTable tabId="5" name="PivotTable11"/>
    <pivotTable tabId="5" name="PivotTable12"/>
    <pivotTable tabId="5" name="PivotTable3"/>
    <pivotTable tabId="5" name="PivotTable4"/>
    <pivotTable tabId="5" name="PivotTable5"/>
    <pivotTable tabId="5" name="PivotTable7"/>
    <pivotTable tabId="5" name="PivotTable9"/>
  </pivotTables>
  <data>
    <tabular pivotCacheId="62377432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5F84549-CF0D-492B-89E7-B37968C1CD51}" sourceName="Department">
  <pivotTables>
    <pivotTable tabId="5" name="PivotTable2"/>
    <pivotTable tabId="5" name="PivotTable10"/>
    <pivotTable tabId="5" name="PivotTable11"/>
    <pivotTable tabId="5" name="PivotTable12"/>
    <pivotTable tabId="5" name="PivotTable3"/>
    <pivotTable tabId="5" name="PivotTable4"/>
    <pivotTable tabId="5" name="PivotTable5"/>
    <pivotTable tabId="5" name="PivotTable7"/>
    <pivotTable tabId="5" name="PivotTable9"/>
  </pivotTables>
  <data>
    <tabular pivotCacheId="623774328">
      <items count="5">
        <i x="1" s="1"/>
        <i x="3"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5EA072EB-98BF-4CD9-A976-9B773EA38B7C}" sourceName="Employment_Type">
  <pivotTables>
    <pivotTable tabId="5" name="PivotTable2"/>
    <pivotTable tabId="5" name="PivotTable10"/>
    <pivotTable tabId="5" name="PivotTable11"/>
    <pivotTable tabId="5" name="PivotTable12"/>
    <pivotTable tabId="5" name="PivotTable3"/>
    <pivotTable tabId="5" name="PivotTable4"/>
    <pivotTable tabId="5" name="PivotTable5"/>
    <pivotTable tabId="5" name="PivotTable7"/>
    <pivotTable tabId="5" name="PivotTable9"/>
  </pivotTables>
  <data>
    <tabular pivotCacheId="62377432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AF475388-2AAD-4CC5-92D4-D39B99A8B3AD}" sourceName="Experience_Level">
  <pivotTables>
    <pivotTable tabId="5" name="PivotTable2"/>
    <pivotTable tabId="5" name="PivotTable10"/>
    <pivotTable tabId="5" name="PivotTable11"/>
    <pivotTable tabId="5" name="PivotTable12"/>
    <pivotTable tabId="5" name="PivotTable3"/>
    <pivotTable tabId="5" name="PivotTable4"/>
    <pivotTable tabId="5" name="PivotTable5"/>
    <pivotTable tabId="5" name="PivotTable7"/>
    <pivotTable tabId="5" name="PivotTable9"/>
  </pivotTables>
  <data>
    <tabular pivotCacheId="623774328">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A144CF3C-6157-46C7-B646-37CD843CF91B}" sourceName="City">
  <pivotTables>
    <pivotTable tabId="5" name="PivotTable6"/>
  </pivotTables>
  <data>
    <tabular pivotCacheId="206725822">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4FA83F0-8B0F-4EEE-9E3B-849E169206F4}" cache="Slicer_Gender" caption="Gender" rowHeight="234950"/>
  <slicer name="Department 1" xr10:uid="{474E8169-4649-430C-B039-100597EDA15C}" cache="Slicer_Department" caption="Department" rowHeight="234950"/>
  <slicer name="Employment_Type 2" xr10:uid="{B8AFBA38-EAB6-43B6-8A44-14E61EE59305}" cache="Slicer_Employment_Type" caption="Employment_Type" rowHeight="234950"/>
  <slicer name="Experience_Level 2" xr10:uid="{1E8904FC-BB44-4BE4-B465-2E1FBF16926B}" cache="Slicer_Experience_Level" caption="Experience_Level" rowHeight="234950"/>
  <slicer name="City 2" xr10:uid="{6D41AD91-E2C0-49F8-B013-DD280EC234D2}" cache="Slicer_City1"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B092BC-4213-4A16-94D6-0C2DAD11FD15}" name="Employee" displayName="Employee" ref="A1:Y1001" totalsRowShown="0" headerRowDxfId="0">
  <autoFilter ref="A1:Y1001" xr:uid="{9FB092BC-4213-4A16-94D6-0C2DAD11FD15}"/>
  <tableColumns count="25">
    <tableColumn id="1" xr3:uid="{7F80B670-E728-4BF1-9EBB-EE9D6FA8D8EE}" name="Employee_ID"/>
    <tableColumn id="2" xr3:uid="{C2716FD3-231B-4100-AB40-8A46FE079F7C}" name="Employee_Name"/>
    <tableColumn id="3" xr3:uid="{6F09946D-39F3-4C51-82D6-DB04B1A4CA2D}" name="Gender"/>
    <tableColumn id="4" xr3:uid="{1A9EBFF4-6A40-4CBA-B1A7-A72E507FAB18}" name="Age"/>
    <tableColumn id="5" xr3:uid="{3E84ED64-9595-41EE-93AD-7AC0652E8CD8}" name="Department"/>
    <tableColumn id="6" xr3:uid="{910C166A-E628-4A07-845B-78FA0A903557}" name="Designation"/>
    <tableColumn id="7" xr3:uid="{CC48724E-8619-49C2-8E3D-E038E603C0DD}" name="City"/>
    <tableColumn id="8" xr3:uid="{9AE990ED-8AA7-4E5B-BF75-973FEE83DAC4}" name="Joining_Date"/>
    <tableColumn id="9" xr3:uid="{AF6CB69B-AB60-48F7-AB77-8BAF79150041}" name="Experience_Years"/>
    <tableColumn id="10" xr3:uid="{0794F059-D70B-458F-B784-B62742093A35}" name="Salary"/>
    <tableColumn id="11" xr3:uid="{64F0244A-0C4B-467A-B244-DC9A6CDD9EE6}" name="Performance_Rating"/>
    <tableColumn id="12" xr3:uid="{7B313977-38B3-4C95-9FAE-B8A76FE96DC5}" name="Attendance_Percent"/>
    <tableColumn id="13" xr3:uid="{BB526175-1CF7-4A04-91C4-D6766ABD4CD8}" name="Overtime_Hours"/>
    <tableColumn id="14" xr3:uid="{180A6237-1D52-4FAE-BD61-E7B95DA770B4}" name="Training_Hours"/>
    <tableColumn id="15" xr3:uid="{E8F303B9-D613-46F9-86FF-98925DFAE564}" name="Bonus"/>
    <tableColumn id="16" xr3:uid="{15DABD56-2A37-42BB-BCB7-6A7992554EFD}" name="Manager"/>
    <tableColumn id="17" xr3:uid="{559D169F-2054-412E-AEC0-4227F2DA3047}" name="Employment_Type"/>
    <tableColumn id="18" xr3:uid="{282EF7B2-216D-425F-8701-10565303C42C}" name="Performance_Category"/>
    <tableColumn id="19" xr3:uid="{6DA8B463-BE5C-48F1-8C66-BB829C258D15}" name="Salary_Band"/>
    <tableColumn id="20" xr3:uid="{5FF7AC1D-C47F-4DE4-8679-B21DAEAAC728}" name="Experience_Level"/>
    <tableColumn id="21" xr3:uid="{4BCAE9A0-28C9-45AB-B4D0-3CE071D652AC}" name="Total Compensation">
      <calculatedColumnFormula>J2+O2</calculatedColumnFormula>
    </tableColumn>
    <tableColumn id="22" xr3:uid="{39CA7DFB-98E9-40A3-825F-9EF8C8733670}" name="Attendance Status">
      <calculatedColumnFormula>IF(L2&gt;=95,"Excellent","Needs Improvement")</calculatedColumnFormula>
    </tableColumn>
    <tableColumn id="23" xr3:uid="{78F9690D-C4D9-46C1-8B5E-43D3DF8783AC}" name="Overtime Category">
      <calculatedColumnFormula>IF(M2&gt;20,"High","Normal")</calculatedColumnFormula>
    </tableColumn>
    <tableColumn id="24" xr3:uid="{37D64538-3D5C-4BE4-9E37-47CDDD1E964B}" name="Experience Group">
      <calculatedColumnFormula>IF(I2&lt;3,"Junior",IF(I2&lt;7,"Mid","Senior"))</calculatedColumnFormula>
    </tableColumn>
    <tableColumn id="25" xr3:uid="{35563D5F-7F04-4D95-BFE8-A4E76AC67DAD}" name="Age Group">
      <calculatedColumnFormula>IF(D2&lt;25,"20-24",IF(D2&lt;35,"25-34",IF(D2&lt;45,"35-44","45+")))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40FD8-3052-479E-AF66-B35E05F2D1F7}">
  <dimension ref="A3:K27"/>
  <sheetViews>
    <sheetView workbookViewId="0">
      <selection activeCell="G23" sqref="G23"/>
    </sheetView>
  </sheetViews>
  <sheetFormatPr defaultRowHeight="14.4" x14ac:dyDescent="0.3"/>
  <cols>
    <col min="1" max="1" width="12.5546875" bestFit="1" customWidth="1"/>
    <col min="2" max="2" width="15.77734375" bestFit="1" customWidth="1"/>
    <col min="4" max="4" width="12.5546875" bestFit="1" customWidth="1"/>
    <col min="5" max="5" width="28.21875" customWidth="1"/>
    <col min="6" max="6" width="12.5546875" bestFit="1" customWidth="1"/>
    <col min="7" max="7" width="17.77734375" bestFit="1" customWidth="1"/>
    <col min="8" max="8" width="18.77734375" bestFit="1" customWidth="1"/>
    <col min="10" max="10" width="12.5546875" bestFit="1" customWidth="1"/>
    <col min="11" max="11" width="20.109375" bestFit="1" customWidth="1"/>
  </cols>
  <sheetData>
    <row r="3" spans="1:11" x14ac:dyDescent="0.3">
      <c r="A3" s="2" t="s">
        <v>936</v>
      </c>
      <c r="B3" t="s">
        <v>938</v>
      </c>
      <c r="D3" s="2" t="s">
        <v>936</v>
      </c>
      <c r="E3" t="s">
        <v>939</v>
      </c>
      <c r="G3" s="2" t="s">
        <v>936</v>
      </c>
      <c r="H3" t="s">
        <v>941</v>
      </c>
      <c r="J3" s="2" t="s">
        <v>936</v>
      </c>
      <c r="K3" t="s">
        <v>941</v>
      </c>
    </row>
    <row r="4" spans="1:11" x14ac:dyDescent="0.3">
      <c r="A4" s="3" t="s">
        <v>38</v>
      </c>
      <c r="B4" s="13">
        <v>60690.961722488035</v>
      </c>
      <c r="D4" s="3" t="s">
        <v>38</v>
      </c>
      <c r="E4" s="5">
        <v>3.6976303317535559</v>
      </c>
      <c r="G4" s="3" t="s">
        <v>38</v>
      </c>
      <c r="H4" s="5">
        <v>211</v>
      </c>
      <c r="J4" s="3" t="s">
        <v>37</v>
      </c>
      <c r="K4" s="5">
        <v>479</v>
      </c>
    </row>
    <row r="5" spans="1:11" x14ac:dyDescent="0.3">
      <c r="A5" s="3" t="s">
        <v>62</v>
      </c>
      <c r="B5" s="13">
        <v>58649.103960396038</v>
      </c>
      <c r="D5" s="3" t="s">
        <v>62</v>
      </c>
      <c r="E5" s="5">
        <v>3.7882352941176474</v>
      </c>
      <c r="G5" s="3" t="s">
        <v>62</v>
      </c>
      <c r="H5" s="5">
        <v>204</v>
      </c>
      <c r="J5" s="3" t="s">
        <v>21</v>
      </c>
      <c r="K5" s="5">
        <v>521</v>
      </c>
    </row>
    <row r="6" spans="1:11" x14ac:dyDescent="0.3">
      <c r="A6" s="3" t="s">
        <v>55</v>
      </c>
      <c r="B6" s="13">
        <v>61216.648241206029</v>
      </c>
      <c r="D6" s="3" t="s">
        <v>55</v>
      </c>
      <c r="E6" s="5">
        <v>3.6590000000000003</v>
      </c>
      <c r="G6" s="3" t="s">
        <v>55</v>
      </c>
      <c r="H6" s="5">
        <v>200</v>
      </c>
      <c r="J6" s="3" t="s">
        <v>937</v>
      </c>
      <c r="K6" s="5">
        <v>1000</v>
      </c>
    </row>
    <row r="7" spans="1:11" x14ac:dyDescent="0.3">
      <c r="A7" s="3" t="s">
        <v>91</v>
      </c>
      <c r="B7" s="13">
        <v>61339.221052631576</v>
      </c>
      <c r="D7" s="3" t="s">
        <v>91</v>
      </c>
      <c r="E7" s="5">
        <v>3.69</v>
      </c>
      <c r="G7" s="3" t="s">
        <v>91</v>
      </c>
      <c r="H7" s="5">
        <v>190</v>
      </c>
    </row>
    <row r="8" spans="1:11" x14ac:dyDescent="0.3">
      <c r="A8" s="3" t="s">
        <v>22</v>
      </c>
      <c r="B8" s="13">
        <v>59573.768041237112</v>
      </c>
      <c r="D8" s="3" t="s">
        <v>22</v>
      </c>
      <c r="E8" s="5">
        <v>3.7225641025641036</v>
      </c>
      <c r="G8" s="3" t="s">
        <v>22</v>
      </c>
      <c r="H8" s="5">
        <v>195</v>
      </c>
    </row>
    <row r="9" spans="1:11" x14ac:dyDescent="0.3">
      <c r="A9" s="3" t="s">
        <v>937</v>
      </c>
      <c r="B9" s="13">
        <v>60287.128772635813</v>
      </c>
      <c r="D9" s="3" t="s">
        <v>937</v>
      </c>
      <c r="E9" s="5">
        <v>3.7117999999999993</v>
      </c>
      <c r="G9" s="3" t="s">
        <v>937</v>
      </c>
      <c r="H9" s="5">
        <v>1000</v>
      </c>
    </row>
    <row r="12" spans="1:11" x14ac:dyDescent="0.3">
      <c r="A12" s="2" t="s">
        <v>936</v>
      </c>
      <c r="B12" t="s">
        <v>940</v>
      </c>
      <c r="D12" s="2" t="s">
        <v>936</v>
      </c>
      <c r="E12" t="s">
        <v>938</v>
      </c>
      <c r="G12" s="2" t="s">
        <v>936</v>
      </c>
      <c r="H12" t="s">
        <v>940</v>
      </c>
      <c r="J12" s="2" t="s">
        <v>936</v>
      </c>
      <c r="K12" t="s">
        <v>940</v>
      </c>
    </row>
    <row r="13" spans="1:11" x14ac:dyDescent="0.3">
      <c r="A13" s="3" t="s">
        <v>24</v>
      </c>
      <c r="B13" s="5">
        <v>327629</v>
      </c>
      <c r="D13" s="3" t="s">
        <v>30</v>
      </c>
      <c r="E13" s="5">
        <v>60167.746376811592</v>
      </c>
      <c r="G13" s="3" t="s">
        <v>28</v>
      </c>
      <c r="H13" s="5">
        <v>588154</v>
      </c>
      <c r="J13" s="3" t="s">
        <v>27</v>
      </c>
      <c r="K13" s="5">
        <v>774182</v>
      </c>
    </row>
    <row r="14" spans="1:11" x14ac:dyDescent="0.3">
      <c r="A14" s="3" t="s">
        <v>51</v>
      </c>
      <c r="B14" s="5">
        <v>299850</v>
      </c>
      <c r="D14" s="3" t="s">
        <v>35</v>
      </c>
      <c r="E14" s="5">
        <v>61203.939622641512</v>
      </c>
      <c r="G14" s="3" t="s">
        <v>70</v>
      </c>
      <c r="H14" s="5">
        <v>291412</v>
      </c>
      <c r="J14" s="3" t="s">
        <v>48</v>
      </c>
      <c r="K14" s="5">
        <v>726318</v>
      </c>
    </row>
    <row r="15" spans="1:11" x14ac:dyDescent="0.3">
      <c r="A15" s="3" t="s">
        <v>45</v>
      </c>
      <c r="B15" s="5">
        <v>272550</v>
      </c>
      <c r="D15" s="3" t="s">
        <v>50</v>
      </c>
      <c r="E15" s="5">
        <v>59823.540838852095</v>
      </c>
      <c r="G15" s="3" t="s">
        <v>58</v>
      </c>
      <c r="H15" s="5">
        <v>318698</v>
      </c>
      <c r="J15" s="3" t="s">
        <v>937</v>
      </c>
      <c r="K15" s="5">
        <v>1500500</v>
      </c>
    </row>
    <row r="16" spans="1:11" x14ac:dyDescent="0.3">
      <c r="A16" s="3" t="s">
        <v>59</v>
      </c>
      <c r="B16" s="5">
        <v>285818</v>
      </c>
      <c r="D16" s="3" t="s">
        <v>937</v>
      </c>
      <c r="E16" s="5">
        <v>60287.128772635813</v>
      </c>
      <c r="F16" s="13"/>
      <c r="G16" s="3" t="s">
        <v>42</v>
      </c>
      <c r="H16" s="5">
        <v>302236</v>
      </c>
    </row>
    <row r="17" spans="1:8" x14ac:dyDescent="0.3">
      <c r="A17" s="3" t="s">
        <v>64</v>
      </c>
      <c r="B17" s="5">
        <v>314653</v>
      </c>
      <c r="G17" s="3" t="s">
        <v>937</v>
      </c>
      <c r="H17" s="5">
        <v>1500500</v>
      </c>
    </row>
    <row r="18" spans="1:8" x14ac:dyDescent="0.3">
      <c r="A18" s="3" t="s">
        <v>937</v>
      </c>
      <c r="B18" s="5">
        <v>1500500</v>
      </c>
    </row>
    <row r="21" spans="1:8" x14ac:dyDescent="0.3">
      <c r="A21" s="2" t="s">
        <v>936</v>
      </c>
      <c r="B21" t="s">
        <v>940</v>
      </c>
      <c r="D21" s="2" t="s">
        <v>936</v>
      </c>
      <c r="E21" t="s">
        <v>942</v>
      </c>
    </row>
    <row r="22" spans="1:8" x14ac:dyDescent="0.3">
      <c r="A22" s="3" t="s">
        <v>29</v>
      </c>
      <c r="B22" s="5">
        <v>540523</v>
      </c>
      <c r="D22" s="3" t="s">
        <v>38</v>
      </c>
      <c r="E22" s="5">
        <v>90.999999999999972</v>
      </c>
    </row>
    <row r="23" spans="1:8" x14ac:dyDescent="0.3">
      <c r="A23" s="3" t="s">
        <v>34</v>
      </c>
      <c r="B23" s="5">
        <v>545975</v>
      </c>
      <c r="D23" s="3" t="s">
        <v>62</v>
      </c>
      <c r="E23" s="5">
        <v>90.598039215686271</v>
      </c>
    </row>
    <row r="24" spans="1:8" x14ac:dyDescent="0.3">
      <c r="A24" s="3" t="s">
        <v>49</v>
      </c>
      <c r="B24" s="5">
        <v>414002</v>
      </c>
      <c r="D24" s="3" t="s">
        <v>55</v>
      </c>
      <c r="E24" s="5">
        <v>91.72249999999994</v>
      </c>
    </row>
    <row r="25" spans="1:8" x14ac:dyDescent="0.3">
      <c r="A25" s="3" t="s">
        <v>937</v>
      </c>
      <c r="B25" s="5">
        <v>1500500</v>
      </c>
      <c r="D25" s="3" t="s">
        <v>91</v>
      </c>
      <c r="E25" s="5">
        <v>90.77</v>
      </c>
    </row>
    <row r="26" spans="1:8" x14ac:dyDescent="0.3">
      <c r="D26" s="3" t="s">
        <v>22</v>
      </c>
      <c r="E26" s="5">
        <v>90.916410256410245</v>
      </c>
    </row>
    <row r="27" spans="1:8" x14ac:dyDescent="0.3">
      <c r="D27" s="3" t="s">
        <v>937</v>
      </c>
      <c r="E27" s="5">
        <v>91.002500000000026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44AD-F096-47D6-ADF2-08BB82B0AA0B}">
  <dimension ref="A1:Y1"/>
  <sheetViews>
    <sheetView showGridLines="0" workbookViewId="0">
      <selection sqref="A1:XFD1048576"/>
    </sheetView>
  </sheetViews>
  <sheetFormatPr defaultRowHeight="14.4" x14ac:dyDescent="0.3"/>
  <sheetData>
    <row r="1" spans="1:25" ht="18" customHeight="1" x14ac:dyDescent="0.4">
      <c r="A1" s="10" t="s">
        <v>950</v>
      </c>
      <c r="B1" s="4"/>
      <c r="C1" s="4"/>
      <c r="D1" s="4"/>
      <c r="E1" s="4"/>
      <c r="F1" s="4"/>
      <c r="G1" s="4"/>
      <c r="H1" s="4"/>
      <c r="I1" s="4"/>
      <c r="J1" s="4"/>
      <c r="K1" s="4"/>
      <c r="L1" s="4"/>
      <c r="M1" s="4"/>
      <c r="N1" s="4"/>
      <c r="O1" s="4"/>
      <c r="P1" s="4"/>
      <c r="Q1" s="4"/>
      <c r="R1" s="4"/>
      <c r="S1" s="4"/>
      <c r="T1" s="4"/>
      <c r="U1" s="4"/>
      <c r="V1" s="4"/>
      <c r="W1" s="4"/>
      <c r="X1" s="4"/>
      <c r="Y1" s="4"/>
    </row>
  </sheetData>
  <mergeCells count="1">
    <mergeCell ref="A1:Y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63BCA-931C-4B2F-9D59-1DA263608EB2}">
  <dimension ref="A1:Y1001"/>
  <sheetViews>
    <sheetView zoomScale="70" workbookViewId="0">
      <selection activeCell="E4" sqref="E4"/>
    </sheetView>
  </sheetViews>
  <sheetFormatPr defaultRowHeight="14.4" x14ac:dyDescent="0.3"/>
  <cols>
    <col min="1" max="1" width="14" customWidth="1"/>
    <col min="2" max="2" width="17.21875" customWidth="1"/>
    <col min="3" max="3" width="9" customWidth="1"/>
    <col min="5" max="5" width="13" customWidth="1"/>
    <col min="6" max="6" width="17.6640625" bestFit="1" customWidth="1"/>
    <col min="7" max="7" width="9.77734375" bestFit="1" customWidth="1"/>
    <col min="8" max="8" width="13.6640625" customWidth="1"/>
    <col min="9" max="9" width="17.44140625" customWidth="1"/>
    <col min="10" max="10" width="8" customWidth="1"/>
    <col min="11" max="12" width="20.109375" customWidth="1"/>
    <col min="13" max="13" width="16.5546875" customWidth="1"/>
    <col min="14" max="14" width="15.5546875" customWidth="1"/>
    <col min="15" max="15" width="8.109375" customWidth="1"/>
    <col min="16" max="16" width="10.44140625" customWidth="1"/>
    <col min="17" max="17" width="18.77734375" customWidth="1"/>
    <col min="18" max="18" width="22.33203125" customWidth="1"/>
    <col min="19" max="19" width="13.33203125" customWidth="1"/>
    <col min="20" max="20" width="17.33203125" customWidth="1"/>
    <col min="21" max="21" width="19.77734375" customWidth="1"/>
    <col min="22" max="22" width="18.33203125" customWidth="1"/>
    <col min="23" max="23" width="18.6640625" customWidth="1"/>
    <col min="24" max="24" width="17.6640625" customWidth="1"/>
    <col min="25" max="25" width="11.77734375" customWidth="1"/>
  </cols>
  <sheetData>
    <row r="1" spans="1:25" s="1" customFormat="1" ht="13.8"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931</v>
      </c>
      <c r="V1" s="1" t="s">
        <v>932</v>
      </c>
      <c r="W1" s="1" t="s">
        <v>933</v>
      </c>
      <c r="X1" s="1" t="s">
        <v>934</v>
      </c>
      <c r="Y1" s="1" t="s">
        <v>935</v>
      </c>
    </row>
    <row r="2" spans="1:25" x14ac:dyDescent="0.3">
      <c r="A2">
        <v>1001</v>
      </c>
      <c r="B2" t="s">
        <v>20</v>
      </c>
      <c r="C2" t="s">
        <v>21</v>
      </c>
      <c r="D2">
        <v>45</v>
      </c>
      <c r="E2" t="s">
        <v>22</v>
      </c>
      <c r="F2" t="s">
        <v>23</v>
      </c>
      <c r="G2" t="s">
        <v>24</v>
      </c>
      <c r="H2" t="s">
        <v>25</v>
      </c>
      <c r="I2">
        <v>2</v>
      </c>
      <c r="J2">
        <v>84236</v>
      </c>
      <c r="K2">
        <v>3.4</v>
      </c>
      <c r="L2">
        <v>97.5</v>
      </c>
      <c r="M2">
        <v>4</v>
      </c>
      <c r="N2">
        <v>25</v>
      </c>
      <c r="O2">
        <v>9454</v>
      </c>
      <c r="P2" t="s">
        <v>26</v>
      </c>
      <c r="Q2" t="s">
        <v>27</v>
      </c>
      <c r="R2" t="s">
        <v>28</v>
      </c>
      <c r="S2" t="s">
        <v>29</v>
      </c>
      <c r="T2" t="s">
        <v>30</v>
      </c>
      <c r="U2">
        <f>J2+O2</f>
        <v>93690</v>
      </c>
      <c r="V2" t="str">
        <f>IF(L2&gt;=95,"Excellent","Needs Improvement")</f>
        <v>Excellent</v>
      </c>
      <c r="W2" t="str">
        <f>IF(M2&gt;20,"High","Normal")</f>
        <v>Normal</v>
      </c>
      <c r="X2" t="str">
        <f>IF(I2&lt;3,"Junior",IF(I2&lt;7,"Mid","Senior"))</f>
        <v>Junior</v>
      </c>
      <c r="Y2" t="str">
        <f>IF(D2&lt;25,"20-24",IF(D2&lt;35,"25-34",IF(D2&lt;45,"35-44","45+")))</f>
        <v>45+</v>
      </c>
    </row>
    <row r="3" spans="1:25" x14ac:dyDescent="0.3">
      <c r="A3">
        <v>1002</v>
      </c>
      <c r="B3" t="s">
        <v>31</v>
      </c>
      <c r="C3" t="s">
        <v>21</v>
      </c>
      <c r="D3">
        <v>28</v>
      </c>
      <c r="E3" t="s">
        <v>22</v>
      </c>
      <c r="F3" t="s">
        <v>23</v>
      </c>
      <c r="G3" t="s">
        <v>24</v>
      </c>
      <c r="H3" t="s">
        <v>32</v>
      </c>
      <c r="I3">
        <v>3</v>
      </c>
      <c r="J3">
        <v>28435</v>
      </c>
      <c r="K3">
        <v>3.8</v>
      </c>
      <c r="L3">
        <v>99.2</v>
      </c>
      <c r="M3">
        <v>6</v>
      </c>
      <c r="N3">
        <v>27</v>
      </c>
      <c r="O3">
        <v>9598</v>
      </c>
      <c r="P3" t="s">
        <v>33</v>
      </c>
      <c r="Q3" t="s">
        <v>27</v>
      </c>
      <c r="R3" t="s">
        <v>28</v>
      </c>
      <c r="S3" t="s">
        <v>34</v>
      </c>
      <c r="T3" t="s">
        <v>35</v>
      </c>
      <c r="U3">
        <f t="shared" ref="U3:U66" si="0">J3+O3</f>
        <v>38033</v>
      </c>
      <c r="V3" t="str">
        <f t="shared" ref="V3:V66" si="1">IF(L3&gt;=95,"Excellent","Needs Improvement")</f>
        <v>Excellent</v>
      </c>
      <c r="W3" t="str">
        <f t="shared" ref="W3:W66" si="2">IF(M3&gt;20,"High","Normal")</f>
        <v>Normal</v>
      </c>
      <c r="X3" t="str">
        <f t="shared" ref="X3:X66" si="3">IF(I3&lt;3,"Junior",IF(I3&lt;7,"Mid","Senior"))</f>
        <v>Mid</v>
      </c>
      <c r="Y3" t="str">
        <f t="shared" ref="Y3:Y66" si="4">IF(D3&lt;25,"20-24",IF(D3&lt;35,"25-34",IF(D3&lt;45,"35-44","45+")))</f>
        <v>25-34</v>
      </c>
    </row>
    <row r="4" spans="1:25" x14ac:dyDescent="0.3">
      <c r="A4">
        <v>1003</v>
      </c>
      <c r="B4" t="s">
        <v>36</v>
      </c>
      <c r="C4" t="s">
        <v>37</v>
      </c>
      <c r="D4">
        <v>25</v>
      </c>
      <c r="E4" t="s">
        <v>38</v>
      </c>
      <c r="F4" t="s">
        <v>39</v>
      </c>
      <c r="G4" t="s">
        <v>24</v>
      </c>
      <c r="H4" t="s">
        <v>40</v>
      </c>
      <c r="I4">
        <v>4</v>
      </c>
      <c r="J4">
        <v>84571</v>
      </c>
      <c r="K4">
        <v>2.6</v>
      </c>
      <c r="L4">
        <v>96</v>
      </c>
      <c r="M4">
        <v>22</v>
      </c>
      <c r="N4">
        <v>23</v>
      </c>
      <c r="O4">
        <v>12286</v>
      </c>
      <c r="P4" t="s">
        <v>41</v>
      </c>
      <c r="Q4" t="s">
        <v>27</v>
      </c>
      <c r="R4" t="s">
        <v>42</v>
      </c>
      <c r="S4" t="s">
        <v>29</v>
      </c>
      <c r="T4" t="s">
        <v>35</v>
      </c>
      <c r="U4">
        <f t="shared" si="0"/>
        <v>96857</v>
      </c>
      <c r="V4" t="str">
        <f t="shared" si="1"/>
        <v>Excellent</v>
      </c>
      <c r="W4" t="str">
        <f t="shared" si="2"/>
        <v>High</v>
      </c>
      <c r="X4" t="str">
        <f t="shared" si="3"/>
        <v>Mid</v>
      </c>
      <c r="Y4" t="str">
        <f t="shared" si="4"/>
        <v>25-34</v>
      </c>
    </row>
    <row r="5" spans="1:25" x14ac:dyDescent="0.3">
      <c r="A5">
        <v>1004</v>
      </c>
      <c r="B5" t="s">
        <v>43</v>
      </c>
      <c r="C5" t="s">
        <v>37</v>
      </c>
      <c r="D5">
        <v>39</v>
      </c>
      <c r="E5" t="s">
        <v>38</v>
      </c>
      <c r="F5" t="s">
        <v>44</v>
      </c>
      <c r="G5" t="s">
        <v>45</v>
      </c>
      <c r="H5" t="s">
        <v>46</v>
      </c>
      <c r="I5">
        <v>10</v>
      </c>
      <c r="J5">
        <v>60489</v>
      </c>
      <c r="K5">
        <v>3.9</v>
      </c>
      <c r="L5">
        <v>99.1</v>
      </c>
      <c r="M5">
        <v>1</v>
      </c>
      <c r="N5">
        <v>14</v>
      </c>
      <c r="O5">
        <v>3379</v>
      </c>
      <c r="P5" t="s">
        <v>47</v>
      </c>
      <c r="Q5" t="s">
        <v>48</v>
      </c>
      <c r="R5" t="s">
        <v>28</v>
      </c>
      <c r="S5" t="s">
        <v>49</v>
      </c>
      <c r="T5" t="s">
        <v>50</v>
      </c>
      <c r="U5">
        <f t="shared" si="0"/>
        <v>63868</v>
      </c>
      <c r="V5" t="str">
        <f t="shared" si="1"/>
        <v>Excellent</v>
      </c>
      <c r="W5" t="str">
        <f t="shared" si="2"/>
        <v>Normal</v>
      </c>
      <c r="X5" t="str">
        <f t="shared" si="3"/>
        <v>Senior</v>
      </c>
      <c r="Y5" t="str">
        <f t="shared" si="4"/>
        <v>35-44</v>
      </c>
    </row>
    <row r="6" spans="1:25" x14ac:dyDescent="0.3">
      <c r="A6">
        <v>1005</v>
      </c>
      <c r="B6" t="s">
        <v>20</v>
      </c>
      <c r="C6" t="s">
        <v>37</v>
      </c>
      <c r="D6">
        <v>24</v>
      </c>
      <c r="E6" t="s">
        <v>22</v>
      </c>
      <c r="F6" t="s">
        <v>23</v>
      </c>
      <c r="G6" t="s">
        <v>51</v>
      </c>
      <c r="H6" t="s">
        <v>52</v>
      </c>
      <c r="I6">
        <v>8</v>
      </c>
      <c r="J6">
        <v>76776</v>
      </c>
      <c r="K6">
        <v>2.6</v>
      </c>
      <c r="L6">
        <v>86</v>
      </c>
      <c r="M6">
        <v>21</v>
      </c>
      <c r="N6">
        <v>40</v>
      </c>
      <c r="O6">
        <v>12654</v>
      </c>
      <c r="P6" t="s">
        <v>53</v>
      </c>
      <c r="Q6" t="s">
        <v>27</v>
      </c>
      <c r="R6" t="s">
        <v>42</v>
      </c>
      <c r="S6" t="s">
        <v>29</v>
      </c>
      <c r="T6" t="s">
        <v>50</v>
      </c>
      <c r="U6">
        <f t="shared" si="0"/>
        <v>89430</v>
      </c>
      <c r="V6" t="str">
        <f t="shared" si="1"/>
        <v>Needs Improvement</v>
      </c>
      <c r="W6" t="str">
        <f t="shared" si="2"/>
        <v>High</v>
      </c>
      <c r="X6" t="str">
        <f t="shared" si="3"/>
        <v>Senior</v>
      </c>
      <c r="Y6" t="str">
        <f t="shared" si="4"/>
        <v>20-24</v>
      </c>
    </row>
    <row r="7" spans="1:25" x14ac:dyDescent="0.3">
      <c r="A7">
        <v>1006</v>
      </c>
      <c r="B7" t="s">
        <v>54</v>
      </c>
      <c r="C7" t="s">
        <v>21</v>
      </c>
      <c r="D7">
        <v>22</v>
      </c>
      <c r="E7" t="s">
        <v>55</v>
      </c>
      <c r="F7" t="s">
        <v>56</v>
      </c>
      <c r="G7" t="s">
        <v>45</v>
      </c>
      <c r="H7" t="s">
        <v>57</v>
      </c>
      <c r="I7">
        <v>8</v>
      </c>
      <c r="J7">
        <v>50581</v>
      </c>
      <c r="K7">
        <v>4.2</v>
      </c>
      <c r="L7">
        <v>96.8</v>
      </c>
      <c r="M7">
        <v>15</v>
      </c>
      <c r="N7">
        <v>53</v>
      </c>
      <c r="O7">
        <v>3349</v>
      </c>
      <c r="P7" t="s">
        <v>53</v>
      </c>
      <c r="Q7" t="s">
        <v>48</v>
      </c>
      <c r="R7" t="s">
        <v>58</v>
      </c>
      <c r="S7" t="s">
        <v>49</v>
      </c>
      <c r="T7" t="s">
        <v>50</v>
      </c>
      <c r="U7">
        <f t="shared" si="0"/>
        <v>53930</v>
      </c>
      <c r="V7" t="str">
        <f t="shared" si="1"/>
        <v>Excellent</v>
      </c>
      <c r="W7" t="str">
        <f t="shared" si="2"/>
        <v>Normal</v>
      </c>
      <c r="X7" t="str">
        <f t="shared" si="3"/>
        <v>Senior</v>
      </c>
      <c r="Y7" t="str">
        <f t="shared" si="4"/>
        <v>20-24</v>
      </c>
    </row>
    <row r="8" spans="1:25" x14ac:dyDescent="0.3">
      <c r="A8">
        <v>1007</v>
      </c>
      <c r="B8" t="s">
        <v>43</v>
      </c>
      <c r="C8" t="s">
        <v>37</v>
      </c>
      <c r="D8">
        <v>30</v>
      </c>
      <c r="E8" t="s">
        <v>22</v>
      </c>
      <c r="F8" t="s">
        <v>23</v>
      </c>
      <c r="G8" t="s">
        <v>59</v>
      </c>
      <c r="H8" t="s">
        <v>60</v>
      </c>
      <c r="I8">
        <v>0</v>
      </c>
      <c r="J8">
        <v>69021</v>
      </c>
      <c r="K8">
        <v>3.1</v>
      </c>
      <c r="L8">
        <v>99.5</v>
      </c>
      <c r="M8">
        <v>8</v>
      </c>
      <c r="N8">
        <v>45</v>
      </c>
      <c r="O8">
        <v>4120</v>
      </c>
      <c r="P8" t="s">
        <v>47</v>
      </c>
      <c r="Q8" t="s">
        <v>48</v>
      </c>
      <c r="R8" t="s">
        <v>28</v>
      </c>
      <c r="S8" t="s">
        <v>49</v>
      </c>
      <c r="T8" t="s">
        <v>30</v>
      </c>
      <c r="U8">
        <f t="shared" si="0"/>
        <v>73141</v>
      </c>
      <c r="V8" t="str">
        <f t="shared" si="1"/>
        <v>Excellent</v>
      </c>
      <c r="W8" t="str">
        <f t="shared" si="2"/>
        <v>Normal</v>
      </c>
      <c r="X8" t="str">
        <f t="shared" si="3"/>
        <v>Junior</v>
      </c>
      <c r="Y8" t="str">
        <f t="shared" si="4"/>
        <v>25-34</v>
      </c>
    </row>
    <row r="9" spans="1:25" x14ac:dyDescent="0.3">
      <c r="A9">
        <v>1008</v>
      </c>
      <c r="B9" t="s">
        <v>61</v>
      </c>
      <c r="C9" t="s">
        <v>21</v>
      </c>
      <c r="D9">
        <v>43</v>
      </c>
      <c r="E9" t="s">
        <v>62</v>
      </c>
      <c r="F9" t="s">
        <v>63</v>
      </c>
      <c r="G9" t="s">
        <v>64</v>
      </c>
      <c r="H9" t="s">
        <v>65</v>
      </c>
      <c r="I9">
        <v>7</v>
      </c>
      <c r="J9">
        <v>78301</v>
      </c>
      <c r="K9">
        <v>3.5</v>
      </c>
      <c r="L9">
        <v>95.2</v>
      </c>
      <c r="M9">
        <v>24</v>
      </c>
      <c r="N9">
        <v>27</v>
      </c>
      <c r="O9">
        <v>9032</v>
      </c>
      <c r="P9" t="s">
        <v>53</v>
      </c>
      <c r="Q9" t="s">
        <v>27</v>
      </c>
      <c r="R9" t="s">
        <v>28</v>
      </c>
      <c r="S9" t="s">
        <v>29</v>
      </c>
      <c r="T9" t="s">
        <v>50</v>
      </c>
      <c r="U9">
        <f t="shared" si="0"/>
        <v>87333</v>
      </c>
      <c r="V9" t="str">
        <f t="shared" si="1"/>
        <v>Excellent</v>
      </c>
      <c r="W9" t="str">
        <f t="shared" si="2"/>
        <v>High</v>
      </c>
      <c r="X9" t="str">
        <f t="shared" si="3"/>
        <v>Senior</v>
      </c>
      <c r="Y9" t="str">
        <f t="shared" si="4"/>
        <v>35-44</v>
      </c>
    </row>
    <row r="10" spans="1:25" x14ac:dyDescent="0.3">
      <c r="A10">
        <v>1009</v>
      </c>
      <c r="B10" t="s">
        <v>20</v>
      </c>
      <c r="C10" t="s">
        <v>37</v>
      </c>
      <c r="D10">
        <v>25</v>
      </c>
      <c r="E10" t="s">
        <v>22</v>
      </c>
      <c r="F10" t="s">
        <v>66</v>
      </c>
      <c r="G10" t="s">
        <v>51</v>
      </c>
      <c r="H10" t="s">
        <v>67</v>
      </c>
      <c r="I10">
        <v>10</v>
      </c>
      <c r="J10">
        <v>62943</v>
      </c>
      <c r="K10">
        <v>2.9</v>
      </c>
      <c r="L10">
        <v>86.8</v>
      </c>
      <c r="M10">
        <v>16</v>
      </c>
      <c r="N10">
        <v>30</v>
      </c>
      <c r="O10">
        <v>5200</v>
      </c>
      <c r="P10" t="s">
        <v>41</v>
      </c>
      <c r="Q10" t="s">
        <v>27</v>
      </c>
      <c r="R10" t="s">
        <v>42</v>
      </c>
      <c r="S10" t="s">
        <v>49</v>
      </c>
      <c r="T10" t="s">
        <v>50</v>
      </c>
      <c r="U10">
        <f t="shared" si="0"/>
        <v>68143</v>
      </c>
      <c r="V10" t="str">
        <f t="shared" si="1"/>
        <v>Needs Improvement</v>
      </c>
      <c r="W10" t="str">
        <f t="shared" si="2"/>
        <v>Normal</v>
      </c>
      <c r="X10" t="str">
        <f t="shared" si="3"/>
        <v>Senior</v>
      </c>
      <c r="Y10" t="str">
        <f t="shared" si="4"/>
        <v>25-34</v>
      </c>
    </row>
    <row r="11" spans="1:25" x14ac:dyDescent="0.3">
      <c r="A11">
        <v>1010</v>
      </c>
      <c r="B11" t="s">
        <v>68</v>
      </c>
      <c r="C11" t="s">
        <v>37</v>
      </c>
      <c r="D11">
        <v>30</v>
      </c>
      <c r="E11" t="s">
        <v>22</v>
      </c>
      <c r="F11" t="s">
        <v>66</v>
      </c>
      <c r="G11" t="s">
        <v>24</v>
      </c>
      <c r="H11" t="s">
        <v>69</v>
      </c>
      <c r="I11">
        <v>4</v>
      </c>
      <c r="J11">
        <v>75134</v>
      </c>
      <c r="K11">
        <v>4.8</v>
      </c>
      <c r="L11">
        <v>92.1</v>
      </c>
      <c r="M11">
        <v>11</v>
      </c>
      <c r="N11">
        <v>56</v>
      </c>
      <c r="O11">
        <v>6128</v>
      </c>
      <c r="P11" t="s">
        <v>26</v>
      </c>
      <c r="Q11" t="s">
        <v>27</v>
      </c>
      <c r="R11" t="s">
        <v>70</v>
      </c>
      <c r="S11" t="s">
        <v>29</v>
      </c>
      <c r="T11" t="s">
        <v>35</v>
      </c>
      <c r="U11">
        <f t="shared" si="0"/>
        <v>81262</v>
      </c>
      <c r="V11" t="str">
        <f t="shared" si="1"/>
        <v>Needs Improvement</v>
      </c>
      <c r="W11" t="str">
        <f t="shared" si="2"/>
        <v>Normal</v>
      </c>
      <c r="X11" t="str">
        <f t="shared" si="3"/>
        <v>Mid</v>
      </c>
      <c r="Y11" t="str">
        <f t="shared" si="4"/>
        <v>25-34</v>
      </c>
    </row>
    <row r="12" spans="1:25" x14ac:dyDescent="0.3">
      <c r="A12">
        <v>1011</v>
      </c>
      <c r="B12" t="s">
        <v>71</v>
      </c>
      <c r="C12" t="s">
        <v>21</v>
      </c>
      <c r="D12">
        <v>35</v>
      </c>
      <c r="E12" t="s">
        <v>22</v>
      </c>
      <c r="F12" t="s">
        <v>23</v>
      </c>
      <c r="G12" t="s">
        <v>59</v>
      </c>
      <c r="H12" t="s">
        <v>72</v>
      </c>
      <c r="I12">
        <v>4</v>
      </c>
      <c r="J12">
        <v>79661</v>
      </c>
      <c r="K12">
        <v>3.8</v>
      </c>
      <c r="L12">
        <v>83.9</v>
      </c>
      <c r="M12">
        <v>9</v>
      </c>
      <c r="N12">
        <v>42</v>
      </c>
      <c r="O12">
        <v>5014</v>
      </c>
      <c r="P12" t="s">
        <v>33</v>
      </c>
      <c r="Q12" t="s">
        <v>27</v>
      </c>
      <c r="R12" t="s">
        <v>28</v>
      </c>
      <c r="S12" t="s">
        <v>29</v>
      </c>
      <c r="T12" t="s">
        <v>35</v>
      </c>
      <c r="U12">
        <f t="shared" si="0"/>
        <v>84675</v>
      </c>
      <c r="V12" t="str">
        <f t="shared" si="1"/>
        <v>Needs Improvement</v>
      </c>
      <c r="W12" t="str">
        <f t="shared" si="2"/>
        <v>Normal</v>
      </c>
      <c r="X12" t="str">
        <f t="shared" si="3"/>
        <v>Mid</v>
      </c>
      <c r="Y12" t="str">
        <f t="shared" si="4"/>
        <v>35-44</v>
      </c>
    </row>
    <row r="13" spans="1:25" x14ac:dyDescent="0.3">
      <c r="A13">
        <v>1012</v>
      </c>
      <c r="B13" t="s">
        <v>73</v>
      </c>
      <c r="C13" t="s">
        <v>37</v>
      </c>
      <c r="D13">
        <v>37</v>
      </c>
      <c r="E13" t="s">
        <v>22</v>
      </c>
      <c r="F13" t="s">
        <v>66</v>
      </c>
      <c r="G13" t="s">
        <v>59</v>
      </c>
      <c r="H13" t="s">
        <v>74</v>
      </c>
      <c r="I13">
        <v>5</v>
      </c>
      <c r="J13">
        <v>27220</v>
      </c>
      <c r="K13">
        <v>4.9000000000000004</v>
      </c>
      <c r="L13">
        <v>93.5</v>
      </c>
      <c r="M13">
        <v>10</v>
      </c>
      <c r="N13">
        <v>33</v>
      </c>
      <c r="O13">
        <v>3998</v>
      </c>
      <c r="P13" t="s">
        <v>33</v>
      </c>
      <c r="Q13" t="s">
        <v>27</v>
      </c>
      <c r="R13" t="s">
        <v>70</v>
      </c>
      <c r="S13" t="s">
        <v>34</v>
      </c>
      <c r="T13" t="s">
        <v>35</v>
      </c>
      <c r="U13">
        <f t="shared" si="0"/>
        <v>31218</v>
      </c>
      <c r="V13" t="str">
        <f t="shared" si="1"/>
        <v>Needs Improvement</v>
      </c>
      <c r="W13" t="str">
        <f t="shared" si="2"/>
        <v>Normal</v>
      </c>
      <c r="X13" t="str">
        <f t="shared" si="3"/>
        <v>Mid</v>
      </c>
      <c r="Y13" t="str">
        <f t="shared" si="4"/>
        <v>35-44</v>
      </c>
    </row>
    <row r="14" spans="1:25" x14ac:dyDescent="0.3">
      <c r="A14">
        <v>1013</v>
      </c>
      <c r="B14" t="s">
        <v>75</v>
      </c>
      <c r="C14" t="s">
        <v>37</v>
      </c>
      <c r="D14">
        <v>33</v>
      </c>
      <c r="E14" t="s">
        <v>62</v>
      </c>
      <c r="F14" t="s">
        <v>63</v>
      </c>
      <c r="G14" t="s">
        <v>45</v>
      </c>
      <c r="H14" t="s">
        <v>76</v>
      </c>
      <c r="I14">
        <v>4</v>
      </c>
      <c r="J14">
        <v>28442</v>
      </c>
      <c r="K14">
        <v>4</v>
      </c>
      <c r="L14">
        <v>89.7</v>
      </c>
      <c r="M14">
        <v>3</v>
      </c>
      <c r="N14">
        <v>43</v>
      </c>
      <c r="O14">
        <v>12212</v>
      </c>
      <c r="P14" t="s">
        <v>26</v>
      </c>
      <c r="Q14" t="s">
        <v>27</v>
      </c>
      <c r="R14" t="s">
        <v>58</v>
      </c>
      <c r="S14" t="s">
        <v>34</v>
      </c>
      <c r="T14" t="s">
        <v>35</v>
      </c>
      <c r="U14">
        <f t="shared" si="0"/>
        <v>40654</v>
      </c>
      <c r="V14" t="str">
        <f t="shared" si="1"/>
        <v>Needs Improvement</v>
      </c>
      <c r="W14" t="str">
        <f t="shared" si="2"/>
        <v>Normal</v>
      </c>
      <c r="X14" t="str">
        <f t="shared" si="3"/>
        <v>Mid</v>
      </c>
      <c r="Y14" t="str">
        <f t="shared" si="4"/>
        <v>25-34</v>
      </c>
    </row>
    <row r="15" spans="1:25" x14ac:dyDescent="0.3">
      <c r="A15">
        <v>1014</v>
      </c>
      <c r="B15" t="s">
        <v>43</v>
      </c>
      <c r="C15" t="s">
        <v>37</v>
      </c>
      <c r="D15">
        <v>36</v>
      </c>
      <c r="E15" t="s">
        <v>22</v>
      </c>
      <c r="F15" t="s">
        <v>23</v>
      </c>
      <c r="G15" t="s">
        <v>64</v>
      </c>
      <c r="H15" t="s">
        <v>77</v>
      </c>
      <c r="I15">
        <v>0</v>
      </c>
      <c r="J15">
        <v>40509</v>
      </c>
      <c r="K15">
        <v>4.2</v>
      </c>
      <c r="L15">
        <v>97.4</v>
      </c>
      <c r="M15">
        <v>2</v>
      </c>
      <c r="N15">
        <v>38</v>
      </c>
      <c r="O15">
        <v>8332</v>
      </c>
      <c r="P15" t="s">
        <v>47</v>
      </c>
      <c r="Q15" t="s">
        <v>27</v>
      </c>
      <c r="R15" t="s">
        <v>58</v>
      </c>
      <c r="S15" t="s">
        <v>34</v>
      </c>
      <c r="T15" t="s">
        <v>30</v>
      </c>
      <c r="U15">
        <f t="shared" si="0"/>
        <v>48841</v>
      </c>
      <c r="V15" t="str">
        <f t="shared" si="1"/>
        <v>Excellent</v>
      </c>
      <c r="W15" t="str">
        <f t="shared" si="2"/>
        <v>Normal</v>
      </c>
      <c r="X15" t="str">
        <f t="shared" si="3"/>
        <v>Junior</v>
      </c>
      <c r="Y15" t="str">
        <f t="shared" si="4"/>
        <v>35-44</v>
      </c>
    </row>
    <row r="16" spans="1:25" x14ac:dyDescent="0.3">
      <c r="A16">
        <v>1015</v>
      </c>
      <c r="B16" t="s">
        <v>78</v>
      </c>
      <c r="C16" t="s">
        <v>21</v>
      </c>
      <c r="D16">
        <v>28</v>
      </c>
      <c r="E16" t="s">
        <v>55</v>
      </c>
      <c r="F16" t="s">
        <v>79</v>
      </c>
      <c r="G16" t="s">
        <v>45</v>
      </c>
      <c r="H16" t="s">
        <v>80</v>
      </c>
      <c r="I16">
        <v>8</v>
      </c>
      <c r="J16">
        <v>80636</v>
      </c>
      <c r="K16">
        <v>3.6</v>
      </c>
      <c r="L16">
        <v>95.9</v>
      </c>
      <c r="M16">
        <v>11</v>
      </c>
      <c r="N16">
        <v>21</v>
      </c>
      <c r="O16">
        <v>3941</v>
      </c>
      <c r="P16" t="s">
        <v>53</v>
      </c>
      <c r="Q16" t="s">
        <v>48</v>
      </c>
      <c r="R16" t="s">
        <v>28</v>
      </c>
      <c r="S16" t="s">
        <v>29</v>
      </c>
      <c r="T16" t="s">
        <v>50</v>
      </c>
      <c r="U16">
        <f t="shared" si="0"/>
        <v>84577</v>
      </c>
      <c r="V16" t="str">
        <f t="shared" si="1"/>
        <v>Excellent</v>
      </c>
      <c r="W16" t="str">
        <f t="shared" si="2"/>
        <v>Normal</v>
      </c>
      <c r="X16" t="str">
        <f t="shared" si="3"/>
        <v>Senior</v>
      </c>
      <c r="Y16" t="str">
        <f t="shared" si="4"/>
        <v>25-34</v>
      </c>
    </row>
    <row r="17" spans="1:25" x14ac:dyDescent="0.3">
      <c r="A17">
        <v>1016</v>
      </c>
      <c r="B17" t="s">
        <v>54</v>
      </c>
      <c r="C17" t="s">
        <v>21</v>
      </c>
      <c r="D17">
        <v>24</v>
      </c>
      <c r="E17" t="s">
        <v>55</v>
      </c>
      <c r="F17" t="s">
        <v>56</v>
      </c>
      <c r="G17" t="s">
        <v>59</v>
      </c>
      <c r="H17" t="s">
        <v>81</v>
      </c>
      <c r="I17">
        <v>0</v>
      </c>
      <c r="J17">
        <v>68686</v>
      </c>
      <c r="K17">
        <v>2.8</v>
      </c>
      <c r="L17">
        <v>97</v>
      </c>
      <c r="M17">
        <v>3</v>
      </c>
      <c r="N17">
        <v>26</v>
      </c>
      <c r="O17">
        <v>5736</v>
      </c>
      <c r="P17" t="s">
        <v>47</v>
      </c>
      <c r="Q17" t="s">
        <v>48</v>
      </c>
      <c r="R17" t="s">
        <v>42</v>
      </c>
      <c r="S17" t="s">
        <v>49</v>
      </c>
      <c r="T17" t="s">
        <v>30</v>
      </c>
      <c r="U17">
        <f t="shared" si="0"/>
        <v>74422</v>
      </c>
      <c r="V17" t="str">
        <f t="shared" si="1"/>
        <v>Excellent</v>
      </c>
      <c r="W17" t="str">
        <f t="shared" si="2"/>
        <v>Normal</v>
      </c>
      <c r="X17" t="str">
        <f t="shared" si="3"/>
        <v>Junior</v>
      </c>
      <c r="Y17" t="str">
        <f t="shared" si="4"/>
        <v>20-24</v>
      </c>
    </row>
    <row r="18" spans="1:25" x14ac:dyDescent="0.3">
      <c r="A18">
        <v>1017</v>
      </c>
      <c r="B18" t="s">
        <v>20</v>
      </c>
      <c r="C18" t="s">
        <v>21</v>
      </c>
      <c r="D18">
        <v>33</v>
      </c>
      <c r="E18" t="s">
        <v>38</v>
      </c>
      <c r="F18" t="s">
        <v>44</v>
      </c>
      <c r="G18" t="s">
        <v>64</v>
      </c>
      <c r="H18" t="s">
        <v>82</v>
      </c>
      <c r="I18">
        <v>2</v>
      </c>
      <c r="J18">
        <v>31463</v>
      </c>
      <c r="K18">
        <v>2.7</v>
      </c>
      <c r="L18">
        <v>93.2</v>
      </c>
      <c r="M18">
        <v>24</v>
      </c>
      <c r="N18">
        <v>59</v>
      </c>
      <c r="O18">
        <v>14015</v>
      </c>
      <c r="P18" t="s">
        <v>53</v>
      </c>
      <c r="Q18" t="s">
        <v>27</v>
      </c>
      <c r="R18" t="s">
        <v>42</v>
      </c>
      <c r="S18" t="s">
        <v>34</v>
      </c>
      <c r="T18" t="s">
        <v>30</v>
      </c>
      <c r="U18">
        <f t="shared" si="0"/>
        <v>45478</v>
      </c>
      <c r="V18" t="str">
        <f t="shared" si="1"/>
        <v>Needs Improvement</v>
      </c>
      <c r="W18" t="str">
        <f t="shared" si="2"/>
        <v>High</v>
      </c>
      <c r="X18" t="str">
        <f t="shared" si="3"/>
        <v>Junior</v>
      </c>
      <c r="Y18" t="str">
        <f t="shared" si="4"/>
        <v>25-34</v>
      </c>
    </row>
    <row r="19" spans="1:25" x14ac:dyDescent="0.3">
      <c r="A19">
        <v>1018</v>
      </c>
      <c r="B19" t="s">
        <v>83</v>
      </c>
      <c r="C19" t="s">
        <v>37</v>
      </c>
      <c r="D19">
        <v>32</v>
      </c>
      <c r="E19" t="s">
        <v>38</v>
      </c>
      <c r="F19" t="s">
        <v>44</v>
      </c>
      <c r="G19" t="s">
        <v>24</v>
      </c>
      <c r="H19" t="s">
        <v>84</v>
      </c>
      <c r="I19">
        <v>9</v>
      </c>
      <c r="J19">
        <v>62011</v>
      </c>
      <c r="K19">
        <v>3.1</v>
      </c>
      <c r="L19">
        <v>95.3</v>
      </c>
      <c r="M19">
        <v>10</v>
      </c>
      <c r="N19">
        <v>40</v>
      </c>
      <c r="O19">
        <v>11755</v>
      </c>
      <c r="P19" t="s">
        <v>41</v>
      </c>
      <c r="Q19" t="s">
        <v>48</v>
      </c>
      <c r="R19" t="s">
        <v>28</v>
      </c>
      <c r="S19" t="s">
        <v>49</v>
      </c>
      <c r="T19" t="s">
        <v>50</v>
      </c>
      <c r="U19">
        <f t="shared" si="0"/>
        <v>73766</v>
      </c>
      <c r="V19" t="str">
        <f t="shared" si="1"/>
        <v>Excellent</v>
      </c>
      <c r="W19" t="str">
        <f t="shared" si="2"/>
        <v>Normal</v>
      </c>
      <c r="X19" t="str">
        <f t="shared" si="3"/>
        <v>Senior</v>
      </c>
      <c r="Y19" t="str">
        <f t="shared" si="4"/>
        <v>25-34</v>
      </c>
    </row>
    <row r="20" spans="1:25" x14ac:dyDescent="0.3">
      <c r="A20">
        <v>1019</v>
      </c>
      <c r="B20" t="s">
        <v>85</v>
      </c>
      <c r="C20" t="s">
        <v>37</v>
      </c>
      <c r="D20">
        <v>29</v>
      </c>
      <c r="E20" t="s">
        <v>55</v>
      </c>
      <c r="F20" t="s">
        <v>79</v>
      </c>
      <c r="G20" t="s">
        <v>51</v>
      </c>
      <c r="H20" t="s">
        <v>86</v>
      </c>
      <c r="I20">
        <v>7</v>
      </c>
      <c r="J20">
        <v>90348</v>
      </c>
      <c r="K20">
        <v>4.0999999999999996</v>
      </c>
      <c r="L20">
        <v>92.6</v>
      </c>
      <c r="M20">
        <v>3</v>
      </c>
      <c r="N20">
        <v>30</v>
      </c>
      <c r="O20">
        <v>14188</v>
      </c>
      <c r="P20" t="s">
        <v>41</v>
      </c>
      <c r="Q20" t="s">
        <v>27</v>
      </c>
      <c r="R20" t="s">
        <v>58</v>
      </c>
      <c r="S20" t="s">
        <v>29</v>
      </c>
      <c r="T20" t="s">
        <v>50</v>
      </c>
      <c r="U20">
        <f t="shared" si="0"/>
        <v>104536</v>
      </c>
      <c r="V20" t="str">
        <f t="shared" si="1"/>
        <v>Needs Improvement</v>
      </c>
      <c r="W20" t="str">
        <f t="shared" si="2"/>
        <v>Normal</v>
      </c>
      <c r="X20" t="str">
        <f t="shared" si="3"/>
        <v>Senior</v>
      </c>
      <c r="Y20" t="str">
        <f t="shared" si="4"/>
        <v>25-34</v>
      </c>
    </row>
    <row r="21" spans="1:25" x14ac:dyDescent="0.3">
      <c r="A21">
        <v>1020</v>
      </c>
      <c r="B21" t="s">
        <v>85</v>
      </c>
      <c r="C21" t="s">
        <v>37</v>
      </c>
      <c r="D21">
        <v>22</v>
      </c>
      <c r="E21" t="s">
        <v>55</v>
      </c>
      <c r="F21" t="s">
        <v>56</v>
      </c>
      <c r="G21" t="s">
        <v>45</v>
      </c>
      <c r="H21" t="s">
        <v>87</v>
      </c>
      <c r="I21">
        <v>7</v>
      </c>
      <c r="J21">
        <v>63623</v>
      </c>
      <c r="K21">
        <v>2.5</v>
      </c>
      <c r="L21">
        <v>85.6</v>
      </c>
      <c r="M21">
        <v>14</v>
      </c>
      <c r="N21">
        <v>5</v>
      </c>
      <c r="O21">
        <v>9181</v>
      </c>
      <c r="P21" t="s">
        <v>47</v>
      </c>
      <c r="Q21" t="s">
        <v>27</v>
      </c>
      <c r="R21" t="s">
        <v>42</v>
      </c>
      <c r="S21" t="s">
        <v>49</v>
      </c>
      <c r="T21" t="s">
        <v>50</v>
      </c>
      <c r="U21">
        <f t="shared" si="0"/>
        <v>72804</v>
      </c>
      <c r="V21" t="str">
        <f t="shared" si="1"/>
        <v>Needs Improvement</v>
      </c>
      <c r="W21" t="str">
        <f t="shared" si="2"/>
        <v>Normal</v>
      </c>
      <c r="X21" t="str">
        <f t="shared" si="3"/>
        <v>Senior</v>
      </c>
      <c r="Y21" t="str">
        <f t="shared" si="4"/>
        <v>20-24</v>
      </c>
    </row>
    <row r="22" spans="1:25" x14ac:dyDescent="0.3">
      <c r="A22">
        <v>1021</v>
      </c>
      <c r="B22" t="s">
        <v>88</v>
      </c>
      <c r="C22" t="s">
        <v>37</v>
      </c>
      <c r="D22">
        <v>30</v>
      </c>
      <c r="E22" t="s">
        <v>22</v>
      </c>
      <c r="F22" t="s">
        <v>23</v>
      </c>
      <c r="G22" t="s">
        <v>59</v>
      </c>
      <c r="H22" t="s">
        <v>89</v>
      </c>
      <c r="I22">
        <v>6</v>
      </c>
      <c r="J22">
        <v>87767</v>
      </c>
      <c r="K22">
        <v>2.8</v>
      </c>
      <c r="L22">
        <v>83.5</v>
      </c>
      <c r="M22">
        <v>25</v>
      </c>
      <c r="N22">
        <v>31</v>
      </c>
      <c r="O22">
        <v>5086</v>
      </c>
      <c r="P22" t="s">
        <v>41</v>
      </c>
      <c r="Q22" t="s">
        <v>48</v>
      </c>
      <c r="R22" t="s">
        <v>42</v>
      </c>
      <c r="S22" t="s">
        <v>29</v>
      </c>
      <c r="T22" t="s">
        <v>50</v>
      </c>
      <c r="U22">
        <f t="shared" si="0"/>
        <v>92853</v>
      </c>
      <c r="V22" t="str">
        <f t="shared" si="1"/>
        <v>Needs Improvement</v>
      </c>
      <c r="W22" t="str">
        <f t="shared" si="2"/>
        <v>High</v>
      </c>
      <c r="X22" t="str">
        <f t="shared" si="3"/>
        <v>Mid</v>
      </c>
      <c r="Y22" t="str">
        <f t="shared" si="4"/>
        <v>25-34</v>
      </c>
    </row>
    <row r="23" spans="1:25" x14ac:dyDescent="0.3">
      <c r="A23">
        <v>1022</v>
      </c>
      <c r="B23" t="s">
        <v>75</v>
      </c>
      <c r="C23" t="s">
        <v>37</v>
      </c>
      <c r="D23">
        <v>38</v>
      </c>
      <c r="E23" t="s">
        <v>22</v>
      </c>
      <c r="F23" t="s">
        <v>66</v>
      </c>
      <c r="G23" t="s">
        <v>51</v>
      </c>
      <c r="H23" t="s">
        <v>90</v>
      </c>
      <c r="I23">
        <v>9</v>
      </c>
      <c r="J23">
        <v>84292</v>
      </c>
      <c r="K23">
        <v>3.1</v>
      </c>
      <c r="L23">
        <v>83.5</v>
      </c>
      <c r="M23">
        <v>14</v>
      </c>
      <c r="N23">
        <v>35</v>
      </c>
      <c r="O23">
        <v>14328</v>
      </c>
      <c r="P23" t="s">
        <v>26</v>
      </c>
      <c r="Q23" t="s">
        <v>27</v>
      </c>
      <c r="R23" t="s">
        <v>28</v>
      </c>
      <c r="S23" t="s">
        <v>29</v>
      </c>
      <c r="T23" t="s">
        <v>50</v>
      </c>
      <c r="U23">
        <f t="shared" si="0"/>
        <v>98620</v>
      </c>
      <c r="V23" t="str">
        <f t="shared" si="1"/>
        <v>Needs Improvement</v>
      </c>
      <c r="W23" t="str">
        <f t="shared" si="2"/>
        <v>Normal</v>
      </c>
      <c r="X23" t="str">
        <f t="shared" si="3"/>
        <v>Senior</v>
      </c>
      <c r="Y23" t="str">
        <f t="shared" si="4"/>
        <v>35-44</v>
      </c>
    </row>
    <row r="24" spans="1:25" x14ac:dyDescent="0.3">
      <c r="A24">
        <v>1023</v>
      </c>
      <c r="B24" t="s">
        <v>68</v>
      </c>
      <c r="C24" t="s">
        <v>37</v>
      </c>
      <c r="D24">
        <v>28</v>
      </c>
      <c r="E24" t="s">
        <v>91</v>
      </c>
      <c r="F24" t="s">
        <v>92</v>
      </c>
      <c r="G24" t="s">
        <v>59</v>
      </c>
      <c r="H24" t="s">
        <v>93</v>
      </c>
      <c r="I24">
        <v>1</v>
      </c>
      <c r="J24">
        <v>65542</v>
      </c>
      <c r="K24">
        <v>3.8</v>
      </c>
      <c r="L24">
        <v>95.7</v>
      </c>
      <c r="M24">
        <v>1</v>
      </c>
      <c r="N24">
        <v>58</v>
      </c>
      <c r="O24">
        <v>7122</v>
      </c>
      <c r="P24" t="s">
        <v>41</v>
      </c>
      <c r="Q24" t="s">
        <v>48</v>
      </c>
      <c r="R24" t="s">
        <v>28</v>
      </c>
      <c r="S24" t="s">
        <v>49</v>
      </c>
      <c r="T24" t="s">
        <v>30</v>
      </c>
      <c r="U24">
        <f t="shared" si="0"/>
        <v>72664</v>
      </c>
      <c r="V24" t="str">
        <f t="shared" si="1"/>
        <v>Excellent</v>
      </c>
      <c r="W24" t="str">
        <f t="shared" si="2"/>
        <v>Normal</v>
      </c>
      <c r="X24" t="str">
        <f t="shared" si="3"/>
        <v>Junior</v>
      </c>
      <c r="Y24" t="str">
        <f t="shared" si="4"/>
        <v>25-34</v>
      </c>
    </row>
    <row r="25" spans="1:25" x14ac:dyDescent="0.3">
      <c r="A25">
        <v>1024</v>
      </c>
      <c r="B25" t="s">
        <v>20</v>
      </c>
      <c r="C25" t="s">
        <v>37</v>
      </c>
      <c r="D25">
        <v>34</v>
      </c>
      <c r="E25" t="s">
        <v>38</v>
      </c>
      <c r="F25" t="s">
        <v>39</v>
      </c>
      <c r="G25" t="s">
        <v>51</v>
      </c>
      <c r="H25" t="s">
        <v>94</v>
      </c>
      <c r="I25">
        <v>3</v>
      </c>
      <c r="J25">
        <v>92525</v>
      </c>
      <c r="K25">
        <v>4.8</v>
      </c>
      <c r="L25">
        <v>94.3</v>
      </c>
      <c r="M25">
        <v>3</v>
      </c>
      <c r="N25">
        <v>33</v>
      </c>
      <c r="O25">
        <v>7623</v>
      </c>
      <c r="P25" t="s">
        <v>26</v>
      </c>
      <c r="Q25" t="s">
        <v>27</v>
      </c>
      <c r="R25" t="s">
        <v>70</v>
      </c>
      <c r="S25" t="s">
        <v>29</v>
      </c>
      <c r="T25" t="s">
        <v>35</v>
      </c>
      <c r="U25">
        <f t="shared" si="0"/>
        <v>100148</v>
      </c>
      <c r="V25" t="str">
        <f t="shared" si="1"/>
        <v>Needs Improvement</v>
      </c>
      <c r="W25" t="str">
        <f t="shared" si="2"/>
        <v>Normal</v>
      </c>
      <c r="X25" t="str">
        <f t="shared" si="3"/>
        <v>Mid</v>
      </c>
      <c r="Y25" t="str">
        <f t="shared" si="4"/>
        <v>25-34</v>
      </c>
    </row>
    <row r="26" spans="1:25" x14ac:dyDescent="0.3">
      <c r="A26">
        <v>1025</v>
      </c>
      <c r="B26" t="s">
        <v>75</v>
      </c>
      <c r="C26" t="s">
        <v>37</v>
      </c>
      <c r="D26">
        <v>22</v>
      </c>
      <c r="E26" t="s">
        <v>38</v>
      </c>
      <c r="F26" t="s">
        <v>39</v>
      </c>
      <c r="G26" t="s">
        <v>24</v>
      </c>
      <c r="H26" t="s">
        <v>95</v>
      </c>
      <c r="I26">
        <v>1</v>
      </c>
      <c r="J26">
        <v>93937</v>
      </c>
      <c r="K26">
        <v>2.8</v>
      </c>
      <c r="L26">
        <v>99.9</v>
      </c>
      <c r="M26">
        <v>20</v>
      </c>
      <c r="N26">
        <v>17</v>
      </c>
      <c r="O26">
        <v>1141</v>
      </c>
      <c r="P26" t="s">
        <v>26</v>
      </c>
      <c r="Q26" t="s">
        <v>27</v>
      </c>
      <c r="R26" t="s">
        <v>42</v>
      </c>
      <c r="S26" t="s">
        <v>29</v>
      </c>
      <c r="T26" t="s">
        <v>30</v>
      </c>
      <c r="U26">
        <f t="shared" si="0"/>
        <v>95078</v>
      </c>
      <c r="V26" t="str">
        <f t="shared" si="1"/>
        <v>Excellent</v>
      </c>
      <c r="W26" t="str">
        <f t="shared" si="2"/>
        <v>Normal</v>
      </c>
      <c r="X26" t="str">
        <f t="shared" si="3"/>
        <v>Junior</v>
      </c>
      <c r="Y26" t="str">
        <f t="shared" si="4"/>
        <v>20-24</v>
      </c>
    </row>
    <row r="27" spans="1:25" x14ac:dyDescent="0.3">
      <c r="A27">
        <v>1026</v>
      </c>
      <c r="B27" t="s">
        <v>88</v>
      </c>
      <c r="C27" t="s">
        <v>21</v>
      </c>
      <c r="D27">
        <v>28</v>
      </c>
      <c r="E27" t="s">
        <v>22</v>
      </c>
      <c r="F27" t="s">
        <v>23</v>
      </c>
      <c r="G27" t="s">
        <v>51</v>
      </c>
      <c r="H27" t="s">
        <v>96</v>
      </c>
      <c r="I27">
        <v>4</v>
      </c>
      <c r="J27">
        <v>53513</v>
      </c>
      <c r="K27">
        <v>3.3</v>
      </c>
      <c r="L27">
        <v>85.4</v>
      </c>
      <c r="M27">
        <v>0</v>
      </c>
      <c r="N27">
        <v>59</v>
      </c>
      <c r="O27">
        <v>9039</v>
      </c>
      <c r="P27" t="s">
        <v>53</v>
      </c>
      <c r="Q27" t="s">
        <v>27</v>
      </c>
      <c r="R27" t="s">
        <v>28</v>
      </c>
      <c r="S27" t="s">
        <v>49</v>
      </c>
      <c r="T27" t="s">
        <v>35</v>
      </c>
      <c r="U27">
        <f t="shared" si="0"/>
        <v>62552</v>
      </c>
      <c r="V27" t="str">
        <f t="shared" si="1"/>
        <v>Needs Improvement</v>
      </c>
      <c r="W27" t="str">
        <f t="shared" si="2"/>
        <v>Normal</v>
      </c>
      <c r="X27" t="str">
        <f t="shared" si="3"/>
        <v>Mid</v>
      </c>
      <c r="Y27" t="str">
        <f t="shared" si="4"/>
        <v>25-34</v>
      </c>
    </row>
    <row r="28" spans="1:25" x14ac:dyDescent="0.3">
      <c r="A28">
        <v>1027</v>
      </c>
      <c r="B28" t="s">
        <v>75</v>
      </c>
      <c r="C28" t="s">
        <v>37</v>
      </c>
      <c r="D28">
        <v>29</v>
      </c>
      <c r="E28" t="s">
        <v>62</v>
      </c>
      <c r="F28" t="s">
        <v>97</v>
      </c>
      <c r="G28" t="s">
        <v>59</v>
      </c>
      <c r="H28" t="s">
        <v>98</v>
      </c>
      <c r="I28">
        <v>6</v>
      </c>
      <c r="J28">
        <v>56335</v>
      </c>
      <c r="K28">
        <v>3</v>
      </c>
      <c r="L28">
        <v>98.1</v>
      </c>
      <c r="M28">
        <v>2</v>
      </c>
      <c r="N28">
        <v>26</v>
      </c>
      <c r="O28">
        <v>6383</v>
      </c>
      <c r="P28" t="s">
        <v>53</v>
      </c>
      <c r="Q28" t="s">
        <v>27</v>
      </c>
      <c r="R28" t="s">
        <v>28</v>
      </c>
      <c r="S28" t="s">
        <v>49</v>
      </c>
      <c r="T28" t="s">
        <v>50</v>
      </c>
      <c r="U28">
        <f t="shared" si="0"/>
        <v>62718</v>
      </c>
      <c r="V28" t="str">
        <f t="shared" si="1"/>
        <v>Excellent</v>
      </c>
      <c r="W28" t="str">
        <f t="shared" si="2"/>
        <v>Normal</v>
      </c>
      <c r="X28" t="str">
        <f t="shared" si="3"/>
        <v>Mid</v>
      </c>
      <c r="Y28" t="str">
        <f t="shared" si="4"/>
        <v>25-34</v>
      </c>
    </row>
    <row r="29" spans="1:25" x14ac:dyDescent="0.3">
      <c r="A29">
        <v>1028</v>
      </c>
      <c r="B29" t="s">
        <v>99</v>
      </c>
      <c r="C29" t="s">
        <v>37</v>
      </c>
      <c r="D29">
        <v>45</v>
      </c>
      <c r="E29" t="s">
        <v>38</v>
      </c>
      <c r="F29" t="s">
        <v>39</v>
      </c>
      <c r="G29" t="s">
        <v>24</v>
      </c>
      <c r="H29" t="s">
        <v>100</v>
      </c>
      <c r="I29">
        <v>2</v>
      </c>
      <c r="J29">
        <v>92273</v>
      </c>
      <c r="K29">
        <v>3.4</v>
      </c>
      <c r="L29">
        <v>83.8</v>
      </c>
      <c r="M29">
        <v>15</v>
      </c>
      <c r="N29">
        <v>17</v>
      </c>
      <c r="O29">
        <v>14826</v>
      </c>
      <c r="P29" t="s">
        <v>53</v>
      </c>
      <c r="Q29" t="s">
        <v>27</v>
      </c>
      <c r="R29" t="s">
        <v>28</v>
      </c>
      <c r="S29" t="s">
        <v>29</v>
      </c>
      <c r="T29" t="s">
        <v>30</v>
      </c>
      <c r="U29">
        <f t="shared" si="0"/>
        <v>107099</v>
      </c>
      <c r="V29" t="str">
        <f t="shared" si="1"/>
        <v>Needs Improvement</v>
      </c>
      <c r="W29" t="str">
        <f t="shared" si="2"/>
        <v>Normal</v>
      </c>
      <c r="X29" t="str">
        <f t="shared" si="3"/>
        <v>Junior</v>
      </c>
      <c r="Y29" t="str">
        <f t="shared" si="4"/>
        <v>45+</v>
      </c>
    </row>
    <row r="30" spans="1:25" x14ac:dyDescent="0.3">
      <c r="A30">
        <v>1029</v>
      </c>
      <c r="B30" t="s">
        <v>85</v>
      </c>
      <c r="C30" t="s">
        <v>21</v>
      </c>
      <c r="D30">
        <v>37</v>
      </c>
      <c r="E30" t="s">
        <v>91</v>
      </c>
      <c r="F30" t="s">
        <v>101</v>
      </c>
      <c r="G30" t="s">
        <v>24</v>
      </c>
      <c r="H30" t="s">
        <v>102</v>
      </c>
      <c r="I30">
        <v>4</v>
      </c>
      <c r="J30">
        <v>29526</v>
      </c>
      <c r="K30">
        <v>3.8</v>
      </c>
      <c r="L30">
        <v>85.7</v>
      </c>
      <c r="M30">
        <v>17</v>
      </c>
      <c r="N30">
        <v>37</v>
      </c>
      <c r="O30">
        <v>2704</v>
      </c>
      <c r="P30" t="s">
        <v>53</v>
      </c>
      <c r="Q30" t="s">
        <v>27</v>
      </c>
      <c r="R30" t="s">
        <v>28</v>
      </c>
      <c r="S30" t="s">
        <v>34</v>
      </c>
      <c r="T30" t="s">
        <v>35</v>
      </c>
      <c r="U30">
        <f t="shared" si="0"/>
        <v>32230</v>
      </c>
      <c r="V30" t="str">
        <f t="shared" si="1"/>
        <v>Needs Improvement</v>
      </c>
      <c r="W30" t="str">
        <f t="shared" si="2"/>
        <v>Normal</v>
      </c>
      <c r="X30" t="str">
        <f t="shared" si="3"/>
        <v>Mid</v>
      </c>
      <c r="Y30" t="str">
        <f t="shared" si="4"/>
        <v>35-44</v>
      </c>
    </row>
    <row r="31" spans="1:25" x14ac:dyDescent="0.3">
      <c r="A31">
        <v>1030</v>
      </c>
      <c r="B31" t="s">
        <v>83</v>
      </c>
      <c r="C31" t="s">
        <v>37</v>
      </c>
      <c r="D31">
        <v>38</v>
      </c>
      <c r="E31" t="s">
        <v>38</v>
      </c>
      <c r="F31" t="s">
        <v>39</v>
      </c>
      <c r="G31" t="s">
        <v>59</v>
      </c>
      <c r="H31" t="s">
        <v>103</v>
      </c>
      <c r="I31">
        <v>10</v>
      </c>
      <c r="J31">
        <v>25678</v>
      </c>
      <c r="K31">
        <v>3.7</v>
      </c>
      <c r="L31">
        <v>87.6</v>
      </c>
      <c r="M31">
        <v>9</v>
      </c>
      <c r="N31">
        <v>32</v>
      </c>
      <c r="O31">
        <v>14309</v>
      </c>
      <c r="P31" t="s">
        <v>53</v>
      </c>
      <c r="Q31" t="s">
        <v>27</v>
      </c>
      <c r="R31" t="s">
        <v>28</v>
      </c>
      <c r="S31" t="s">
        <v>34</v>
      </c>
      <c r="T31" t="s">
        <v>50</v>
      </c>
      <c r="U31">
        <f t="shared" si="0"/>
        <v>39987</v>
      </c>
      <c r="V31" t="str">
        <f t="shared" si="1"/>
        <v>Needs Improvement</v>
      </c>
      <c r="W31" t="str">
        <f t="shared" si="2"/>
        <v>Normal</v>
      </c>
      <c r="X31" t="str">
        <f t="shared" si="3"/>
        <v>Senior</v>
      </c>
      <c r="Y31" t="str">
        <f t="shared" si="4"/>
        <v>35-44</v>
      </c>
    </row>
    <row r="32" spans="1:25" x14ac:dyDescent="0.3">
      <c r="A32">
        <v>1031</v>
      </c>
      <c r="B32" t="s">
        <v>36</v>
      </c>
      <c r="C32" t="s">
        <v>21</v>
      </c>
      <c r="D32">
        <v>41</v>
      </c>
      <c r="E32" t="s">
        <v>91</v>
      </c>
      <c r="F32" t="s">
        <v>92</v>
      </c>
      <c r="G32" t="s">
        <v>59</v>
      </c>
      <c r="H32" t="s">
        <v>104</v>
      </c>
      <c r="I32">
        <v>2</v>
      </c>
      <c r="J32">
        <v>86427</v>
      </c>
      <c r="K32">
        <v>3.5</v>
      </c>
      <c r="L32">
        <v>98.2</v>
      </c>
      <c r="M32">
        <v>20</v>
      </c>
      <c r="N32">
        <v>15</v>
      </c>
      <c r="O32">
        <v>14535</v>
      </c>
      <c r="P32" t="s">
        <v>33</v>
      </c>
      <c r="Q32" t="s">
        <v>27</v>
      </c>
      <c r="R32" t="s">
        <v>28</v>
      </c>
      <c r="S32" t="s">
        <v>29</v>
      </c>
      <c r="T32" t="s">
        <v>30</v>
      </c>
      <c r="U32">
        <f t="shared" si="0"/>
        <v>100962</v>
      </c>
      <c r="V32" t="str">
        <f t="shared" si="1"/>
        <v>Excellent</v>
      </c>
      <c r="W32" t="str">
        <f t="shared" si="2"/>
        <v>Normal</v>
      </c>
      <c r="X32" t="str">
        <f t="shared" si="3"/>
        <v>Junior</v>
      </c>
      <c r="Y32" t="str">
        <f t="shared" si="4"/>
        <v>35-44</v>
      </c>
    </row>
    <row r="33" spans="1:25" x14ac:dyDescent="0.3">
      <c r="A33">
        <v>1032</v>
      </c>
      <c r="B33" t="s">
        <v>61</v>
      </c>
      <c r="C33" t="s">
        <v>21</v>
      </c>
      <c r="D33">
        <v>24</v>
      </c>
      <c r="E33" t="s">
        <v>91</v>
      </c>
      <c r="F33" t="s">
        <v>101</v>
      </c>
      <c r="G33" t="s">
        <v>51</v>
      </c>
      <c r="H33" t="s">
        <v>105</v>
      </c>
      <c r="I33">
        <v>10</v>
      </c>
      <c r="J33">
        <v>68895</v>
      </c>
      <c r="K33">
        <v>3.7</v>
      </c>
      <c r="L33">
        <v>88.5</v>
      </c>
      <c r="M33">
        <v>3</v>
      </c>
      <c r="N33">
        <v>15</v>
      </c>
      <c r="O33">
        <v>3333</v>
      </c>
      <c r="P33" t="s">
        <v>53</v>
      </c>
      <c r="Q33" t="s">
        <v>48</v>
      </c>
      <c r="R33" t="s">
        <v>28</v>
      </c>
      <c r="S33" t="s">
        <v>49</v>
      </c>
      <c r="T33" t="s">
        <v>50</v>
      </c>
      <c r="U33">
        <f t="shared" si="0"/>
        <v>72228</v>
      </c>
      <c r="V33" t="str">
        <f t="shared" si="1"/>
        <v>Needs Improvement</v>
      </c>
      <c r="W33" t="str">
        <f t="shared" si="2"/>
        <v>Normal</v>
      </c>
      <c r="X33" t="str">
        <f t="shared" si="3"/>
        <v>Senior</v>
      </c>
      <c r="Y33" t="str">
        <f t="shared" si="4"/>
        <v>20-24</v>
      </c>
    </row>
    <row r="34" spans="1:25" x14ac:dyDescent="0.3">
      <c r="A34">
        <v>1033</v>
      </c>
      <c r="B34" t="s">
        <v>99</v>
      </c>
      <c r="C34" t="s">
        <v>21</v>
      </c>
      <c r="D34">
        <v>33</v>
      </c>
      <c r="E34" t="s">
        <v>62</v>
      </c>
      <c r="F34" t="s">
        <v>97</v>
      </c>
      <c r="G34" t="s">
        <v>64</v>
      </c>
      <c r="H34" t="s">
        <v>106</v>
      </c>
      <c r="I34">
        <v>5</v>
      </c>
      <c r="J34">
        <v>92412</v>
      </c>
      <c r="K34">
        <v>4.5</v>
      </c>
      <c r="L34">
        <v>85.7</v>
      </c>
      <c r="M34">
        <v>8</v>
      </c>
      <c r="N34">
        <v>19</v>
      </c>
      <c r="O34">
        <v>4662</v>
      </c>
      <c r="P34" t="s">
        <v>33</v>
      </c>
      <c r="Q34" t="s">
        <v>48</v>
      </c>
      <c r="R34" t="s">
        <v>70</v>
      </c>
      <c r="S34" t="s">
        <v>29</v>
      </c>
      <c r="T34" t="s">
        <v>35</v>
      </c>
      <c r="U34">
        <f t="shared" si="0"/>
        <v>97074</v>
      </c>
      <c r="V34" t="str">
        <f t="shared" si="1"/>
        <v>Needs Improvement</v>
      </c>
      <c r="W34" t="str">
        <f t="shared" si="2"/>
        <v>Normal</v>
      </c>
      <c r="X34" t="str">
        <f t="shared" si="3"/>
        <v>Mid</v>
      </c>
      <c r="Y34" t="str">
        <f t="shared" si="4"/>
        <v>25-34</v>
      </c>
    </row>
    <row r="35" spans="1:25" x14ac:dyDescent="0.3">
      <c r="A35">
        <v>1034</v>
      </c>
      <c r="B35" t="s">
        <v>88</v>
      </c>
      <c r="C35" t="s">
        <v>37</v>
      </c>
      <c r="D35">
        <v>30</v>
      </c>
      <c r="E35" t="s">
        <v>55</v>
      </c>
      <c r="F35" t="s">
        <v>79</v>
      </c>
      <c r="G35" t="s">
        <v>24</v>
      </c>
      <c r="H35" t="s">
        <v>107</v>
      </c>
      <c r="I35">
        <v>6</v>
      </c>
      <c r="J35">
        <v>75129</v>
      </c>
      <c r="K35">
        <v>2.5</v>
      </c>
      <c r="L35">
        <v>100</v>
      </c>
      <c r="M35">
        <v>24</v>
      </c>
      <c r="N35">
        <v>16</v>
      </c>
      <c r="O35">
        <v>7024</v>
      </c>
      <c r="P35" t="s">
        <v>41</v>
      </c>
      <c r="Q35" t="s">
        <v>27</v>
      </c>
      <c r="R35" t="s">
        <v>42</v>
      </c>
      <c r="S35" t="s">
        <v>29</v>
      </c>
      <c r="T35" t="s">
        <v>50</v>
      </c>
      <c r="U35">
        <f t="shared" si="0"/>
        <v>82153</v>
      </c>
      <c r="V35" t="str">
        <f t="shared" si="1"/>
        <v>Excellent</v>
      </c>
      <c r="W35" t="str">
        <f t="shared" si="2"/>
        <v>High</v>
      </c>
      <c r="X35" t="str">
        <f t="shared" si="3"/>
        <v>Mid</v>
      </c>
      <c r="Y35" t="str">
        <f t="shared" si="4"/>
        <v>25-34</v>
      </c>
    </row>
    <row r="36" spans="1:25" x14ac:dyDescent="0.3">
      <c r="A36">
        <v>1035</v>
      </c>
      <c r="B36" t="s">
        <v>36</v>
      </c>
      <c r="C36" t="s">
        <v>37</v>
      </c>
      <c r="D36">
        <v>24</v>
      </c>
      <c r="E36" t="s">
        <v>38</v>
      </c>
      <c r="F36" t="s">
        <v>44</v>
      </c>
      <c r="G36" t="s">
        <v>64</v>
      </c>
      <c r="H36" t="s">
        <v>108</v>
      </c>
      <c r="I36">
        <v>5</v>
      </c>
      <c r="J36">
        <v>81966</v>
      </c>
      <c r="K36">
        <v>2.8</v>
      </c>
      <c r="L36">
        <v>85.2</v>
      </c>
      <c r="M36">
        <v>0</v>
      </c>
      <c r="N36">
        <v>36</v>
      </c>
      <c r="O36">
        <v>1573</v>
      </c>
      <c r="P36" t="s">
        <v>26</v>
      </c>
      <c r="Q36" t="s">
        <v>48</v>
      </c>
      <c r="R36" t="s">
        <v>42</v>
      </c>
      <c r="S36" t="s">
        <v>29</v>
      </c>
      <c r="T36" t="s">
        <v>35</v>
      </c>
      <c r="U36">
        <f t="shared" si="0"/>
        <v>83539</v>
      </c>
      <c r="V36" t="str">
        <f t="shared" si="1"/>
        <v>Needs Improvement</v>
      </c>
      <c r="W36" t="str">
        <f t="shared" si="2"/>
        <v>Normal</v>
      </c>
      <c r="X36" t="str">
        <f t="shared" si="3"/>
        <v>Mid</v>
      </c>
      <c r="Y36" t="str">
        <f t="shared" si="4"/>
        <v>20-24</v>
      </c>
    </row>
    <row r="37" spans="1:25" x14ac:dyDescent="0.3">
      <c r="A37">
        <v>1036</v>
      </c>
      <c r="B37" t="s">
        <v>43</v>
      </c>
      <c r="C37" t="s">
        <v>37</v>
      </c>
      <c r="D37">
        <v>28</v>
      </c>
      <c r="E37" t="s">
        <v>22</v>
      </c>
      <c r="F37" t="s">
        <v>66</v>
      </c>
      <c r="G37" t="s">
        <v>45</v>
      </c>
      <c r="H37" t="s">
        <v>109</v>
      </c>
      <c r="I37">
        <v>6</v>
      </c>
      <c r="J37">
        <v>84778</v>
      </c>
      <c r="K37">
        <v>4.3</v>
      </c>
      <c r="L37">
        <v>89.7</v>
      </c>
      <c r="M37">
        <v>7</v>
      </c>
      <c r="N37">
        <v>11</v>
      </c>
      <c r="O37">
        <v>7650</v>
      </c>
      <c r="P37" t="s">
        <v>26</v>
      </c>
      <c r="Q37" t="s">
        <v>48</v>
      </c>
      <c r="R37" t="s">
        <v>58</v>
      </c>
      <c r="S37" t="s">
        <v>29</v>
      </c>
      <c r="T37" t="s">
        <v>50</v>
      </c>
      <c r="U37">
        <f t="shared" si="0"/>
        <v>92428</v>
      </c>
      <c r="V37" t="str">
        <f t="shared" si="1"/>
        <v>Needs Improvement</v>
      </c>
      <c r="W37" t="str">
        <f t="shared" si="2"/>
        <v>Normal</v>
      </c>
      <c r="X37" t="str">
        <f t="shared" si="3"/>
        <v>Mid</v>
      </c>
      <c r="Y37" t="str">
        <f t="shared" si="4"/>
        <v>25-34</v>
      </c>
    </row>
    <row r="38" spans="1:25" x14ac:dyDescent="0.3">
      <c r="A38">
        <v>1037</v>
      </c>
      <c r="B38" t="s">
        <v>31</v>
      </c>
      <c r="C38" t="s">
        <v>37</v>
      </c>
      <c r="D38">
        <v>39</v>
      </c>
      <c r="E38" t="s">
        <v>22</v>
      </c>
      <c r="F38" t="s">
        <v>66</v>
      </c>
      <c r="G38" t="s">
        <v>59</v>
      </c>
      <c r="H38" t="s">
        <v>110</v>
      </c>
      <c r="I38">
        <v>1</v>
      </c>
      <c r="J38">
        <v>81536</v>
      </c>
      <c r="K38">
        <v>4.5</v>
      </c>
      <c r="L38">
        <v>85.7</v>
      </c>
      <c r="M38">
        <v>24</v>
      </c>
      <c r="N38">
        <v>34</v>
      </c>
      <c r="O38">
        <v>9550</v>
      </c>
      <c r="P38" t="s">
        <v>47</v>
      </c>
      <c r="Q38" t="s">
        <v>48</v>
      </c>
      <c r="R38" t="s">
        <v>70</v>
      </c>
      <c r="S38" t="s">
        <v>29</v>
      </c>
      <c r="T38" t="s">
        <v>30</v>
      </c>
      <c r="U38">
        <f t="shared" si="0"/>
        <v>91086</v>
      </c>
      <c r="V38" t="str">
        <f t="shared" si="1"/>
        <v>Needs Improvement</v>
      </c>
      <c r="W38" t="str">
        <f t="shared" si="2"/>
        <v>High</v>
      </c>
      <c r="X38" t="str">
        <f t="shared" si="3"/>
        <v>Junior</v>
      </c>
      <c r="Y38" t="str">
        <f t="shared" si="4"/>
        <v>35-44</v>
      </c>
    </row>
    <row r="39" spans="1:25" x14ac:dyDescent="0.3">
      <c r="A39">
        <v>1038</v>
      </c>
      <c r="B39" t="s">
        <v>111</v>
      </c>
      <c r="C39" t="s">
        <v>21</v>
      </c>
      <c r="D39">
        <v>34</v>
      </c>
      <c r="E39" t="s">
        <v>62</v>
      </c>
      <c r="F39" t="s">
        <v>63</v>
      </c>
      <c r="G39" t="s">
        <v>45</v>
      </c>
      <c r="H39" t="s">
        <v>112</v>
      </c>
      <c r="I39">
        <v>8</v>
      </c>
      <c r="J39">
        <v>26829</v>
      </c>
      <c r="K39">
        <v>3.7</v>
      </c>
      <c r="L39">
        <v>99.1</v>
      </c>
      <c r="M39">
        <v>5</v>
      </c>
      <c r="N39">
        <v>18</v>
      </c>
      <c r="O39">
        <v>12434</v>
      </c>
      <c r="P39" t="s">
        <v>41</v>
      </c>
      <c r="Q39" t="s">
        <v>48</v>
      </c>
      <c r="R39" t="s">
        <v>28</v>
      </c>
      <c r="S39" t="s">
        <v>34</v>
      </c>
      <c r="T39" t="s">
        <v>50</v>
      </c>
      <c r="U39">
        <f t="shared" si="0"/>
        <v>39263</v>
      </c>
      <c r="V39" t="str">
        <f t="shared" si="1"/>
        <v>Excellent</v>
      </c>
      <c r="W39" t="str">
        <f t="shared" si="2"/>
        <v>Normal</v>
      </c>
      <c r="X39" t="str">
        <f t="shared" si="3"/>
        <v>Senior</v>
      </c>
      <c r="Y39" t="str">
        <f t="shared" si="4"/>
        <v>25-34</v>
      </c>
    </row>
    <row r="40" spans="1:25" x14ac:dyDescent="0.3">
      <c r="A40">
        <v>1039</v>
      </c>
      <c r="B40" t="s">
        <v>83</v>
      </c>
      <c r="C40" t="s">
        <v>37</v>
      </c>
      <c r="D40">
        <v>33</v>
      </c>
      <c r="E40" t="s">
        <v>62</v>
      </c>
      <c r="F40" t="s">
        <v>97</v>
      </c>
      <c r="G40" t="s">
        <v>45</v>
      </c>
      <c r="H40" t="s">
        <v>113</v>
      </c>
      <c r="I40">
        <v>6</v>
      </c>
      <c r="J40">
        <v>34552</v>
      </c>
      <c r="K40">
        <v>3.7</v>
      </c>
      <c r="L40">
        <v>84.9</v>
      </c>
      <c r="M40">
        <v>12</v>
      </c>
      <c r="N40">
        <v>56</v>
      </c>
      <c r="O40">
        <v>10651</v>
      </c>
      <c r="P40" t="s">
        <v>26</v>
      </c>
      <c r="Q40" t="s">
        <v>27</v>
      </c>
      <c r="R40" t="s">
        <v>28</v>
      </c>
      <c r="S40" t="s">
        <v>34</v>
      </c>
      <c r="T40" t="s">
        <v>50</v>
      </c>
      <c r="U40">
        <f t="shared" si="0"/>
        <v>45203</v>
      </c>
      <c r="V40" t="str">
        <f t="shared" si="1"/>
        <v>Needs Improvement</v>
      </c>
      <c r="W40" t="str">
        <f t="shared" si="2"/>
        <v>Normal</v>
      </c>
      <c r="X40" t="str">
        <f t="shared" si="3"/>
        <v>Mid</v>
      </c>
      <c r="Y40" t="str">
        <f t="shared" si="4"/>
        <v>25-34</v>
      </c>
    </row>
    <row r="41" spans="1:25" x14ac:dyDescent="0.3">
      <c r="A41">
        <v>1040</v>
      </c>
      <c r="B41" t="s">
        <v>43</v>
      </c>
      <c r="C41" t="s">
        <v>37</v>
      </c>
      <c r="D41">
        <v>24</v>
      </c>
      <c r="E41" t="s">
        <v>22</v>
      </c>
      <c r="F41" t="s">
        <v>23</v>
      </c>
      <c r="G41" t="s">
        <v>45</v>
      </c>
      <c r="H41" t="s">
        <v>114</v>
      </c>
      <c r="I41">
        <v>7</v>
      </c>
      <c r="J41">
        <v>33005</v>
      </c>
      <c r="K41">
        <v>3.3</v>
      </c>
      <c r="L41">
        <v>98.8</v>
      </c>
      <c r="M41">
        <v>25</v>
      </c>
      <c r="N41">
        <v>50</v>
      </c>
      <c r="O41">
        <v>2801</v>
      </c>
      <c r="P41" t="s">
        <v>33</v>
      </c>
      <c r="Q41" t="s">
        <v>48</v>
      </c>
      <c r="R41" t="s">
        <v>28</v>
      </c>
      <c r="S41" t="s">
        <v>34</v>
      </c>
      <c r="T41" t="s">
        <v>50</v>
      </c>
      <c r="U41">
        <f t="shared" si="0"/>
        <v>35806</v>
      </c>
      <c r="V41" t="str">
        <f t="shared" si="1"/>
        <v>Excellent</v>
      </c>
      <c r="W41" t="str">
        <f t="shared" si="2"/>
        <v>High</v>
      </c>
      <c r="X41" t="str">
        <f t="shared" si="3"/>
        <v>Senior</v>
      </c>
      <c r="Y41" t="str">
        <f t="shared" si="4"/>
        <v>20-24</v>
      </c>
    </row>
    <row r="42" spans="1:25" x14ac:dyDescent="0.3">
      <c r="A42">
        <v>1041</v>
      </c>
      <c r="B42" t="s">
        <v>43</v>
      </c>
      <c r="C42" t="s">
        <v>37</v>
      </c>
      <c r="D42">
        <v>30</v>
      </c>
      <c r="E42" t="s">
        <v>91</v>
      </c>
      <c r="F42" t="s">
        <v>101</v>
      </c>
      <c r="G42" t="s">
        <v>45</v>
      </c>
      <c r="H42" t="s">
        <v>115</v>
      </c>
      <c r="I42">
        <v>4</v>
      </c>
      <c r="J42">
        <v>69089</v>
      </c>
      <c r="K42">
        <v>2.7</v>
      </c>
      <c r="L42">
        <v>93.2</v>
      </c>
      <c r="M42">
        <v>13</v>
      </c>
      <c r="N42">
        <v>54</v>
      </c>
      <c r="O42">
        <v>1448</v>
      </c>
      <c r="P42" t="s">
        <v>33</v>
      </c>
      <c r="Q42" t="s">
        <v>27</v>
      </c>
      <c r="R42" t="s">
        <v>42</v>
      </c>
      <c r="S42" t="s">
        <v>49</v>
      </c>
      <c r="T42" t="s">
        <v>35</v>
      </c>
      <c r="U42">
        <f t="shared" si="0"/>
        <v>70537</v>
      </c>
      <c r="V42" t="str">
        <f t="shared" si="1"/>
        <v>Needs Improvement</v>
      </c>
      <c r="W42" t="str">
        <f t="shared" si="2"/>
        <v>Normal</v>
      </c>
      <c r="X42" t="str">
        <f t="shared" si="3"/>
        <v>Mid</v>
      </c>
      <c r="Y42" t="str">
        <f t="shared" si="4"/>
        <v>25-34</v>
      </c>
    </row>
    <row r="43" spans="1:25" x14ac:dyDescent="0.3">
      <c r="A43">
        <v>1042</v>
      </c>
      <c r="B43" t="s">
        <v>36</v>
      </c>
      <c r="C43" t="s">
        <v>37</v>
      </c>
      <c r="D43">
        <v>42</v>
      </c>
      <c r="E43" t="s">
        <v>62</v>
      </c>
      <c r="F43" t="s">
        <v>97</v>
      </c>
      <c r="G43" t="s">
        <v>64</v>
      </c>
      <c r="H43" t="s">
        <v>116</v>
      </c>
      <c r="I43">
        <v>9</v>
      </c>
      <c r="J43">
        <v>68581</v>
      </c>
      <c r="K43">
        <v>4</v>
      </c>
      <c r="L43">
        <v>83.2</v>
      </c>
      <c r="M43">
        <v>11</v>
      </c>
      <c r="N43">
        <v>54</v>
      </c>
      <c r="O43">
        <v>14187</v>
      </c>
      <c r="P43" t="s">
        <v>41</v>
      </c>
      <c r="Q43" t="s">
        <v>27</v>
      </c>
      <c r="R43" t="s">
        <v>58</v>
      </c>
      <c r="S43" t="s">
        <v>49</v>
      </c>
      <c r="T43" t="s">
        <v>50</v>
      </c>
      <c r="U43">
        <f t="shared" si="0"/>
        <v>82768</v>
      </c>
      <c r="V43" t="str">
        <f t="shared" si="1"/>
        <v>Needs Improvement</v>
      </c>
      <c r="W43" t="str">
        <f t="shared" si="2"/>
        <v>Normal</v>
      </c>
      <c r="X43" t="str">
        <f t="shared" si="3"/>
        <v>Senior</v>
      </c>
      <c r="Y43" t="str">
        <f t="shared" si="4"/>
        <v>35-44</v>
      </c>
    </row>
    <row r="44" spans="1:25" x14ac:dyDescent="0.3">
      <c r="A44">
        <v>1043</v>
      </c>
      <c r="B44" t="s">
        <v>88</v>
      </c>
      <c r="C44" t="s">
        <v>37</v>
      </c>
      <c r="D44">
        <v>26</v>
      </c>
      <c r="E44" t="s">
        <v>62</v>
      </c>
      <c r="F44" t="s">
        <v>63</v>
      </c>
      <c r="G44" t="s">
        <v>64</v>
      </c>
      <c r="H44" t="s">
        <v>117</v>
      </c>
      <c r="I44">
        <v>10</v>
      </c>
      <c r="J44">
        <v>70855</v>
      </c>
      <c r="K44">
        <v>2.7</v>
      </c>
      <c r="L44">
        <v>89.5</v>
      </c>
      <c r="M44">
        <v>3</v>
      </c>
      <c r="N44">
        <v>15</v>
      </c>
      <c r="O44">
        <v>7207</v>
      </c>
      <c r="P44" t="s">
        <v>47</v>
      </c>
      <c r="Q44" t="s">
        <v>27</v>
      </c>
      <c r="R44" t="s">
        <v>42</v>
      </c>
      <c r="S44" t="s">
        <v>29</v>
      </c>
      <c r="T44" t="s">
        <v>50</v>
      </c>
      <c r="U44">
        <f t="shared" si="0"/>
        <v>78062</v>
      </c>
      <c r="V44" t="str">
        <f t="shared" si="1"/>
        <v>Needs Improvement</v>
      </c>
      <c r="W44" t="str">
        <f t="shared" si="2"/>
        <v>Normal</v>
      </c>
      <c r="X44" t="str">
        <f t="shared" si="3"/>
        <v>Senior</v>
      </c>
      <c r="Y44" t="str">
        <f t="shared" si="4"/>
        <v>25-34</v>
      </c>
    </row>
    <row r="45" spans="1:25" x14ac:dyDescent="0.3">
      <c r="A45">
        <v>1044</v>
      </c>
      <c r="B45" t="s">
        <v>73</v>
      </c>
      <c r="C45" t="s">
        <v>21</v>
      </c>
      <c r="D45">
        <v>40</v>
      </c>
      <c r="E45" t="s">
        <v>55</v>
      </c>
      <c r="F45" t="s">
        <v>79</v>
      </c>
      <c r="G45" t="s">
        <v>45</v>
      </c>
      <c r="H45" t="s">
        <v>118</v>
      </c>
      <c r="I45">
        <v>4</v>
      </c>
      <c r="J45">
        <v>46290</v>
      </c>
      <c r="K45">
        <v>3.6</v>
      </c>
      <c r="L45">
        <v>87.2</v>
      </c>
      <c r="M45">
        <v>9</v>
      </c>
      <c r="N45">
        <v>60</v>
      </c>
      <c r="O45">
        <v>13804</v>
      </c>
      <c r="P45" t="s">
        <v>33</v>
      </c>
      <c r="Q45" t="s">
        <v>48</v>
      </c>
      <c r="R45" t="s">
        <v>28</v>
      </c>
      <c r="S45" t="s">
        <v>34</v>
      </c>
      <c r="T45" t="s">
        <v>35</v>
      </c>
      <c r="U45">
        <f t="shared" si="0"/>
        <v>60094</v>
      </c>
      <c r="V45" t="str">
        <f t="shared" si="1"/>
        <v>Needs Improvement</v>
      </c>
      <c r="W45" t="str">
        <f t="shared" si="2"/>
        <v>Normal</v>
      </c>
      <c r="X45" t="str">
        <f t="shared" si="3"/>
        <v>Mid</v>
      </c>
      <c r="Y45" t="str">
        <f t="shared" si="4"/>
        <v>35-44</v>
      </c>
    </row>
    <row r="46" spans="1:25" x14ac:dyDescent="0.3">
      <c r="A46">
        <v>1045</v>
      </c>
      <c r="B46" t="s">
        <v>73</v>
      </c>
      <c r="C46" t="s">
        <v>21</v>
      </c>
      <c r="D46">
        <v>32</v>
      </c>
      <c r="E46" t="s">
        <v>22</v>
      </c>
      <c r="F46" t="s">
        <v>23</v>
      </c>
      <c r="G46" t="s">
        <v>51</v>
      </c>
      <c r="H46" t="s">
        <v>119</v>
      </c>
      <c r="I46">
        <v>10</v>
      </c>
      <c r="J46">
        <v>52937</v>
      </c>
      <c r="K46">
        <v>4.2</v>
      </c>
      <c r="L46">
        <v>98.3</v>
      </c>
      <c r="M46">
        <v>20</v>
      </c>
      <c r="N46">
        <v>39</v>
      </c>
      <c r="O46">
        <v>5443</v>
      </c>
      <c r="P46" t="s">
        <v>53</v>
      </c>
      <c r="Q46" t="s">
        <v>27</v>
      </c>
      <c r="R46" t="s">
        <v>58</v>
      </c>
      <c r="S46" t="s">
        <v>49</v>
      </c>
      <c r="T46" t="s">
        <v>50</v>
      </c>
      <c r="U46">
        <f t="shared" si="0"/>
        <v>58380</v>
      </c>
      <c r="V46" t="str">
        <f t="shared" si="1"/>
        <v>Excellent</v>
      </c>
      <c r="W46" t="str">
        <f t="shared" si="2"/>
        <v>Normal</v>
      </c>
      <c r="X46" t="str">
        <f t="shared" si="3"/>
        <v>Senior</v>
      </c>
      <c r="Y46" t="str">
        <f t="shared" si="4"/>
        <v>25-34</v>
      </c>
    </row>
    <row r="47" spans="1:25" x14ac:dyDescent="0.3">
      <c r="A47">
        <v>1046</v>
      </c>
      <c r="B47" t="s">
        <v>54</v>
      </c>
      <c r="C47" t="s">
        <v>37</v>
      </c>
      <c r="D47">
        <v>45</v>
      </c>
      <c r="E47" t="s">
        <v>55</v>
      </c>
      <c r="F47" t="s">
        <v>79</v>
      </c>
      <c r="G47" t="s">
        <v>64</v>
      </c>
      <c r="H47" t="s">
        <v>120</v>
      </c>
      <c r="I47">
        <v>1</v>
      </c>
      <c r="J47">
        <v>80839</v>
      </c>
      <c r="K47">
        <v>4.3</v>
      </c>
      <c r="L47">
        <v>97.5</v>
      </c>
      <c r="M47">
        <v>6</v>
      </c>
      <c r="N47">
        <v>45</v>
      </c>
      <c r="O47">
        <v>11782</v>
      </c>
      <c r="P47" t="s">
        <v>47</v>
      </c>
      <c r="Q47" t="s">
        <v>27</v>
      </c>
      <c r="R47" t="s">
        <v>58</v>
      </c>
      <c r="S47" t="s">
        <v>29</v>
      </c>
      <c r="T47" t="s">
        <v>30</v>
      </c>
      <c r="U47">
        <f t="shared" si="0"/>
        <v>92621</v>
      </c>
      <c r="V47" t="str">
        <f t="shared" si="1"/>
        <v>Excellent</v>
      </c>
      <c r="W47" t="str">
        <f t="shared" si="2"/>
        <v>Normal</v>
      </c>
      <c r="X47" t="str">
        <f t="shared" si="3"/>
        <v>Junior</v>
      </c>
      <c r="Y47" t="str">
        <f t="shared" si="4"/>
        <v>45+</v>
      </c>
    </row>
    <row r="48" spans="1:25" x14ac:dyDescent="0.3">
      <c r="A48">
        <v>1047</v>
      </c>
      <c r="B48" t="s">
        <v>121</v>
      </c>
      <c r="C48" t="s">
        <v>37</v>
      </c>
      <c r="D48">
        <v>39</v>
      </c>
      <c r="E48" t="s">
        <v>22</v>
      </c>
      <c r="F48" t="s">
        <v>23</v>
      </c>
      <c r="G48" t="s">
        <v>51</v>
      </c>
      <c r="H48" t="s">
        <v>122</v>
      </c>
      <c r="I48">
        <v>4</v>
      </c>
      <c r="J48">
        <v>36970</v>
      </c>
      <c r="K48">
        <v>3.8</v>
      </c>
      <c r="L48">
        <v>89.2</v>
      </c>
      <c r="M48">
        <v>0</v>
      </c>
      <c r="N48">
        <v>5</v>
      </c>
      <c r="O48">
        <v>3791</v>
      </c>
      <c r="P48" t="s">
        <v>33</v>
      </c>
      <c r="Q48" t="s">
        <v>48</v>
      </c>
      <c r="R48" t="s">
        <v>28</v>
      </c>
      <c r="S48" t="s">
        <v>34</v>
      </c>
      <c r="T48" t="s">
        <v>35</v>
      </c>
      <c r="U48">
        <f t="shared" si="0"/>
        <v>40761</v>
      </c>
      <c r="V48" t="str">
        <f t="shared" si="1"/>
        <v>Needs Improvement</v>
      </c>
      <c r="W48" t="str">
        <f t="shared" si="2"/>
        <v>Normal</v>
      </c>
      <c r="X48" t="str">
        <f t="shared" si="3"/>
        <v>Mid</v>
      </c>
      <c r="Y48" t="str">
        <f t="shared" si="4"/>
        <v>35-44</v>
      </c>
    </row>
    <row r="49" spans="1:25" x14ac:dyDescent="0.3">
      <c r="A49">
        <v>1048</v>
      </c>
      <c r="B49" t="s">
        <v>73</v>
      </c>
      <c r="C49" t="s">
        <v>21</v>
      </c>
      <c r="D49">
        <v>28</v>
      </c>
      <c r="E49" t="s">
        <v>55</v>
      </c>
      <c r="F49" t="s">
        <v>56</v>
      </c>
      <c r="G49" t="s">
        <v>59</v>
      </c>
      <c r="H49" t="s">
        <v>123</v>
      </c>
      <c r="I49">
        <v>2</v>
      </c>
      <c r="J49">
        <v>39037</v>
      </c>
      <c r="K49">
        <v>4.5999999999999996</v>
      </c>
      <c r="L49">
        <v>96.2</v>
      </c>
      <c r="M49">
        <v>11</v>
      </c>
      <c r="N49">
        <v>46</v>
      </c>
      <c r="O49">
        <v>5967</v>
      </c>
      <c r="P49" t="s">
        <v>26</v>
      </c>
      <c r="Q49" t="s">
        <v>27</v>
      </c>
      <c r="R49" t="s">
        <v>70</v>
      </c>
      <c r="S49" t="s">
        <v>34</v>
      </c>
      <c r="T49" t="s">
        <v>30</v>
      </c>
      <c r="U49">
        <f t="shared" si="0"/>
        <v>45004</v>
      </c>
      <c r="V49" t="str">
        <f t="shared" si="1"/>
        <v>Excellent</v>
      </c>
      <c r="W49" t="str">
        <f t="shared" si="2"/>
        <v>Normal</v>
      </c>
      <c r="X49" t="str">
        <f t="shared" si="3"/>
        <v>Junior</v>
      </c>
      <c r="Y49" t="str">
        <f t="shared" si="4"/>
        <v>25-34</v>
      </c>
    </row>
    <row r="50" spans="1:25" x14ac:dyDescent="0.3">
      <c r="A50">
        <v>1049</v>
      </c>
      <c r="B50" t="s">
        <v>124</v>
      </c>
      <c r="C50" t="s">
        <v>37</v>
      </c>
      <c r="D50">
        <v>32</v>
      </c>
      <c r="E50" t="s">
        <v>91</v>
      </c>
      <c r="F50" t="s">
        <v>101</v>
      </c>
      <c r="G50" t="s">
        <v>59</v>
      </c>
      <c r="H50" t="s">
        <v>125</v>
      </c>
      <c r="I50">
        <v>3</v>
      </c>
      <c r="J50">
        <v>84140</v>
      </c>
      <c r="K50">
        <v>3.9</v>
      </c>
      <c r="L50">
        <v>89.5</v>
      </c>
      <c r="M50">
        <v>2</v>
      </c>
      <c r="N50">
        <v>23</v>
      </c>
      <c r="O50">
        <v>2229</v>
      </c>
      <c r="P50" t="s">
        <v>53</v>
      </c>
      <c r="Q50" t="s">
        <v>48</v>
      </c>
      <c r="R50" t="s">
        <v>28</v>
      </c>
      <c r="S50" t="s">
        <v>29</v>
      </c>
      <c r="T50" t="s">
        <v>35</v>
      </c>
      <c r="U50">
        <f t="shared" si="0"/>
        <v>86369</v>
      </c>
      <c r="V50" t="str">
        <f t="shared" si="1"/>
        <v>Needs Improvement</v>
      </c>
      <c r="W50" t="str">
        <f t="shared" si="2"/>
        <v>Normal</v>
      </c>
      <c r="X50" t="str">
        <f t="shared" si="3"/>
        <v>Mid</v>
      </c>
      <c r="Y50" t="str">
        <f t="shared" si="4"/>
        <v>25-34</v>
      </c>
    </row>
    <row r="51" spans="1:25" x14ac:dyDescent="0.3">
      <c r="A51">
        <v>1050</v>
      </c>
      <c r="B51" t="s">
        <v>68</v>
      </c>
      <c r="C51" t="s">
        <v>37</v>
      </c>
      <c r="D51">
        <v>27</v>
      </c>
      <c r="E51" t="s">
        <v>62</v>
      </c>
      <c r="F51" t="s">
        <v>63</v>
      </c>
      <c r="G51" t="s">
        <v>59</v>
      </c>
      <c r="H51" t="s">
        <v>126</v>
      </c>
      <c r="I51">
        <v>0</v>
      </c>
      <c r="J51">
        <v>48146</v>
      </c>
      <c r="K51">
        <v>3.7</v>
      </c>
      <c r="L51">
        <v>91.5</v>
      </c>
      <c r="M51">
        <v>7</v>
      </c>
      <c r="N51">
        <v>5</v>
      </c>
      <c r="O51">
        <v>8027</v>
      </c>
      <c r="P51" t="s">
        <v>41</v>
      </c>
      <c r="Q51" t="s">
        <v>27</v>
      </c>
      <c r="R51" t="s">
        <v>28</v>
      </c>
      <c r="S51" t="s">
        <v>34</v>
      </c>
      <c r="T51" t="s">
        <v>30</v>
      </c>
      <c r="U51">
        <f t="shared" si="0"/>
        <v>56173</v>
      </c>
      <c r="V51" t="str">
        <f t="shared" si="1"/>
        <v>Needs Improvement</v>
      </c>
      <c r="W51" t="str">
        <f t="shared" si="2"/>
        <v>Normal</v>
      </c>
      <c r="X51" t="str">
        <f t="shared" si="3"/>
        <v>Junior</v>
      </c>
      <c r="Y51" t="str">
        <f t="shared" si="4"/>
        <v>25-34</v>
      </c>
    </row>
    <row r="52" spans="1:25" x14ac:dyDescent="0.3">
      <c r="A52">
        <v>1051</v>
      </c>
      <c r="B52" t="s">
        <v>83</v>
      </c>
      <c r="C52" t="s">
        <v>37</v>
      </c>
      <c r="D52">
        <v>45</v>
      </c>
      <c r="E52" t="s">
        <v>62</v>
      </c>
      <c r="F52" t="s">
        <v>63</v>
      </c>
      <c r="G52" t="s">
        <v>64</v>
      </c>
      <c r="H52" t="s">
        <v>127</v>
      </c>
      <c r="I52">
        <v>7</v>
      </c>
      <c r="J52">
        <v>54864</v>
      </c>
      <c r="K52">
        <v>3.6</v>
      </c>
      <c r="L52">
        <v>83.8</v>
      </c>
      <c r="M52">
        <v>17</v>
      </c>
      <c r="N52">
        <v>56</v>
      </c>
      <c r="O52">
        <v>8703</v>
      </c>
      <c r="P52" t="s">
        <v>41</v>
      </c>
      <c r="Q52" t="s">
        <v>27</v>
      </c>
      <c r="R52" t="s">
        <v>28</v>
      </c>
      <c r="S52" t="s">
        <v>49</v>
      </c>
      <c r="T52" t="s">
        <v>50</v>
      </c>
      <c r="U52">
        <f t="shared" si="0"/>
        <v>63567</v>
      </c>
      <c r="V52" t="str">
        <f t="shared" si="1"/>
        <v>Needs Improvement</v>
      </c>
      <c r="W52" t="str">
        <f t="shared" si="2"/>
        <v>Normal</v>
      </c>
      <c r="X52" t="str">
        <f t="shared" si="3"/>
        <v>Senior</v>
      </c>
      <c r="Y52" t="str">
        <f t="shared" si="4"/>
        <v>45+</v>
      </c>
    </row>
    <row r="53" spans="1:25" x14ac:dyDescent="0.3">
      <c r="A53">
        <v>1052</v>
      </c>
      <c r="B53" t="s">
        <v>61</v>
      </c>
      <c r="C53" t="s">
        <v>37</v>
      </c>
      <c r="D53">
        <v>33</v>
      </c>
      <c r="E53" t="s">
        <v>91</v>
      </c>
      <c r="F53" t="s">
        <v>101</v>
      </c>
      <c r="G53" t="s">
        <v>59</v>
      </c>
      <c r="H53" t="s">
        <v>128</v>
      </c>
      <c r="I53">
        <v>6</v>
      </c>
      <c r="J53">
        <v>74155</v>
      </c>
      <c r="K53">
        <v>4.9000000000000004</v>
      </c>
      <c r="L53">
        <v>88.3</v>
      </c>
      <c r="M53">
        <v>14</v>
      </c>
      <c r="N53">
        <v>23</v>
      </c>
      <c r="O53">
        <v>8801</v>
      </c>
      <c r="P53" t="s">
        <v>26</v>
      </c>
      <c r="Q53" t="s">
        <v>48</v>
      </c>
      <c r="R53" t="s">
        <v>70</v>
      </c>
      <c r="S53" t="s">
        <v>29</v>
      </c>
      <c r="T53" t="s">
        <v>50</v>
      </c>
      <c r="U53">
        <f t="shared" si="0"/>
        <v>82956</v>
      </c>
      <c r="V53" t="str">
        <f t="shared" si="1"/>
        <v>Needs Improvement</v>
      </c>
      <c r="W53" t="str">
        <f t="shared" si="2"/>
        <v>Normal</v>
      </c>
      <c r="X53" t="str">
        <f t="shared" si="3"/>
        <v>Mid</v>
      </c>
      <c r="Y53" t="str">
        <f t="shared" si="4"/>
        <v>25-34</v>
      </c>
    </row>
    <row r="54" spans="1:25" x14ac:dyDescent="0.3">
      <c r="A54">
        <v>1053</v>
      </c>
      <c r="B54" t="s">
        <v>20</v>
      </c>
      <c r="C54" t="s">
        <v>21</v>
      </c>
      <c r="D54">
        <v>24</v>
      </c>
      <c r="E54" t="s">
        <v>91</v>
      </c>
      <c r="F54" t="s">
        <v>92</v>
      </c>
      <c r="G54" t="s">
        <v>51</v>
      </c>
      <c r="H54" t="s">
        <v>129</v>
      </c>
      <c r="I54">
        <v>7</v>
      </c>
      <c r="J54">
        <v>38563</v>
      </c>
      <c r="K54">
        <v>2.7</v>
      </c>
      <c r="L54">
        <v>97.1</v>
      </c>
      <c r="M54">
        <v>22</v>
      </c>
      <c r="N54">
        <v>6</v>
      </c>
      <c r="O54">
        <v>5156</v>
      </c>
      <c r="P54" t="s">
        <v>33</v>
      </c>
      <c r="Q54" t="s">
        <v>27</v>
      </c>
      <c r="R54" t="s">
        <v>42</v>
      </c>
      <c r="S54" t="s">
        <v>34</v>
      </c>
      <c r="T54" t="s">
        <v>50</v>
      </c>
      <c r="U54">
        <f t="shared" si="0"/>
        <v>43719</v>
      </c>
      <c r="V54" t="str">
        <f t="shared" si="1"/>
        <v>Excellent</v>
      </c>
      <c r="W54" t="str">
        <f t="shared" si="2"/>
        <v>High</v>
      </c>
      <c r="X54" t="str">
        <f t="shared" si="3"/>
        <v>Senior</v>
      </c>
      <c r="Y54" t="str">
        <f t="shared" si="4"/>
        <v>20-24</v>
      </c>
    </row>
    <row r="55" spans="1:25" x14ac:dyDescent="0.3">
      <c r="A55">
        <v>1054</v>
      </c>
      <c r="B55" t="s">
        <v>83</v>
      </c>
      <c r="C55" t="s">
        <v>37</v>
      </c>
      <c r="D55">
        <v>33</v>
      </c>
      <c r="E55" t="s">
        <v>22</v>
      </c>
      <c r="F55" t="s">
        <v>66</v>
      </c>
      <c r="G55" t="s">
        <v>24</v>
      </c>
      <c r="H55" t="s">
        <v>130</v>
      </c>
      <c r="I55">
        <v>1</v>
      </c>
      <c r="J55">
        <v>69628</v>
      </c>
      <c r="K55">
        <v>4.8</v>
      </c>
      <c r="L55">
        <v>84.2</v>
      </c>
      <c r="M55">
        <v>10</v>
      </c>
      <c r="N55">
        <v>31</v>
      </c>
      <c r="O55">
        <v>1601</v>
      </c>
      <c r="P55" t="s">
        <v>26</v>
      </c>
      <c r="Q55" t="s">
        <v>48</v>
      </c>
      <c r="R55" t="s">
        <v>70</v>
      </c>
      <c r="S55" t="s">
        <v>49</v>
      </c>
      <c r="T55" t="s">
        <v>30</v>
      </c>
      <c r="U55">
        <f t="shared" si="0"/>
        <v>71229</v>
      </c>
      <c r="V55" t="str">
        <f t="shared" si="1"/>
        <v>Needs Improvement</v>
      </c>
      <c r="W55" t="str">
        <f t="shared" si="2"/>
        <v>Normal</v>
      </c>
      <c r="X55" t="str">
        <f t="shared" si="3"/>
        <v>Junior</v>
      </c>
      <c r="Y55" t="str">
        <f t="shared" si="4"/>
        <v>25-34</v>
      </c>
    </row>
    <row r="56" spans="1:25" x14ac:dyDescent="0.3">
      <c r="A56">
        <v>1055</v>
      </c>
      <c r="B56" t="s">
        <v>85</v>
      </c>
      <c r="C56" t="s">
        <v>37</v>
      </c>
      <c r="D56">
        <v>35</v>
      </c>
      <c r="E56" t="s">
        <v>38</v>
      </c>
      <c r="F56" t="s">
        <v>39</v>
      </c>
      <c r="G56" t="s">
        <v>51</v>
      </c>
      <c r="H56" t="s">
        <v>131</v>
      </c>
      <c r="I56">
        <v>5</v>
      </c>
      <c r="J56">
        <v>78186</v>
      </c>
      <c r="K56">
        <v>4.4000000000000004</v>
      </c>
      <c r="L56">
        <v>93.1</v>
      </c>
      <c r="M56">
        <v>4</v>
      </c>
      <c r="N56">
        <v>35</v>
      </c>
      <c r="O56">
        <v>10277</v>
      </c>
      <c r="P56" t="s">
        <v>53</v>
      </c>
      <c r="Q56" t="s">
        <v>27</v>
      </c>
      <c r="R56" t="s">
        <v>58</v>
      </c>
      <c r="S56" t="s">
        <v>29</v>
      </c>
      <c r="T56" t="s">
        <v>35</v>
      </c>
      <c r="U56">
        <f t="shared" si="0"/>
        <v>88463</v>
      </c>
      <c r="V56" t="str">
        <f t="shared" si="1"/>
        <v>Needs Improvement</v>
      </c>
      <c r="W56" t="str">
        <f t="shared" si="2"/>
        <v>Normal</v>
      </c>
      <c r="X56" t="str">
        <f t="shared" si="3"/>
        <v>Mid</v>
      </c>
      <c r="Y56" t="str">
        <f t="shared" si="4"/>
        <v>35-44</v>
      </c>
    </row>
    <row r="57" spans="1:25" x14ac:dyDescent="0.3">
      <c r="A57">
        <v>1056</v>
      </c>
      <c r="B57" t="s">
        <v>54</v>
      </c>
      <c r="C57" t="s">
        <v>21</v>
      </c>
      <c r="D57">
        <v>43</v>
      </c>
      <c r="E57" t="s">
        <v>62</v>
      </c>
      <c r="F57" t="s">
        <v>63</v>
      </c>
      <c r="G57" t="s">
        <v>64</v>
      </c>
      <c r="H57" t="s">
        <v>132</v>
      </c>
      <c r="I57">
        <v>6</v>
      </c>
      <c r="J57">
        <v>30915</v>
      </c>
      <c r="K57">
        <v>4.5999999999999996</v>
      </c>
      <c r="L57">
        <v>97.9</v>
      </c>
      <c r="M57">
        <v>1</v>
      </c>
      <c r="N57">
        <v>35</v>
      </c>
      <c r="O57">
        <v>6430</v>
      </c>
      <c r="P57" t="s">
        <v>26</v>
      </c>
      <c r="Q57" t="s">
        <v>48</v>
      </c>
      <c r="R57" t="s">
        <v>70</v>
      </c>
      <c r="S57" t="s">
        <v>34</v>
      </c>
      <c r="T57" t="s">
        <v>50</v>
      </c>
      <c r="U57">
        <f t="shared" si="0"/>
        <v>37345</v>
      </c>
      <c r="V57" t="str">
        <f t="shared" si="1"/>
        <v>Excellent</v>
      </c>
      <c r="W57" t="str">
        <f t="shared" si="2"/>
        <v>Normal</v>
      </c>
      <c r="X57" t="str">
        <f t="shared" si="3"/>
        <v>Mid</v>
      </c>
      <c r="Y57" t="str">
        <f t="shared" si="4"/>
        <v>35-44</v>
      </c>
    </row>
    <row r="58" spans="1:25" x14ac:dyDescent="0.3">
      <c r="A58">
        <v>1057</v>
      </c>
      <c r="B58" t="s">
        <v>75</v>
      </c>
      <c r="C58" t="s">
        <v>37</v>
      </c>
      <c r="D58">
        <v>33</v>
      </c>
      <c r="E58" t="s">
        <v>22</v>
      </c>
      <c r="F58" t="s">
        <v>23</v>
      </c>
      <c r="G58" t="s">
        <v>51</v>
      </c>
      <c r="H58" t="s">
        <v>133</v>
      </c>
      <c r="I58">
        <v>6</v>
      </c>
      <c r="J58">
        <v>76850</v>
      </c>
      <c r="K58">
        <v>4.8</v>
      </c>
      <c r="L58">
        <v>90.4</v>
      </c>
      <c r="M58">
        <v>2</v>
      </c>
      <c r="N58">
        <v>49</v>
      </c>
      <c r="O58">
        <v>3193</v>
      </c>
      <c r="P58" t="s">
        <v>47</v>
      </c>
      <c r="Q58" t="s">
        <v>27</v>
      </c>
      <c r="R58" t="s">
        <v>70</v>
      </c>
      <c r="S58" t="s">
        <v>29</v>
      </c>
      <c r="T58" t="s">
        <v>50</v>
      </c>
      <c r="U58">
        <f t="shared" si="0"/>
        <v>80043</v>
      </c>
      <c r="V58" t="str">
        <f t="shared" si="1"/>
        <v>Needs Improvement</v>
      </c>
      <c r="W58" t="str">
        <f t="shared" si="2"/>
        <v>Normal</v>
      </c>
      <c r="X58" t="str">
        <f t="shared" si="3"/>
        <v>Mid</v>
      </c>
      <c r="Y58" t="str">
        <f t="shared" si="4"/>
        <v>25-34</v>
      </c>
    </row>
    <row r="59" spans="1:25" x14ac:dyDescent="0.3">
      <c r="A59">
        <v>1058</v>
      </c>
      <c r="B59" t="s">
        <v>83</v>
      </c>
      <c r="C59" t="s">
        <v>21</v>
      </c>
      <c r="D59">
        <v>22</v>
      </c>
      <c r="E59" t="s">
        <v>62</v>
      </c>
      <c r="F59" t="s">
        <v>63</v>
      </c>
      <c r="G59" t="s">
        <v>51</v>
      </c>
      <c r="H59" t="s">
        <v>134</v>
      </c>
      <c r="I59">
        <v>6</v>
      </c>
      <c r="J59">
        <v>32056</v>
      </c>
      <c r="K59">
        <v>4.5</v>
      </c>
      <c r="L59">
        <v>97.1</v>
      </c>
      <c r="M59">
        <v>3</v>
      </c>
      <c r="N59">
        <v>48</v>
      </c>
      <c r="O59">
        <v>3534</v>
      </c>
      <c r="P59" t="s">
        <v>26</v>
      </c>
      <c r="Q59" t="s">
        <v>48</v>
      </c>
      <c r="R59" t="s">
        <v>70</v>
      </c>
      <c r="S59" t="s">
        <v>34</v>
      </c>
      <c r="T59" t="s">
        <v>50</v>
      </c>
      <c r="U59">
        <f t="shared" si="0"/>
        <v>35590</v>
      </c>
      <c r="V59" t="str">
        <f t="shared" si="1"/>
        <v>Excellent</v>
      </c>
      <c r="W59" t="str">
        <f t="shared" si="2"/>
        <v>Normal</v>
      </c>
      <c r="X59" t="str">
        <f t="shared" si="3"/>
        <v>Mid</v>
      </c>
      <c r="Y59" t="str">
        <f t="shared" si="4"/>
        <v>20-24</v>
      </c>
    </row>
    <row r="60" spans="1:25" x14ac:dyDescent="0.3">
      <c r="A60">
        <v>1059</v>
      </c>
      <c r="B60" t="s">
        <v>75</v>
      </c>
      <c r="C60" t="s">
        <v>37</v>
      </c>
      <c r="D60">
        <v>40</v>
      </c>
      <c r="E60" t="s">
        <v>62</v>
      </c>
      <c r="F60" t="s">
        <v>97</v>
      </c>
      <c r="G60" t="s">
        <v>51</v>
      </c>
      <c r="H60" t="s">
        <v>135</v>
      </c>
      <c r="I60">
        <v>10</v>
      </c>
      <c r="J60">
        <v>78926</v>
      </c>
      <c r="K60">
        <v>3.9</v>
      </c>
      <c r="L60">
        <v>95.7</v>
      </c>
      <c r="M60">
        <v>9</v>
      </c>
      <c r="N60">
        <v>15</v>
      </c>
      <c r="O60">
        <v>13052</v>
      </c>
      <c r="P60" t="s">
        <v>47</v>
      </c>
      <c r="Q60" t="s">
        <v>27</v>
      </c>
      <c r="R60" t="s">
        <v>28</v>
      </c>
      <c r="S60" t="s">
        <v>29</v>
      </c>
      <c r="T60" t="s">
        <v>50</v>
      </c>
      <c r="U60">
        <f t="shared" si="0"/>
        <v>91978</v>
      </c>
      <c r="V60" t="str">
        <f t="shared" si="1"/>
        <v>Excellent</v>
      </c>
      <c r="W60" t="str">
        <f t="shared" si="2"/>
        <v>Normal</v>
      </c>
      <c r="X60" t="str">
        <f t="shared" si="3"/>
        <v>Senior</v>
      </c>
      <c r="Y60" t="str">
        <f t="shared" si="4"/>
        <v>35-44</v>
      </c>
    </row>
    <row r="61" spans="1:25" x14ac:dyDescent="0.3">
      <c r="A61">
        <v>1060</v>
      </c>
      <c r="B61" t="s">
        <v>111</v>
      </c>
      <c r="C61" t="s">
        <v>37</v>
      </c>
      <c r="D61">
        <v>32</v>
      </c>
      <c r="E61" t="s">
        <v>55</v>
      </c>
      <c r="F61" t="s">
        <v>56</v>
      </c>
      <c r="G61" t="s">
        <v>59</v>
      </c>
      <c r="H61" t="s">
        <v>136</v>
      </c>
      <c r="I61">
        <v>3</v>
      </c>
      <c r="J61">
        <v>92654</v>
      </c>
      <c r="K61">
        <v>3</v>
      </c>
      <c r="L61">
        <v>98.2</v>
      </c>
      <c r="M61">
        <v>7</v>
      </c>
      <c r="N61">
        <v>40</v>
      </c>
      <c r="O61">
        <v>3921</v>
      </c>
      <c r="P61" t="s">
        <v>41</v>
      </c>
      <c r="Q61" t="s">
        <v>48</v>
      </c>
      <c r="R61" t="s">
        <v>28</v>
      </c>
      <c r="S61" t="s">
        <v>29</v>
      </c>
      <c r="T61" t="s">
        <v>35</v>
      </c>
      <c r="U61">
        <f t="shared" si="0"/>
        <v>96575</v>
      </c>
      <c r="V61" t="str">
        <f t="shared" si="1"/>
        <v>Excellent</v>
      </c>
      <c r="W61" t="str">
        <f t="shared" si="2"/>
        <v>Normal</v>
      </c>
      <c r="X61" t="str">
        <f t="shared" si="3"/>
        <v>Mid</v>
      </c>
      <c r="Y61" t="str">
        <f t="shared" si="4"/>
        <v>25-34</v>
      </c>
    </row>
    <row r="62" spans="1:25" x14ac:dyDescent="0.3">
      <c r="A62">
        <v>1061</v>
      </c>
      <c r="B62" t="s">
        <v>71</v>
      </c>
      <c r="C62" t="s">
        <v>37</v>
      </c>
      <c r="D62">
        <v>43</v>
      </c>
      <c r="E62" t="s">
        <v>38</v>
      </c>
      <c r="F62" t="s">
        <v>39</v>
      </c>
      <c r="G62" t="s">
        <v>64</v>
      </c>
      <c r="H62" t="s">
        <v>137</v>
      </c>
      <c r="I62">
        <v>2</v>
      </c>
      <c r="J62">
        <v>93839</v>
      </c>
      <c r="K62">
        <v>4.0999999999999996</v>
      </c>
      <c r="L62">
        <v>99.2</v>
      </c>
      <c r="M62">
        <v>3</v>
      </c>
      <c r="N62">
        <v>30</v>
      </c>
      <c r="O62">
        <v>6381</v>
      </c>
      <c r="P62" t="s">
        <v>33</v>
      </c>
      <c r="Q62" t="s">
        <v>27</v>
      </c>
      <c r="R62" t="s">
        <v>58</v>
      </c>
      <c r="S62" t="s">
        <v>29</v>
      </c>
      <c r="T62" t="s">
        <v>30</v>
      </c>
      <c r="U62">
        <f t="shared" si="0"/>
        <v>100220</v>
      </c>
      <c r="V62" t="str">
        <f t="shared" si="1"/>
        <v>Excellent</v>
      </c>
      <c r="W62" t="str">
        <f t="shared" si="2"/>
        <v>Normal</v>
      </c>
      <c r="X62" t="str">
        <f t="shared" si="3"/>
        <v>Junior</v>
      </c>
      <c r="Y62" t="str">
        <f t="shared" si="4"/>
        <v>35-44</v>
      </c>
    </row>
    <row r="63" spans="1:25" x14ac:dyDescent="0.3">
      <c r="A63">
        <v>1062</v>
      </c>
      <c r="B63" t="s">
        <v>78</v>
      </c>
      <c r="C63" t="s">
        <v>37</v>
      </c>
      <c r="D63">
        <v>31</v>
      </c>
      <c r="E63" t="s">
        <v>91</v>
      </c>
      <c r="F63" t="s">
        <v>101</v>
      </c>
      <c r="G63" t="s">
        <v>64</v>
      </c>
      <c r="H63" t="s">
        <v>138</v>
      </c>
      <c r="I63">
        <v>5</v>
      </c>
      <c r="J63">
        <v>30646</v>
      </c>
      <c r="K63">
        <v>3.2</v>
      </c>
      <c r="L63">
        <v>91.1</v>
      </c>
      <c r="M63">
        <v>13</v>
      </c>
      <c r="N63">
        <v>49</v>
      </c>
      <c r="O63">
        <v>12199</v>
      </c>
      <c r="P63" t="s">
        <v>53</v>
      </c>
      <c r="Q63" t="s">
        <v>48</v>
      </c>
      <c r="R63" t="s">
        <v>28</v>
      </c>
      <c r="S63" t="s">
        <v>34</v>
      </c>
      <c r="T63" t="s">
        <v>35</v>
      </c>
      <c r="U63">
        <f t="shared" si="0"/>
        <v>42845</v>
      </c>
      <c r="V63" t="str">
        <f t="shared" si="1"/>
        <v>Needs Improvement</v>
      </c>
      <c r="W63" t="str">
        <f t="shared" si="2"/>
        <v>Normal</v>
      </c>
      <c r="X63" t="str">
        <f t="shared" si="3"/>
        <v>Mid</v>
      </c>
      <c r="Y63" t="str">
        <f t="shared" si="4"/>
        <v>25-34</v>
      </c>
    </row>
    <row r="64" spans="1:25" x14ac:dyDescent="0.3">
      <c r="A64">
        <v>1063</v>
      </c>
      <c r="B64" t="s">
        <v>75</v>
      </c>
      <c r="C64" t="s">
        <v>37</v>
      </c>
      <c r="D64">
        <v>22</v>
      </c>
      <c r="E64" t="s">
        <v>55</v>
      </c>
      <c r="F64" t="s">
        <v>56</v>
      </c>
      <c r="G64" t="s">
        <v>24</v>
      </c>
      <c r="H64" t="s">
        <v>139</v>
      </c>
      <c r="I64">
        <v>7</v>
      </c>
      <c r="J64">
        <v>69525</v>
      </c>
      <c r="K64">
        <v>3.6</v>
      </c>
      <c r="L64">
        <v>91.9</v>
      </c>
      <c r="M64">
        <v>18</v>
      </c>
      <c r="N64">
        <v>35</v>
      </c>
      <c r="O64">
        <v>7494</v>
      </c>
      <c r="P64" t="s">
        <v>33</v>
      </c>
      <c r="Q64" t="s">
        <v>27</v>
      </c>
      <c r="R64" t="s">
        <v>28</v>
      </c>
      <c r="S64" t="s">
        <v>49</v>
      </c>
      <c r="T64" t="s">
        <v>50</v>
      </c>
      <c r="U64">
        <f t="shared" si="0"/>
        <v>77019</v>
      </c>
      <c r="V64" t="str">
        <f t="shared" si="1"/>
        <v>Needs Improvement</v>
      </c>
      <c r="W64" t="str">
        <f t="shared" si="2"/>
        <v>Normal</v>
      </c>
      <c r="X64" t="str">
        <f t="shared" si="3"/>
        <v>Senior</v>
      </c>
      <c r="Y64" t="str">
        <f t="shared" si="4"/>
        <v>20-24</v>
      </c>
    </row>
    <row r="65" spans="1:25" x14ac:dyDescent="0.3">
      <c r="A65">
        <v>1064</v>
      </c>
      <c r="B65" t="s">
        <v>121</v>
      </c>
      <c r="C65" t="s">
        <v>37</v>
      </c>
      <c r="D65">
        <v>31</v>
      </c>
      <c r="E65" t="s">
        <v>62</v>
      </c>
      <c r="F65" t="s">
        <v>97</v>
      </c>
      <c r="G65" t="s">
        <v>24</v>
      </c>
      <c r="H65" t="s">
        <v>140</v>
      </c>
      <c r="I65">
        <v>10</v>
      </c>
      <c r="J65">
        <v>44935</v>
      </c>
      <c r="K65">
        <v>4</v>
      </c>
      <c r="L65">
        <v>93.7</v>
      </c>
      <c r="M65">
        <v>15</v>
      </c>
      <c r="N65">
        <v>38</v>
      </c>
      <c r="O65">
        <v>5773</v>
      </c>
      <c r="P65" t="s">
        <v>47</v>
      </c>
      <c r="Q65" t="s">
        <v>27</v>
      </c>
      <c r="R65" t="s">
        <v>58</v>
      </c>
      <c r="S65" t="s">
        <v>34</v>
      </c>
      <c r="T65" t="s">
        <v>50</v>
      </c>
      <c r="U65">
        <f t="shared" si="0"/>
        <v>50708</v>
      </c>
      <c r="V65" t="str">
        <f t="shared" si="1"/>
        <v>Needs Improvement</v>
      </c>
      <c r="W65" t="str">
        <f t="shared" si="2"/>
        <v>Normal</v>
      </c>
      <c r="X65" t="str">
        <f t="shared" si="3"/>
        <v>Senior</v>
      </c>
      <c r="Y65" t="str">
        <f t="shared" si="4"/>
        <v>25-34</v>
      </c>
    </row>
    <row r="66" spans="1:25" x14ac:dyDescent="0.3">
      <c r="A66">
        <v>1065</v>
      </c>
      <c r="B66" t="s">
        <v>61</v>
      </c>
      <c r="C66" t="s">
        <v>21</v>
      </c>
      <c r="D66">
        <v>37</v>
      </c>
      <c r="E66" t="s">
        <v>38</v>
      </c>
      <c r="F66" t="s">
        <v>44</v>
      </c>
      <c r="G66" t="s">
        <v>51</v>
      </c>
      <c r="H66" t="s">
        <v>141</v>
      </c>
      <c r="I66">
        <v>0</v>
      </c>
      <c r="J66">
        <v>57991</v>
      </c>
      <c r="K66">
        <v>4.8</v>
      </c>
      <c r="L66">
        <v>88.9</v>
      </c>
      <c r="M66">
        <v>25</v>
      </c>
      <c r="N66">
        <v>53</v>
      </c>
      <c r="O66">
        <v>8177</v>
      </c>
      <c r="P66" t="s">
        <v>41</v>
      </c>
      <c r="Q66" t="s">
        <v>48</v>
      </c>
      <c r="R66" t="s">
        <v>70</v>
      </c>
      <c r="S66" t="s">
        <v>49</v>
      </c>
      <c r="T66" t="s">
        <v>30</v>
      </c>
      <c r="U66">
        <f t="shared" si="0"/>
        <v>66168</v>
      </c>
      <c r="V66" t="str">
        <f t="shared" si="1"/>
        <v>Needs Improvement</v>
      </c>
      <c r="W66" t="str">
        <f t="shared" si="2"/>
        <v>High</v>
      </c>
      <c r="X66" t="str">
        <f t="shared" si="3"/>
        <v>Junior</v>
      </c>
      <c r="Y66" t="str">
        <f t="shared" si="4"/>
        <v>35-44</v>
      </c>
    </row>
    <row r="67" spans="1:25" x14ac:dyDescent="0.3">
      <c r="A67">
        <v>1066</v>
      </c>
      <c r="B67" t="s">
        <v>121</v>
      </c>
      <c r="C67" t="s">
        <v>21</v>
      </c>
      <c r="D67">
        <v>45</v>
      </c>
      <c r="E67" t="s">
        <v>91</v>
      </c>
      <c r="F67" t="s">
        <v>101</v>
      </c>
      <c r="G67" t="s">
        <v>59</v>
      </c>
      <c r="H67" t="s">
        <v>142</v>
      </c>
      <c r="I67">
        <v>3</v>
      </c>
      <c r="J67">
        <v>38519</v>
      </c>
      <c r="K67">
        <v>4.9000000000000004</v>
      </c>
      <c r="L67">
        <v>89.8</v>
      </c>
      <c r="M67">
        <v>19</v>
      </c>
      <c r="N67">
        <v>37</v>
      </c>
      <c r="O67">
        <v>6976</v>
      </c>
      <c r="P67" t="s">
        <v>26</v>
      </c>
      <c r="Q67" t="s">
        <v>27</v>
      </c>
      <c r="R67" t="s">
        <v>70</v>
      </c>
      <c r="S67" t="s">
        <v>34</v>
      </c>
      <c r="T67" t="s">
        <v>35</v>
      </c>
      <c r="U67">
        <f t="shared" ref="U67:U130" si="5">J67+O67</f>
        <v>45495</v>
      </c>
      <c r="V67" t="str">
        <f t="shared" ref="V67:V130" si="6">IF(L67&gt;=95,"Excellent","Needs Improvement")</f>
        <v>Needs Improvement</v>
      </c>
      <c r="W67" t="str">
        <f t="shared" ref="W67:W130" si="7">IF(M67&gt;20,"High","Normal")</f>
        <v>Normal</v>
      </c>
      <c r="X67" t="str">
        <f t="shared" ref="X67:X130" si="8">IF(I67&lt;3,"Junior",IF(I67&lt;7,"Mid","Senior"))</f>
        <v>Mid</v>
      </c>
      <c r="Y67" t="str">
        <f t="shared" ref="Y67:Y130" si="9">IF(D67&lt;25,"20-24",IF(D67&lt;35,"25-34",IF(D67&lt;45,"35-44","45+")))</f>
        <v>45+</v>
      </c>
    </row>
    <row r="68" spans="1:25" x14ac:dyDescent="0.3">
      <c r="A68">
        <v>1067</v>
      </c>
      <c r="B68" t="s">
        <v>73</v>
      </c>
      <c r="C68" t="s">
        <v>37</v>
      </c>
      <c r="D68">
        <v>27</v>
      </c>
      <c r="E68" t="s">
        <v>55</v>
      </c>
      <c r="F68" t="s">
        <v>143</v>
      </c>
      <c r="G68" t="s">
        <v>51</v>
      </c>
      <c r="H68" t="s">
        <v>98</v>
      </c>
      <c r="I68">
        <v>9</v>
      </c>
      <c r="J68">
        <v>33576</v>
      </c>
      <c r="K68">
        <v>3.5</v>
      </c>
      <c r="L68">
        <v>95.2</v>
      </c>
      <c r="M68">
        <v>5</v>
      </c>
      <c r="N68">
        <v>31</v>
      </c>
      <c r="O68">
        <v>3938</v>
      </c>
      <c r="P68" t="s">
        <v>33</v>
      </c>
      <c r="Q68" t="s">
        <v>48</v>
      </c>
      <c r="R68" t="s">
        <v>28</v>
      </c>
      <c r="S68" t="s">
        <v>34</v>
      </c>
      <c r="T68" t="s">
        <v>50</v>
      </c>
      <c r="U68">
        <f t="shared" si="5"/>
        <v>37514</v>
      </c>
      <c r="V68" t="str">
        <f t="shared" si="6"/>
        <v>Excellent</v>
      </c>
      <c r="W68" t="str">
        <f t="shared" si="7"/>
        <v>Normal</v>
      </c>
      <c r="X68" t="str">
        <f t="shared" si="8"/>
        <v>Senior</v>
      </c>
      <c r="Y68" t="str">
        <f t="shared" si="9"/>
        <v>25-34</v>
      </c>
    </row>
    <row r="69" spans="1:25" x14ac:dyDescent="0.3">
      <c r="A69">
        <v>1068</v>
      </c>
      <c r="B69" t="s">
        <v>71</v>
      </c>
      <c r="C69" t="s">
        <v>37</v>
      </c>
      <c r="D69">
        <v>42</v>
      </c>
      <c r="E69" t="s">
        <v>91</v>
      </c>
      <c r="F69" t="s">
        <v>92</v>
      </c>
      <c r="G69" t="s">
        <v>24</v>
      </c>
      <c r="H69" t="s">
        <v>144</v>
      </c>
      <c r="I69">
        <v>5</v>
      </c>
      <c r="J69">
        <v>94321</v>
      </c>
      <c r="K69">
        <v>4.2</v>
      </c>
      <c r="L69">
        <v>82.3</v>
      </c>
      <c r="M69">
        <v>17</v>
      </c>
      <c r="N69">
        <v>60</v>
      </c>
      <c r="O69">
        <v>12886</v>
      </c>
      <c r="P69" t="s">
        <v>53</v>
      </c>
      <c r="Q69" t="s">
        <v>48</v>
      </c>
      <c r="R69" t="s">
        <v>58</v>
      </c>
      <c r="S69" t="s">
        <v>29</v>
      </c>
      <c r="T69" t="s">
        <v>35</v>
      </c>
      <c r="U69">
        <f t="shared" si="5"/>
        <v>107207</v>
      </c>
      <c r="V69" t="str">
        <f t="shared" si="6"/>
        <v>Needs Improvement</v>
      </c>
      <c r="W69" t="str">
        <f t="shared" si="7"/>
        <v>Normal</v>
      </c>
      <c r="X69" t="str">
        <f t="shared" si="8"/>
        <v>Mid</v>
      </c>
      <c r="Y69" t="str">
        <f t="shared" si="9"/>
        <v>35-44</v>
      </c>
    </row>
    <row r="70" spans="1:25" x14ac:dyDescent="0.3">
      <c r="A70">
        <v>1069</v>
      </c>
      <c r="B70" t="s">
        <v>99</v>
      </c>
      <c r="C70" t="s">
        <v>37</v>
      </c>
      <c r="D70">
        <v>45</v>
      </c>
      <c r="E70" t="s">
        <v>22</v>
      </c>
      <c r="F70" t="s">
        <v>23</v>
      </c>
      <c r="G70" t="s">
        <v>51</v>
      </c>
      <c r="H70" t="s">
        <v>145</v>
      </c>
      <c r="I70">
        <v>5</v>
      </c>
      <c r="J70">
        <v>60848</v>
      </c>
      <c r="K70">
        <v>4.7</v>
      </c>
      <c r="L70">
        <v>87.9</v>
      </c>
      <c r="M70">
        <v>1</v>
      </c>
      <c r="N70">
        <v>5</v>
      </c>
      <c r="O70">
        <v>7148</v>
      </c>
      <c r="P70" t="s">
        <v>26</v>
      </c>
      <c r="Q70" t="s">
        <v>27</v>
      </c>
      <c r="R70" t="s">
        <v>70</v>
      </c>
      <c r="S70" t="s">
        <v>49</v>
      </c>
      <c r="T70" t="s">
        <v>35</v>
      </c>
      <c r="U70">
        <f t="shared" si="5"/>
        <v>67996</v>
      </c>
      <c r="V70" t="str">
        <f t="shared" si="6"/>
        <v>Needs Improvement</v>
      </c>
      <c r="W70" t="str">
        <f t="shared" si="7"/>
        <v>Normal</v>
      </c>
      <c r="X70" t="str">
        <f t="shared" si="8"/>
        <v>Mid</v>
      </c>
      <c r="Y70" t="str">
        <f t="shared" si="9"/>
        <v>45+</v>
      </c>
    </row>
    <row r="71" spans="1:25" x14ac:dyDescent="0.3">
      <c r="A71">
        <v>1070</v>
      </c>
      <c r="B71" t="s">
        <v>78</v>
      </c>
      <c r="C71" t="s">
        <v>21</v>
      </c>
      <c r="D71">
        <v>30</v>
      </c>
      <c r="E71" t="s">
        <v>62</v>
      </c>
      <c r="F71" t="s">
        <v>63</v>
      </c>
      <c r="G71" t="s">
        <v>64</v>
      </c>
      <c r="H71" t="s">
        <v>144</v>
      </c>
      <c r="I71">
        <v>10</v>
      </c>
      <c r="J71">
        <v>57905</v>
      </c>
      <c r="K71">
        <v>4.4000000000000004</v>
      </c>
      <c r="L71">
        <v>99</v>
      </c>
      <c r="M71">
        <v>9</v>
      </c>
      <c r="N71">
        <v>17</v>
      </c>
      <c r="O71">
        <v>7770</v>
      </c>
      <c r="P71" t="s">
        <v>47</v>
      </c>
      <c r="Q71" t="s">
        <v>27</v>
      </c>
      <c r="R71" t="s">
        <v>58</v>
      </c>
      <c r="S71" t="s">
        <v>49</v>
      </c>
      <c r="T71" t="s">
        <v>50</v>
      </c>
      <c r="U71">
        <f t="shared" si="5"/>
        <v>65675</v>
      </c>
      <c r="V71" t="str">
        <f t="shared" si="6"/>
        <v>Excellent</v>
      </c>
      <c r="W71" t="str">
        <f t="shared" si="7"/>
        <v>Normal</v>
      </c>
      <c r="X71" t="str">
        <f t="shared" si="8"/>
        <v>Senior</v>
      </c>
      <c r="Y71" t="str">
        <f t="shared" si="9"/>
        <v>25-34</v>
      </c>
    </row>
    <row r="72" spans="1:25" x14ac:dyDescent="0.3">
      <c r="A72">
        <v>1071</v>
      </c>
      <c r="B72" t="s">
        <v>124</v>
      </c>
      <c r="C72" t="s">
        <v>37</v>
      </c>
      <c r="D72">
        <v>32</v>
      </c>
      <c r="E72" t="s">
        <v>22</v>
      </c>
      <c r="F72" t="s">
        <v>66</v>
      </c>
      <c r="G72" t="s">
        <v>45</v>
      </c>
      <c r="H72" t="s">
        <v>146</v>
      </c>
      <c r="I72">
        <v>1</v>
      </c>
      <c r="J72">
        <v>56802</v>
      </c>
      <c r="K72">
        <v>4.3</v>
      </c>
      <c r="L72">
        <v>94.9</v>
      </c>
      <c r="M72">
        <v>1</v>
      </c>
      <c r="N72">
        <v>53</v>
      </c>
      <c r="O72">
        <v>13115</v>
      </c>
      <c r="P72" t="s">
        <v>41</v>
      </c>
      <c r="Q72" t="s">
        <v>48</v>
      </c>
      <c r="R72" t="s">
        <v>58</v>
      </c>
      <c r="S72" t="s">
        <v>49</v>
      </c>
      <c r="T72" t="s">
        <v>30</v>
      </c>
      <c r="U72">
        <f t="shared" si="5"/>
        <v>69917</v>
      </c>
      <c r="V72" t="str">
        <f t="shared" si="6"/>
        <v>Needs Improvement</v>
      </c>
      <c r="W72" t="str">
        <f t="shared" si="7"/>
        <v>Normal</v>
      </c>
      <c r="X72" t="str">
        <f t="shared" si="8"/>
        <v>Junior</v>
      </c>
      <c r="Y72" t="str">
        <f t="shared" si="9"/>
        <v>25-34</v>
      </c>
    </row>
    <row r="73" spans="1:25" x14ac:dyDescent="0.3">
      <c r="A73">
        <v>1072</v>
      </c>
      <c r="B73" t="s">
        <v>99</v>
      </c>
      <c r="C73" t="s">
        <v>21</v>
      </c>
      <c r="D73">
        <v>43</v>
      </c>
      <c r="E73" t="s">
        <v>55</v>
      </c>
      <c r="F73" t="s">
        <v>143</v>
      </c>
      <c r="G73" t="s">
        <v>64</v>
      </c>
      <c r="H73" t="s">
        <v>147</v>
      </c>
      <c r="I73">
        <v>10</v>
      </c>
      <c r="J73">
        <v>68253</v>
      </c>
      <c r="K73">
        <v>3.4</v>
      </c>
      <c r="L73">
        <v>86.6</v>
      </c>
      <c r="M73">
        <v>10</v>
      </c>
      <c r="N73">
        <v>18</v>
      </c>
      <c r="O73">
        <v>8694</v>
      </c>
      <c r="P73" t="s">
        <v>41</v>
      </c>
      <c r="Q73" t="s">
        <v>27</v>
      </c>
      <c r="R73" t="s">
        <v>28</v>
      </c>
      <c r="S73" t="s">
        <v>49</v>
      </c>
      <c r="T73" t="s">
        <v>50</v>
      </c>
      <c r="U73">
        <f t="shared" si="5"/>
        <v>76947</v>
      </c>
      <c r="V73" t="str">
        <f t="shared" si="6"/>
        <v>Needs Improvement</v>
      </c>
      <c r="W73" t="str">
        <f t="shared" si="7"/>
        <v>Normal</v>
      </c>
      <c r="X73" t="str">
        <f t="shared" si="8"/>
        <v>Senior</v>
      </c>
      <c r="Y73" t="str">
        <f t="shared" si="9"/>
        <v>35-44</v>
      </c>
    </row>
    <row r="74" spans="1:25" x14ac:dyDescent="0.3">
      <c r="A74">
        <v>1073</v>
      </c>
      <c r="B74" t="s">
        <v>148</v>
      </c>
      <c r="C74" t="s">
        <v>21</v>
      </c>
      <c r="D74">
        <v>43</v>
      </c>
      <c r="E74" t="s">
        <v>38</v>
      </c>
      <c r="F74" t="s">
        <v>44</v>
      </c>
      <c r="G74" t="s">
        <v>24</v>
      </c>
      <c r="H74" t="s">
        <v>149</v>
      </c>
      <c r="I74">
        <v>2</v>
      </c>
      <c r="J74">
        <v>70269</v>
      </c>
      <c r="K74">
        <v>3.4</v>
      </c>
      <c r="L74">
        <v>97.3</v>
      </c>
      <c r="M74">
        <v>18</v>
      </c>
      <c r="N74">
        <v>48</v>
      </c>
      <c r="O74">
        <v>12051</v>
      </c>
      <c r="P74" t="s">
        <v>33</v>
      </c>
      <c r="Q74" t="s">
        <v>48</v>
      </c>
      <c r="R74" t="s">
        <v>28</v>
      </c>
      <c r="S74" t="s">
        <v>29</v>
      </c>
      <c r="T74" t="s">
        <v>30</v>
      </c>
      <c r="U74">
        <f t="shared" si="5"/>
        <v>82320</v>
      </c>
      <c r="V74" t="str">
        <f t="shared" si="6"/>
        <v>Excellent</v>
      </c>
      <c r="W74" t="str">
        <f t="shared" si="7"/>
        <v>Normal</v>
      </c>
      <c r="X74" t="str">
        <f t="shared" si="8"/>
        <v>Junior</v>
      </c>
      <c r="Y74" t="str">
        <f t="shared" si="9"/>
        <v>35-44</v>
      </c>
    </row>
    <row r="75" spans="1:25" x14ac:dyDescent="0.3">
      <c r="A75">
        <v>1074</v>
      </c>
      <c r="B75" t="s">
        <v>43</v>
      </c>
      <c r="C75" t="s">
        <v>21</v>
      </c>
      <c r="D75">
        <v>36</v>
      </c>
      <c r="E75" t="s">
        <v>91</v>
      </c>
      <c r="F75" t="s">
        <v>101</v>
      </c>
      <c r="G75" t="s">
        <v>59</v>
      </c>
      <c r="H75" t="s">
        <v>150</v>
      </c>
      <c r="I75">
        <v>10</v>
      </c>
      <c r="J75">
        <v>33374</v>
      </c>
      <c r="K75">
        <v>4.5999999999999996</v>
      </c>
      <c r="L75">
        <v>87.1</v>
      </c>
      <c r="M75">
        <v>18</v>
      </c>
      <c r="N75">
        <v>47</v>
      </c>
      <c r="O75">
        <v>5816</v>
      </c>
      <c r="P75" t="s">
        <v>26</v>
      </c>
      <c r="Q75" t="s">
        <v>48</v>
      </c>
      <c r="R75" t="s">
        <v>70</v>
      </c>
      <c r="S75" t="s">
        <v>34</v>
      </c>
      <c r="T75" t="s">
        <v>50</v>
      </c>
      <c r="U75">
        <f t="shared" si="5"/>
        <v>39190</v>
      </c>
      <c r="V75" t="str">
        <f t="shared" si="6"/>
        <v>Needs Improvement</v>
      </c>
      <c r="W75" t="str">
        <f t="shared" si="7"/>
        <v>Normal</v>
      </c>
      <c r="X75" t="str">
        <f t="shared" si="8"/>
        <v>Senior</v>
      </c>
      <c r="Y75" t="str">
        <f t="shared" si="9"/>
        <v>35-44</v>
      </c>
    </row>
    <row r="76" spans="1:25" x14ac:dyDescent="0.3">
      <c r="A76">
        <v>1075</v>
      </c>
      <c r="B76" t="s">
        <v>54</v>
      </c>
      <c r="C76" t="s">
        <v>37</v>
      </c>
      <c r="D76">
        <v>25</v>
      </c>
      <c r="E76" t="s">
        <v>38</v>
      </c>
      <c r="F76" t="s">
        <v>39</v>
      </c>
      <c r="G76" t="s">
        <v>24</v>
      </c>
      <c r="H76" t="s">
        <v>151</v>
      </c>
      <c r="I76">
        <v>5</v>
      </c>
      <c r="J76">
        <v>35747</v>
      </c>
      <c r="K76">
        <v>3.2</v>
      </c>
      <c r="L76">
        <v>93.3</v>
      </c>
      <c r="M76">
        <v>16</v>
      </c>
      <c r="N76">
        <v>13</v>
      </c>
      <c r="O76">
        <v>4019</v>
      </c>
      <c r="P76" t="s">
        <v>47</v>
      </c>
      <c r="Q76" t="s">
        <v>27</v>
      </c>
      <c r="R76" t="s">
        <v>28</v>
      </c>
      <c r="S76" t="s">
        <v>34</v>
      </c>
      <c r="T76" t="s">
        <v>35</v>
      </c>
      <c r="U76">
        <f t="shared" si="5"/>
        <v>39766</v>
      </c>
      <c r="V76" t="str">
        <f t="shared" si="6"/>
        <v>Needs Improvement</v>
      </c>
      <c r="W76" t="str">
        <f t="shared" si="7"/>
        <v>Normal</v>
      </c>
      <c r="X76" t="str">
        <f t="shared" si="8"/>
        <v>Mid</v>
      </c>
      <c r="Y76" t="str">
        <f t="shared" si="9"/>
        <v>25-34</v>
      </c>
    </row>
    <row r="77" spans="1:25" x14ac:dyDescent="0.3">
      <c r="A77">
        <v>1076</v>
      </c>
      <c r="B77" t="s">
        <v>85</v>
      </c>
      <c r="C77" t="s">
        <v>37</v>
      </c>
      <c r="D77">
        <v>33</v>
      </c>
      <c r="E77" t="s">
        <v>62</v>
      </c>
      <c r="F77" t="s">
        <v>97</v>
      </c>
      <c r="G77" t="s">
        <v>59</v>
      </c>
      <c r="H77" t="s">
        <v>152</v>
      </c>
      <c r="I77">
        <v>10</v>
      </c>
      <c r="J77">
        <v>64096</v>
      </c>
      <c r="K77">
        <v>4.8</v>
      </c>
      <c r="L77">
        <v>88.9</v>
      </c>
      <c r="M77">
        <v>14</v>
      </c>
      <c r="N77">
        <v>6</v>
      </c>
      <c r="O77">
        <v>10071</v>
      </c>
      <c r="P77" t="s">
        <v>47</v>
      </c>
      <c r="Q77" t="s">
        <v>27</v>
      </c>
      <c r="R77" t="s">
        <v>70</v>
      </c>
      <c r="S77" t="s">
        <v>49</v>
      </c>
      <c r="T77" t="s">
        <v>50</v>
      </c>
      <c r="U77">
        <f t="shared" si="5"/>
        <v>74167</v>
      </c>
      <c r="V77" t="str">
        <f t="shared" si="6"/>
        <v>Needs Improvement</v>
      </c>
      <c r="W77" t="str">
        <f t="shared" si="7"/>
        <v>Normal</v>
      </c>
      <c r="X77" t="str">
        <f t="shared" si="8"/>
        <v>Senior</v>
      </c>
      <c r="Y77" t="str">
        <f t="shared" si="9"/>
        <v>25-34</v>
      </c>
    </row>
    <row r="78" spans="1:25" x14ac:dyDescent="0.3">
      <c r="A78">
        <v>1077</v>
      </c>
      <c r="B78" t="s">
        <v>54</v>
      </c>
      <c r="C78" t="s">
        <v>21</v>
      </c>
      <c r="D78">
        <v>45</v>
      </c>
      <c r="E78" t="s">
        <v>22</v>
      </c>
      <c r="F78" t="s">
        <v>66</v>
      </c>
      <c r="G78" t="s">
        <v>45</v>
      </c>
      <c r="H78" t="s">
        <v>153</v>
      </c>
      <c r="I78">
        <v>8</v>
      </c>
      <c r="J78">
        <v>48031</v>
      </c>
      <c r="K78">
        <v>3.5</v>
      </c>
      <c r="L78">
        <v>85.3</v>
      </c>
      <c r="M78">
        <v>5</v>
      </c>
      <c r="N78">
        <v>36</v>
      </c>
      <c r="O78">
        <v>11623</v>
      </c>
      <c r="P78" t="s">
        <v>33</v>
      </c>
      <c r="Q78" t="s">
        <v>27</v>
      </c>
      <c r="R78" t="s">
        <v>28</v>
      </c>
      <c r="S78" t="s">
        <v>34</v>
      </c>
      <c r="T78" t="s">
        <v>50</v>
      </c>
      <c r="U78">
        <f t="shared" si="5"/>
        <v>59654</v>
      </c>
      <c r="V78" t="str">
        <f t="shared" si="6"/>
        <v>Needs Improvement</v>
      </c>
      <c r="W78" t="str">
        <f t="shared" si="7"/>
        <v>Normal</v>
      </c>
      <c r="X78" t="str">
        <f t="shared" si="8"/>
        <v>Senior</v>
      </c>
      <c r="Y78" t="str">
        <f t="shared" si="9"/>
        <v>45+</v>
      </c>
    </row>
    <row r="79" spans="1:25" x14ac:dyDescent="0.3">
      <c r="A79">
        <v>1078</v>
      </c>
      <c r="B79" t="s">
        <v>36</v>
      </c>
      <c r="C79" t="s">
        <v>21</v>
      </c>
      <c r="D79">
        <v>38</v>
      </c>
      <c r="E79" t="s">
        <v>22</v>
      </c>
      <c r="F79" t="s">
        <v>23</v>
      </c>
      <c r="G79" t="s">
        <v>24</v>
      </c>
      <c r="H79" t="s">
        <v>154</v>
      </c>
      <c r="I79">
        <v>3</v>
      </c>
      <c r="J79">
        <v>42342</v>
      </c>
      <c r="K79">
        <v>4.5999999999999996</v>
      </c>
      <c r="L79">
        <v>88.9</v>
      </c>
      <c r="M79">
        <v>9</v>
      </c>
      <c r="N79">
        <v>38</v>
      </c>
      <c r="O79">
        <v>7136</v>
      </c>
      <c r="P79" t="s">
        <v>26</v>
      </c>
      <c r="Q79" t="s">
        <v>48</v>
      </c>
      <c r="R79" t="s">
        <v>70</v>
      </c>
      <c r="S79" t="s">
        <v>34</v>
      </c>
      <c r="T79" t="s">
        <v>35</v>
      </c>
      <c r="U79">
        <f t="shared" si="5"/>
        <v>49478</v>
      </c>
      <c r="V79" t="str">
        <f t="shared" si="6"/>
        <v>Needs Improvement</v>
      </c>
      <c r="W79" t="str">
        <f t="shared" si="7"/>
        <v>Normal</v>
      </c>
      <c r="X79" t="str">
        <f t="shared" si="8"/>
        <v>Mid</v>
      </c>
      <c r="Y79" t="str">
        <f t="shared" si="9"/>
        <v>35-44</v>
      </c>
    </row>
    <row r="80" spans="1:25" x14ac:dyDescent="0.3">
      <c r="A80">
        <v>1079</v>
      </c>
      <c r="B80" t="s">
        <v>43</v>
      </c>
      <c r="C80" t="s">
        <v>21</v>
      </c>
      <c r="D80">
        <v>31</v>
      </c>
      <c r="E80" t="s">
        <v>38</v>
      </c>
      <c r="F80" t="s">
        <v>44</v>
      </c>
      <c r="G80" t="s">
        <v>59</v>
      </c>
      <c r="H80" t="s">
        <v>155</v>
      </c>
      <c r="I80">
        <v>1</v>
      </c>
      <c r="J80">
        <v>90151</v>
      </c>
      <c r="K80">
        <v>2.9</v>
      </c>
      <c r="L80">
        <v>82.1</v>
      </c>
      <c r="M80">
        <v>19</v>
      </c>
      <c r="N80">
        <v>7</v>
      </c>
      <c r="O80">
        <v>3766</v>
      </c>
      <c r="P80" t="s">
        <v>53</v>
      </c>
      <c r="Q80" t="s">
        <v>48</v>
      </c>
      <c r="R80" t="s">
        <v>42</v>
      </c>
      <c r="S80" t="s">
        <v>29</v>
      </c>
      <c r="T80" t="s">
        <v>30</v>
      </c>
      <c r="U80">
        <f t="shared" si="5"/>
        <v>93917</v>
      </c>
      <c r="V80" t="str">
        <f t="shared" si="6"/>
        <v>Needs Improvement</v>
      </c>
      <c r="W80" t="str">
        <f t="shared" si="7"/>
        <v>Normal</v>
      </c>
      <c r="X80" t="str">
        <f t="shared" si="8"/>
        <v>Junior</v>
      </c>
      <c r="Y80" t="str">
        <f t="shared" si="9"/>
        <v>25-34</v>
      </c>
    </row>
    <row r="81" spans="1:25" x14ac:dyDescent="0.3">
      <c r="A81">
        <v>1080</v>
      </c>
      <c r="B81" t="s">
        <v>75</v>
      </c>
      <c r="C81" t="s">
        <v>37</v>
      </c>
      <c r="D81">
        <v>43</v>
      </c>
      <c r="E81" t="s">
        <v>62</v>
      </c>
      <c r="F81" t="s">
        <v>63</v>
      </c>
      <c r="G81" t="s">
        <v>45</v>
      </c>
      <c r="H81" t="s">
        <v>156</v>
      </c>
      <c r="I81">
        <v>7</v>
      </c>
      <c r="J81">
        <v>41419</v>
      </c>
      <c r="K81">
        <v>4.7</v>
      </c>
      <c r="L81">
        <v>94.5</v>
      </c>
      <c r="M81">
        <v>3</v>
      </c>
      <c r="N81">
        <v>42</v>
      </c>
      <c r="O81">
        <v>4911</v>
      </c>
      <c r="P81" t="s">
        <v>41</v>
      </c>
      <c r="Q81" t="s">
        <v>27</v>
      </c>
      <c r="R81" t="s">
        <v>70</v>
      </c>
      <c r="S81" t="s">
        <v>34</v>
      </c>
      <c r="T81" t="s">
        <v>50</v>
      </c>
      <c r="U81">
        <f t="shared" si="5"/>
        <v>46330</v>
      </c>
      <c r="V81" t="str">
        <f t="shared" si="6"/>
        <v>Needs Improvement</v>
      </c>
      <c r="W81" t="str">
        <f t="shared" si="7"/>
        <v>Normal</v>
      </c>
      <c r="X81" t="str">
        <f t="shared" si="8"/>
        <v>Senior</v>
      </c>
      <c r="Y81" t="str">
        <f t="shared" si="9"/>
        <v>35-44</v>
      </c>
    </row>
    <row r="82" spans="1:25" x14ac:dyDescent="0.3">
      <c r="A82">
        <v>1081</v>
      </c>
      <c r="B82" t="s">
        <v>78</v>
      </c>
      <c r="C82" t="s">
        <v>37</v>
      </c>
      <c r="D82">
        <v>44</v>
      </c>
      <c r="E82" t="s">
        <v>62</v>
      </c>
      <c r="F82" t="s">
        <v>63</v>
      </c>
      <c r="G82" t="s">
        <v>24</v>
      </c>
      <c r="H82" t="s">
        <v>157</v>
      </c>
      <c r="I82">
        <v>5</v>
      </c>
      <c r="J82">
        <v>33045</v>
      </c>
      <c r="K82">
        <v>4.0999999999999996</v>
      </c>
      <c r="L82">
        <v>94.5</v>
      </c>
      <c r="M82">
        <v>12</v>
      </c>
      <c r="N82">
        <v>59</v>
      </c>
      <c r="O82">
        <v>9275</v>
      </c>
      <c r="P82" t="s">
        <v>53</v>
      </c>
      <c r="Q82" t="s">
        <v>48</v>
      </c>
      <c r="R82" t="s">
        <v>58</v>
      </c>
      <c r="S82" t="s">
        <v>34</v>
      </c>
      <c r="T82" t="s">
        <v>35</v>
      </c>
      <c r="U82">
        <f t="shared" si="5"/>
        <v>42320</v>
      </c>
      <c r="V82" t="str">
        <f t="shared" si="6"/>
        <v>Needs Improvement</v>
      </c>
      <c r="W82" t="str">
        <f t="shared" si="7"/>
        <v>Normal</v>
      </c>
      <c r="X82" t="str">
        <f t="shared" si="8"/>
        <v>Mid</v>
      </c>
      <c r="Y82" t="str">
        <f t="shared" si="9"/>
        <v>35-44</v>
      </c>
    </row>
    <row r="83" spans="1:25" x14ac:dyDescent="0.3">
      <c r="A83">
        <v>1082</v>
      </c>
      <c r="B83" t="s">
        <v>148</v>
      </c>
      <c r="C83" t="s">
        <v>37</v>
      </c>
      <c r="D83">
        <v>38</v>
      </c>
      <c r="E83" t="s">
        <v>38</v>
      </c>
      <c r="F83" t="s">
        <v>44</v>
      </c>
      <c r="G83" t="s">
        <v>24</v>
      </c>
      <c r="H83" t="s">
        <v>158</v>
      </c>
      <c r="I83">
        <v>8</v>
      </c>
      <c r="J83">
        <v>76462</v>
      </c>
      <c r="K83">
        <v>3.1</v>
      </c>
      <c r="L83">
        <v>95.9</v>
      </c>
      <c r="M83">
        <v>18</v>
      </c>
      <c r="N83">
        <v>13</v>
      </c>
      <c r="O83">
        <v>2386</v>
      </c>
      <c r="P83" t="s">
        <v>26</v>
      </c>
      <c r="Q83" t="s">
        <v>27</v>
      </c>
      <c r="R83" t="s">
        <v>28</v>
      </c>
      <c r="S83" t="s">
        <v>29</v>
      </c>
      <c r="T83" t="s">
        <v>50</v>
      </c>
      <c r="U83">
        <f t="shared" si="5"/>
        <v>78848</v>
      </c>
      <c r="V83" t="str">
        <f t="shared" si="6"/>
        <v>Excellent</v>
      </c>
      <c r="W83" t="str">
        <f t="shared" si="7"/>
        <v>Normal</v>
      </c>
      <c r="X83" t="str">
        <f t="shared" si="8"/>
        <v>Senior</v>
      </c>
      <c r="Y83" t="str">
        <f t="shared" si="9"/>
        <v>35-44</v>
      </c>
    </row>
    <row r="84" spans="1:25" x14ac:dyDescent="0.3">
      <c r="A84">
        <v>1083</v>
      </c>
      <c r="B84" t="s">
        <v>121</v>
      </c>
      <c r="C84" t="s">
        <v>21</v>
      </c>
      <c r="D84">
        <v>35</v>
      </c>
      <c r="E84" t="s">
        <v>55</v>
      </c>
      <c r="F84" t="s">
        <v>143</v>
      </c>
      <c r="G84" t="s">
        <v>51</v>
      </c>
      <c r="H84" t="s">
        <v>159</v>
      </c>
      <c r="I84">
        <v>2</v>
      </c>
      <c r="J84">
        <v>85692</v>
      </c>
      <c r="K84">
        <v>3.3</v>
      </c>
      <c r="L84">
        <v>88.9</v>
      </c>
      <c r="M84">
        <v>22</v>
      </c>
      <c r="N84">
        <v>40</v>
      </c>
      <c r="O84">
        <v>5776</v>
      </c>
      <c r="P84" t="s">
        <v>26</v>
      </c>
      <c r="Q84" t="s">
        <v>48</v>
      </c>
      <c r="R84" t="s">
        <v>28</v>
      </c>
      <c r="S84" t="s">
        <v>29</v>
      </c>
      <c r="T84" t="s">
        <v>30</v>
      </c>
      <c r="U84">
        <f t="shared" si="5"/>
        <v>91468</v>
      </c>
      <c r="V84" t="str">
        <f t="shared" si="6"/>
        <v>Needs Improvement</v>
      </c>
      <c r="W84" t="str">
        <f t="shared" si="7"/>
        <v>High</v>
      </c>
      <c r="X84" t="str">
        <f t="shared" si="8"/>
        <v>Junior</v>
      </c>
      <c r="Y84" t="str">
        <f t="shared" si="9"/>
        <v>35-44</v>
      </c>
    </row>
    <row r="85" spans="1:25" x14ac:dyDescent="0.3">
      <c r="A85">
        <v>1084</v>
      </c>
      <c r="B85" t="s">
        <v>85</v>
      </c>
      <c r="C85" t="s">
        <v>21</v>
      </c>
      <c r="D85">
        <v>43</v>
      </c>
      <c r="E85" t="s">
        <v>38</v>
      </c>
      <c r="F85" t="s">
        <v>44</v>
      </c>
      <c r="G85" t="s">
        <v>45</v>
      </c>
      <c r="H85" t="s">
        <v>160</v>
      </c>
      <c r="I85">
        <v>5</v>
      </c>
      <c r="J85">
        <v>93460</v>
      </c>
      <c r="K85">
        <v>3</v>
      </c>
      <c r="L85">
        <v>86.7</v>
      </c>
      <c r="M85">
        <v>13</v>
      </c>
      <c r="N85">
        <v>49</v>
      </c>
      <c r="O85">
        <v>7163</v>
      </c>
      <c r="P85" t="s">
        <v>47</v>
      </c>
      <c r="Q85" t="s">
        <v>48</v>
      </c>
      <c r="R85" t="s">
        <v>28</v>
      </c>
      <c r="S85" t="s">
        <v>29</v>
      </c>
      <c r="T85" t="s">
        <v>35</v>
      </c>
      <c r="U85">
        <f t="shared" si="5"/>
        <v>100623</v>
      </c>
      <c r="V85" t="str">
        <f t="shared" si="6"/>
        <v>Needs Improvement</v>
      </c>
      <c r="W85" t="str">
        <f t="shared" si="7"/>
        <v>Normal</v>
      </c>
      <c r="X85" t="str">
        <f t="shared" si="8"/>
        <v>Mid</v>
      </c>
      <c r="Y85" t="str">
        <f t="shared" si="9"/>
        <v>35-44</v>
      </c>
    </row>
    <row r="86" spans="1:25" x14ac:dyDescent="0.3">
      <c r="A86">
        <v>1085</v>
      </c>
      <c r="B86" t="s">
        <v>83</v>
      </c>
      <c r="C86" t="s">
        <v>21</v>
      </c>
      <c r="D86">
        <v>34</v>
      </c>
      <c r="E86" t="s">
        <v>62</v>
      </c>
      <c r="F86" t="s">
        <v>63</v>
      </c>
      <c r="G86" t="s">
        <v>45</v>
      </c>
      <c r="H86" t="s">
        <v>161</v>
      </c>
      <c r="I86">
        <v>0</v>
      </c>
      <c r="J86">
        <v>68556</v>
      </c>
      <c r="K86">
        <v>3.8</v>
      </c>
      <c r="L86">
        <v>84.2</v>
      </c>
      <c r="M86">
        <v>7</v>
      </c>
      <c r="N86">
        <v>34</v>
      </c>
      <c r="O86">
        <v>7045</v>
      </c>
      <c r="P86" t="s">
        <v>47</v>
      </c>
      <c r="Q86" t="s">
        <v>48</v>
      </c>
      <c r="R86" t="s">
        <v>28</v>
      </c>
      <c r="S86" t="s">
        <v>49</v>
      </c>
      <c r="T86" t="s">
        <v>30</v>
      </c>
      <c r="U86">
        <f t="shared" si="5"/>
        <v>75601</v>
      </c>
      <c r="V86" t="str">
        <f t="shared" si="6"/>
        <v>Needs Improvement</v>
      </c>
      <c r="W86" t="str">
        <f t="shared" si="7"/>
        <v>Normal</v>
      </c>
      <c r="X86" t="str">
        <f t="shared" si="8"/>
        <v>Junior</v>
      </c>
      <c r="Y86" t="str">
        <f t="shared" si="9"/>
        <v>25-34</v>
      </c>
    </row>
    <row r="87" spans="1:25" x14ac:dyDescent="0.3">
      <c r="A87">
        <v>1086</v>
      </c>
      <c r="B87" t="s">
        <v>85</v>
      </c>
      <c r="C87" t="s">
        <v>37</v>
      </c>
      <c r="D87">
        <v>29</v>
      </c>
      <c r="E87" t="s">
        <v>55</v>
      </c>
      <c r="F87" t="s">
        <v>79</v>
      </c>
      <c r="G87" t="s">
        <v>45</v>
      </c>
      <c r="H87" t="s">
        <v>162</v>
      </c>
      <c r="I87">
        <v>5</v>
      </c>
      <c r="J87">
        <v>45080</v>
      </c>
      <c r="K87">
        <v>3.4</v>
      </c>
      <c r="L87">
        <v>89.2</v>
      </c>
      <c r="M87">
        <v>16</v>
      </c>
      <c r="N87">
        <v>49</v>
      </c>
      <c r="O87">
        <v>1191</v>
      </c>
      <c r="P87" t="s">
        <v>33</v>
      </c>
      <c r="Q87" t="s">
        <v>27</v>
      </c>
      <c r="R87" t="s">
        <v>28</v>
      </c>
      <c r="S87" t="s">
        <v>34</v>
      </c>
      <c r="T87" t="s">
        <v>35</v>
      </c>
      <c r="U87">
        <f t="shared" si="5"/>
        <v>46271</v>
      </c>
      <c r="V87" t="str">
        <f t="shared" si="6"/>
        <v>Needs Improvement</v>
      </c>
      <c r="W87" t="str">
        <f t="shared" si="7"/>
        <v>Normal</v>
      </c>
      <c r="X87" t="str">
        <f t="shared" si="8"/>
        <v>Mid</v>
      </c>
      <c r="Y87" t="str">
        <f t="shared" si="9"/>
        <v>25-34</v>
      </c>
    </row>
    <row r="88" spans="1:25" x14ac:dyDescent="0.3">
      <c r="A88">
        <v>1087</v>
      </c>
      <c r="B88" t="s">
        <v>71</v>
      </c>
      <c r="C88" t="s">
        <v>37</v>
      </c>
      <c r="D88">
        <v>45</v>
      </c>
      <c r="E88" t="s">
        <v>62</v>
      </c>
      <c r="F88" t="s">
        <v>63</v>
      </c>
      <c r="G88" t="s">
        <v>59</v>
      </c>
      <c r="H88" t="s">
        <v>163</v>
      </c>
      <c r="I88">
        <v>6</v>
      </c>
      <c r="J88">
        <v>50418</v>
      </c>
      <c r="K88">
        <v>3.3</v>
      </c>
      <c r="L88">
        <v>87.5</v>
      </c>
      <c r="M88">
        <v>0</v>
      </c>
      <c r="N88">
        <v>18</v>
      </c>
      <c r="O88">
        <v>13428</v>
      </c>
      <c r="P88" t="s">
        <v>47</v>
      </c>
      <c r="Q88" t="s">
        <v>48</v>
      </c>
      <c r="R88" t="s">
        <v>28</v>
      </c>
      <c r="S88" t="s">
        <v>49</v>
      </c>
      <c r="T88" t="s">
        <v>50</v>
      </c>
      <c r="U88">
        <f t="shared" si="5"/>
        <v>63846</v>
      </c>
      <c r="V88" t="str">
        <f t="shared" si="6"/>
        <v>Needs Improvement</v>
      </c>
      <c r="W88" t="str">
        <f t="shared" si="7"/>
        <v>Normal</v>
      </c>
      <c r="X88" t="str">
        <f t="shared" si="8"/>
        <v>Mid</v>
      </c>
      <c r="Y88" t="str">
        <f t="shared" si="9"/>
        <v>45+</v>
      </c>
    </row>
    <row r="89" spans="1:25" x14ac:dyDescent="0.3">
      <c r="A89">
        <v>1088</v>
      </c>
      <c r="B89" t="s">
        <v>83</v>
      </c>
      <c r="C89" t="s">
        <v>21</v>
      </c>
      <c r="D89">
        <v>24</v>
      </c>
      <c r="E89" t="s">
        <v>62</v>
      </c>
      <c r="F89" t="s">
        <v>63</v>
      </c>
      <c r="G89" t="s">
        <v>64</v>
      </c>
      <c r="H89" t="s">
        <v>164</v>
      </c>
      <c r="I89">
        <v>2</v>
      </c>
      <c r="J89">
        <v>77240</v>
      </c>
      <c r="K89">
        <v>2.8</v>
      </c>
      <c r="L89">
        <v>92.1</v>
      </c>
      <c r="M89">
        <v>15</v>
      </c>
      <c r="N89">
        <v>51</v>
      </c>
      <c r="O89">
        <v>4769</v>
      </c>
      <c r="P89" t="s">
        <v>26</v>
      </c>
      <c r="Q89" t="s">
        <v>48</v>
      </c>
      <c r="R89" t="s">
        <v>42</v>
      </c>
      <c r="S89" t="s">
        <v>29</v>
      </c>
      <c r="T89" t="s">
        <v>30</v>
      </c>
      <c r="U89">
        <f t="shared" si="5"/>
        <v>82009</v>
      </c>
      <c r="V89" t="str">
        <f t="shared" si="6"/>
        <v>Needs Improvement</v>
      </c>
      <c r="W89" t="str">
        <f t="shared" si="7"/>
        <v>Normal</v>
      </c>
      <c r="X89" t="str">
        <f t="shared" si="8"/>
        <v>Junior</v>
      </c>
      <c r="Y89" t="str">
        <f t="shared" si="9"/>
        <v>20-24</v>
      </c>
    </row>
    <row r="90" spans="1:25" x14ac:dyDescent="0.3">
      <c r="A90">
        <v>1089</v>
      </c>
      <c r="B90" t="s">
        <v>71</v>
      </c>
      <c r="C90" t="s">
        <v>37</v>
      </c>
      <c r="D90">
        <v>22</v>
      </c>
      <c r="E90" t="s">
        <v>22</v>
      </c>
      <c r="F90" t="s">
        <v>66</v>
      </c>
      <c r="G90" t="s">
        <v>59</v>
      </c>
      <c r="H90" t="s">
        <v>165</v>
      </c>
      <c r="I90">
        <v>1</v>
      </c>
      <c r="J90">
        <v>38900</v>
      </c>
      <c r="K90">
        <v>3.3</v>
      </c>
      <c r="L90">
        <v>88.5</v>
      </c>
      <c r="M90">
        <v>8</v>
      </c>
      <c r="N90">
        <v>31</v>
      </c>
      <c r="O90">
        <v>6537</v>
      </c>
      <c r="P90" t="s">
        <v>53</v>
      </c>
      <c r="Q90" t="s">
        <v>48</v>
      </c>
      <c r="R90" t="s">
        <v>28</v>
      </c>
      <c r="S90" t="s">
        <v>34</v>
      </c>
      <c r="T90" t="s">
        <v>30</v>
      </c>
      <c r="U90">
        <f t="shared" si="5"/>
        <v>45437</v>
      </c>
      <c r="V90" t="str">
        <f t="shared" si="6"/>
        <v>Needs Improvement</v>
      </c>
      <c r="W90" t="str">
        <f t="shared" si="7"/>
        <v>Normal</v>
      </c>
      <c r="X90" t="str">
        <f t="shared" si="8"/>
        <v>Junior</v>
      </c>
      <c r="Y90" t="str">
        <f t="shared" si="9"/>
        <v>20-24</v>
      </c>
    </row>
    <row r="91" spans="1:25" x14ac:dyDescent="0.3">
      <c r="A91">
        <v>1090</v>
      </c>
      <c r="B91" t="s">
        <v>148</v>
      </c>
      <c r="C91" t="s">
        <v>37</v>
      </c>
      <c r="D91">
        <v>41</v>
      </c>
      <c r="E91" t="s">
        <v>22</v>
      </c>
      <c r="F91" t="s">
        <v>66</v>
      </c>
      <c r="G91" t="s">
        <v>45</v>
      </c>
      <c r="H91" t="s">
        <v>166</v>
      </c>
      <c r="I91">
        <v>5</v>
      </c>
      <c r="J91">
        <v>74004</v>
      </c>
      <c r="K91">
        <v>3.7</v>
      </c>
      <c r="L91">
        <v>82.4</v>
      </c>
      <c r="M91">
        <v>22</v>
      </c>
      <c r="N91">
        <v>34</v>
      </c>
      <c r="O91">
        <v>8469</v>
      </c>
      <c r="P91" t="s">
        <v>26</v>
      </c>
      <c r="Q91" t="s">
        <v>27</v>
      </c>
      <c r="R91" t="s">
        <v>28</v>
      </c>
      <c r="S91" t="s">
        <v>29</v>
      </c>
      <c r="T91" t="s">
        <v>35</v>
      </c>
      <c r="U91">
        <f t="shared" si="5"/>
        <v>82473</v>
      </c>
      <c r="V91" t="str">
        <f t="shared" si="6"/>
        <v>Needs Improvement</v>
      </c>
      <c r="W91" t="str">
        <f t="shared" si="7"/>
        <v>High</v>
      </c>
      <c r="X91" t="str">
        <f t="shared" si="8"/>
        <v>Mid</v>
      </c>
      <c r="Y91" t="str">
        <f t="shared" si="9"/>
        <v>35-44</v>
      </c>
    </row>
    <row r="92" spans="1:25" x14ac:dyDescent="0.3">
      <c r="A92">
        <v>1091</v>
      </c>
      <c r="B92" t="s">
        <v>75</v>
      </c>
      <c r="C92" t="s">
        <v>37</v>
      </c>
      <c r="D92">
        <v>29</v>
      </c>
      <c r="E92" t="s">
        <v>55</v>
      </c>
      <c r="F92" t="s">
        <v>143</v>
      </c>
      <c r="G92" t="s">
        <v>64</v>
      </c>
      <c r="H92" t="s">
        <v>167</v>
      </c>
      <c r="I92">
        <v>3</v>
      </c>
      <c r="J92">
        <v>74619</v>
      </c>
      <c r="K92">
        <v>3.1</v>
      </c>
      <c r="L92">
        <v>91.2</v>
      </c>
      <c r="M92">
        <v>18</v>
      </c>
      <c r="N92">
        <v>36</v>
      </c>
      <c r="O92">
        <v>11870</v>
      </c>
      <c r="P92" t="s">
        <v>53</v>
      </c>
      <c r="Q92" t="s">
        <v>27</v>
      </c>
      <c r="R92" t="s">
        <v>28</v>
      </c>
      <c r="S92" t="s">
        <v>29</v>
      </c>
      <c r="T92" t="s">
        <v>35</v>
      </c>
      <c r="U92">
        <f t="shared" si="5"/>
        <v>86489</v>
      </c>
      <c r="V92" t="str">
        <f t="shared" si="6"/>
        <v>Needs Improvement</v>
      </c>
      <c r="W92" t="str">
        <f t="shared" si="7"/>
        <v>Normal</v>
      </c>
      <c r="X92" t="str">
        <f t="shared" si="8"/>
        <v>Mid</v>
      </c>
      <c r="Y92" t="str">
        <f t="shared" si="9"/>
        <v>25-34</v>
      </c>
    </row>
    <row r="93" spans="1:25" x14ac:dyDescent="0.3">
      <c r="A93">
        <v>1092</v>
      </c>
      <c r="B93" t="s">
        <v>111</v>
      </c>
      <c r="C93" t="s">
        <v>21</v>
      </c>
      <c r="D93">
        <v>35</v>
      </c>
      <c r="E93" t="s">
        <v>22</v>
      </c>
      <c r="F93" t="s">
        <v>66</v>
      </c>
      <c r="G93" t="s">
        <v>59</v>
      </c>
      <c r="H93" t="s">
        <v>168</v>
      </c>
      <c r="I93">
        <v>10</v>
      </c>
      <c r="J93">
        <v>47939</v>
      </c>
      <c r="K93">
        <v>4.9000000000000004</v>
      </c>
      <c r="L93">
        <v>97.9</v>
      </c>
      <c r="M93">
        <v>9</v>
      </c>
      <c r="N93">
        <v>51</v>
      </c>
      <c r="O93">
        <v>14442</v>
      </c>
      <c r="P93" t="s">
        <v>53</v>
      </c>
      <c r="Q93" t="s">
        <v>48</v>
      </c>
      <c r="R93" t="s">
        <v>70</v>
      </c>
      <c r="S93" t="s">
        <v>34</v>
      </c>
      <c r="T93" t="s">
        <v>50</v>
      </c>
      <c r="U93">
        <f t="shared" si="5"/>
        <v>62381</v>
      </c>
      <c r="V93" t="str">
        <f t="shared" si="6"/>
        <v>Excellent</v>
      </c>
      <c r="W93" t="str">
        <f t="shared" si="7"/>
        <v>Normal</v>
      </c>
      <c r="X93" t="str">
        <f t="shared" si="8"/>
        <v>Senior</v>
      </c>
      <c r="Y93" t="str">
        <f t="shared" si="9"/>
        <v>35-44</v>
      </c>
    </row>
    <row r="94" spans="1:25" x14ac:dyDescent="0.3">
      <c r="A94">
        <v>1093</v>
      </c>
      <c r="B94" t="s">
        <v>124</v>
      </c>
      <c r="C94" t="s">
        <v>21</v>
      </c>
      <c r="D94">
        <v>33</v>
      </c>
      <c r="E94" t="s">
        <v>62</v>
      </c>
      <c r="F94" t="s">
        <v>97</v>
      </c>
      <c r="G94" t="s">
        <v>45</v>
      </c>
      <c r="H94" t="s">
        <v>169</v>
      </c>
      <c r="I94">
        <v>10</v>
      </c>
      <c r="J94">
        <v>45898</v>
      </c>
      <c r="K94">
        <v>2.6</v>
      </c>
      <c r="L94">
        <v>99.3</v>
      </c>
      <c r="M94">
        <v>3</v>
      </c>
      <c r="N94">
        <v>26</v>
      </c>
      <c r="O94">
        <v>11683</v>
      </c>
      <c r="P94" t="s">
        <v>26</v>
      </c>
      <c r="Q94" t="s">
        <v>27</v>
      </c>
      <c r="R94" t="s">
        <v>42</v>
      </c>
      <c r="S94" t="s">
        <v>34</v>
      </c>
      <c r="T94" t="s">
        <v>50</v>
      </c>
      <c r="U94">
        <f t="shared" si="5"/>
        <v>57581</v>
      </c>
      <c r="V94" t="str">
        <f t="shared" si="6"/>
        <v>Excellent</v>
      </c>
      <c r="W94" t="str">
        <f t="shared" si="7"/>
        <v>Normal</v>
      </c>
      <c r="X94" t="str">
        <f t="shared" si="8"/>
        <v>Senior</v>
      </c>
      <c r="Y94" t="str">
        <f t="shared" si="9"/>
        <v>25-34</v>
      </c>
    </row>
    <row r="95" spans="1:25" x14ac:dyDescent="0.3">
      <c r="A95">
        <v>1094</v>
      </c>
      <c r="B95" t="s">
        <v>71</v>
      </c>
      <c r="C95" t="s">
        <v>37</v>
      </c>
      <c r="D95">
        <v>31</v>
      </c>
      <c r="E95" t="s">
        <v>22</v>
      </c>
      <c r="F95" t="s">
        <v>23</v>
      </c>
      <c r="G95" t="s">
        <v>64</v>
      </c>
      <c r="H95" t="s">
        <v>170</v>
      </c>
      <c r="I95">
        <v>2</v>
      </c>
      <c r="J95">
        <v>42410</v>
      </c>
      <c r="K95">
        <v>2.7</v>
      </c>
      <c r="L95">
        <v>88.2</v>
      </c>
      <c r="M95">
        <v>7</v>
      </c>
      <c r="N95">
        <v>11</v>
      </c>
      <c r="O95">
        <v>3038</v>
      </c>
      <c r="P95" t="s">
        <v>26</v>
      </c>
      <c r="Q95" t="s">
        <v>48</v>
      </c>
      <c r="R95" t="s">
        <v>42</v>
      </c>
      <c r="S95" t="s">
        <v>34</v>
      </c>
      <c r="T95" t="s">
        <v>30</v>
      </c>
      <c r="U95">
        <f t="shared" si="5"/>
        <v>45448</v>
      </c>
      <c r="V95" t="str">
        <f t="shared" si="6"/>
        <v>Needs Improvement</v>
      </c>
      <c r="W95" t="str">
        <f t="shared" si="7"/>
        <v>Normal</v>
      </c>
      <c r="X95" t="str">
        <f t="shared" si="8"/>
        <v>Junior</v>
      </c>
      <c r="Y95" t="str">
        <f t="shared" si="9"/>
        <v>25-34</v>
      </c>
    </row>
    <row r="96" spans="1:25" x14ac:dyDescent="0.3">
      <c r="A96">
        <v>1095</v>
      </c>
      <c r="B96" t="s">
        <v>61</v>
      </c>
      <c r="C96" t="s">
        <v>21</v>
      </c>
      <c r="D96">
        <v>30</v>
      </c>
      <c r="E96" t="s">
        <v>22</v>
      </c>
      <c r="F96" t="s">
        <v>66</v>
      </c>
      <c r="G96" t="s">
        <v>64</v>
      </c>
      <c r="H96" t="s">
        <v>171</v>
      </c>
      <c r="I96">
        <v>3</v>
      </c>
      <c r="J96">
        <v>52642</v>
      </c>
      <c r="K96">
        <v>4.9000000000000004</v>
      </c>
      <c r="L96">
        <v>89.6</v>
      </c>
      <c r="M96">
        <v>9</v>
      </c>
      <c r="N96">
        <v>41</v>
      </c>
      <c r="O96">
        <v>7720</v>
      </c>
      <c r="P96" t="s">
        <v>47</v>
      </c>
      <c r="Q96" t="s">
        <v>48</v>
      </c>
      <c r="R96" t="s">
        <v>70</v>
      </c>
      <c r="S96" t="s">
        <v>49</v>
      </c>
      <c r="T96" t="s">
        <v>35</v>
      </c>
      <c r="U96">
        <f t="shared" si="5"/>
        <v>60362</v>
      </c>
      <c r="V96" t="str">
        <f t="shared" si="6"/>
        <v>Needs Improvement</v>
      </c>
      <c r="W96" t="str">
        <f t="shared" si="7"/>
        <v>Normal</v>
      </c>
      <c r="X96" t="str">
        <f t="shared" si="8"/>
        <v>Mid</v>
      </c>
      <c r="Y96" t="str">
        <f t="shared" si="9"/>
        <v>25-34</v>
      </c>
    </row>
    <row r="97" spans="1:25" x14ac:dyDescent="0.3">
      <c r="A97">
        <v>1096</v>
      </c>
      <c r="B97" t="s">
        <v>20</v>
      </c>
      <c r="C97" t="s">
        <v>21</v>
      </c>
      <c r="D97">
        <v>29</v>
      </c>
      <c r="E97" t="s">
        <v>62</v>
      </c>
      <c r="F97" t="s">
        <v>97</v>
      </c>
      <c r="G97" t="s">
        <v>51</v>
      </c>
      <c r="H97" t="s">
        <v>172</v>
      </c>
      <c r="I97">
        <v>4</v>
      </c>
      <c r="J97">
        <v>33682</v>
      </c>
      <c r="K97">
        <v>4.5</v>
      </c>
      <c r="L97">
        <v>92</v>
      </c>
      <c r="M97">
        <v>21</v>
      </c>
      <c r="N97">
        <v>18</v>
      </c>
      <c r="O97">
        <v>2851</v>
      </c>
      <c r="P97" t="s">
        <v>53</v>
      </c>
      <c r="Q97" t="s">
        <v>27</v>
      </c>
      <c r="R97" t="s">
        <v>70</v>
      </c>
      <c r="S97" t="s">
        <v>34</v>
      </c>
      <c r="T97" t="s">
        <v>35</v>
      </c>
      <c r="U97">
        <f t="shared" si="5"/>
        <v>36533</v>
      </c>
      <c r="V97" t="str">
        <f t="shared" si="6"/>
        <v>Needs Improvement</v>
      </c>
      <c r="W97" t="str">
        <f t="shared" si="7"/>
        <v>High</v>
      </c>
      <c r="X97" t="str">
        <f t="shared" si="8"/>
        <v>Mid</v>
      </c>
      <c r="Y97" t="str">
        <f t="shared" si="9"/>
        <v>25-34</v>
      </c>
    </row>
    <row r="98" spans="1:25" x14ac:dyDescent="0.3">
      <c r="A98">
        <v>1097</v>
      </c>
      <c r="B98" t="s">
        <v>71</v>
      </c>
      <c r="C98" t="s">
        <v>21</v>
      </c>
      <c r="D98">
        <v>22</v>
      </c>
      <c r="E98" t="s">
        <v>22</v>
      </c>
      <c r="F98" t="s">
        <v>66</v>
      </c>
      <c r="G98" t="s">
        <v>51</v>
      </c>
      <c r="H98" t="s">
        <v>173</v>
      </c>
      <c r="I98">
        <v>7</v>
      </c>
      <c r="J98">
        <v>37271</v>
      </c>
      <c r="K98">
        <v>3.4</v>
      </c>
      <c r="L98">
        <v>96.4</v>
      </c>
      <c r="M98">
        <v>23</v>
      </c>
      <c r="N98">
        <v>24</v>
      </c>
      <c r="O98">
        <v>7859</v>
      </c>
      <c r="P98" t="s">
        <v>33</v>
      </c>
      <c r="Q98" t="s">
        <v>27</v>
      </c>
      <c r="R98" t="s">
        <v>28</v>
      </c>
      <c r="S98" t="s">
        <v>34</v>
      </c>
      <c r="T98" t="s">
        <v>50</v>
      </c>
      <c r="U98">
        <f t="shared" si="5"/>
        <v>45130</v>
      </c>
      <c r="V98" t="str">
        <f t="shared" si="6"/>
        <v>Excellent</v>
      </c>
      <c r="W98" t="str">
        <f t="shared" si="7"/>
        <v>High</v>
      </c>
      <c r="X98" t="str">
        <f t="shared" si="8"/>
        <v>Senior</v>
      </c>
      <c r="Y98" t="str">
        <f t="shared" si="9"/>
        <v>20-24</v>
      </c>
    </row>
    <row r="99" spans="1:25" x14ac:dyDescent="0.3">
      <c r="A99">
        <v>1098</v>
      </c>
      <c r="B99" t="s">
        <v>88</v>
      </c>
      <c r="C99" t="s">
        <v>21</v>
      </c>
      <c r="D99">
        <v>30</v>
      </c>
      <c r="E99" t="s">
        <v>22</v>
      </c>
      <c r="F99" t="s">
        <v>23</v>
      </c>
      <c r="G99" t="s">
        <v>59</v>
      </c>
      <c r="H99" t="s">
        <v>108</v>
      </c>
      <c r="I99">
        <v>10</v>
      </c>
      <c r="J99">
        <v>81961</v>
      </c>
      <c r="K99">
        <v>4.2</v>
      </c>
      <c r="L99">
        <v>82.4</v>
      </c>
      <c r="M99">
        <v>13</v>
      </c>
      <c r="N99">
        <v>18</v>
      </c>
      <c r="O99">
        <v>2199</v>
      </c>
      <c r="P99" t="s">
        <v>33</v>
      </c>
      <c r="Q99" t="s">
        <v>27</v>
      </c>
      <c r="R99" t="s">
        <v>58</v>
      </c>
      <c r="S99" t="s">
        <v>29</v>
      </c>
      <c r="T99" t="s">
        <v>50</v>
      </c>
      <c r="U99">
        <f t="shared" si="5"/>
        <v>84160</v>
      </c>
      <c r="V99" t="str">
        <f t="shared" si="6"/>
        <v>Needs Improvement</v>
      </c>
      <c r="W99" t="str">
        <f t="shared" si="7"/>
        <v>Normal</v>
      </c>
      <c r="X99" t="str">
        <f t="shared" si="8"/>
        <v>Senior</v>
      </c>
      <c r="Y99" t="str">
        <f t="shared" si="9"/>
        <v>25-34</v>
      </c>
    </row>
    <row r="100" spans="1:25" x14ac:dyDescent="0.3">
      <c r="A100">
        <v>1099</v>
      </c>
      <c r="B100" t="s">
        <v>78</v>
      </c>
      <c r="C100" t="s">
        <v>21</v>
      </c>
      <c r="D100">
        <v>40</v>
      </c>
      <c r="E100" t="s">
        <v>62</v>
      </c>
      <c r="F100" t="s">
        <v>97</v>
      </c>
      <c r="G100" t="s">
        <v>64</v>
      </c>
      <c r="H100" t="s">
        <v>174</v>
      </c>
      <c r="I100">
        <v>0</v>
      </c>
      <c r="J100">
        <v>28875</v>
      </c>
      <c r="K100">
        <v>4</v>
      </c>
      <c r="L100">
        <v>87</v>
      </c>
      <c r="M100">
        <v>2</v>
      </c>
      <c r="N100">
        <v>43</v>
      </c>
      <c r="O100">
        <v>3795</v>
      </c>
      <c r="P100" t="s">
        <v>26</v>
      </c>
      <c r="Q100" t="s">
        <v>27</v>
      </c>
      <c r="R100" t="s">
        <v>58</v>
      </c>
      <c r="S100" t="s">
        <v>34</v>
      </c>
      <c r="T100" t="s">
        <v>30</v>
      </c>
      <c r="U100">
        <f t="shared" si="5"/>
        <v>32670</v>
      </c>
      <c r="V100" t="str">
        <f t="shared" si="6"/>
        <v>Needs Improvement</v>
      </c>
      <c r="W100" t="str">
        <f t="shared" si="7"/>
        <v>Normal</v>
      </c>
      <c r="X100" t="str">
        <f t="shared" si="8"/>
        <v>Junior</v>
      </c>
      <c r="Y100" t="str">
        <f t="shared" si="9"/>
        <v>35-44</v>
      </c>
    </row>
    <row r="101" spans="1:25" x14ac:dyDescent="0.3">
      <c r="A101">
        <v>1100</v>
      </c>
      <c r="B101" t="s">
        <v>148</v>
      </c>
      <c r="C101" t="s">
        <v>37</v>
      </c>
      <c r="D101">
        <v>37</v>
      </c>
      <c r="E101" t="s">
        <v>38</v>
      </c>
      <c r="F101" t="s">
        <v>39</v>
      </c>
      <c r="G101" t="s">
        <v>64</v>
      </c>
      <c r="H101" t="s">
        <v>175</v>
      </c>
      <c r="I101">
        <v>4</v>
      </c>
      <c r="J101">
        <v>62908</v>
      </c>
      <c r="K101">
        <v>4.3</v>
      </c>
      <c r="L101">
        <v>97.4</v>
      </c>
      <c r="M101">
        <v>17</v>
      </c>
      <c r="N101">
        <v>54</v>
      </c>
      <c r="O101">
        <v>3314</v>
      </c>
      <c r="P101" t="s">
        <v>33</v>
      </c>
      <c r="Q101" t="s">
        <v>27</v>
      </c>
      <c r="R101" t="s">
        <v>58</v>
      </c>
      <c r="S101" t="s">
        <v>49</v>
      </c>
      <c r="T101" t="s">
        <v>35</v>
      </c>
      <c r="U101">
        <f t="shared" si="5"/>
        <v>66222</v>
      </c>
      <c r="V101" t="str">
        <f t="shared" si="6"/>
        <v>Excellent</v>
      </c>
      <c r="W101" t="str">
        <f t="shared" si="7"/>
        <v>Normal</v>
      </c>
      <c r="X101" t="str">
        <f t="shared" si="8"/>
        <v>Mid</v>
      </c>
      <c r="Y101" t="str">
        <f t="shared" si="9"/>
        <v>35-44</v>
      </c>
    </row>
    <row r="102" spans="1:25" x14ac:dyDescent="0.3">
      <c r="A102">
        <v>1101</v>
      </c>
      <c r="B102" t="s">
        <v>31</v>
      </c>
      <c r="C102" t="s">
        <v>21</v>
      </c>
      <c r="D102">
        <v>45</v>
      </c>
      <c r="E102" t="s">
        <v>55</v>
      </c>
      <c r="F102" t="s">
        <v>143</v>
      </c>
      <c r="G102" t="s">
        <v>51</v>
      </c>
      <c r="H102" t="s">
        <v>176</v>
      </c>
      <c r="I102">
        <v>1</v>
      </c>
      <c r="J102">
        <v>55593</v>
      </c>
      <c r="K102">
        <v>3.5</v>
      </c>
      <c r="L102">
        <v>82.1</v>
      </c>
      <c r="M102">
        <v>1</v>
      </c>
      <c r="N102">
        <v>11</v>
      </c>
      <c r="O102">
        <v>13609</v>
      </c>
      <c r="P102" t="s">
        <v>53</v>
      </c>
      <c r="Q102" t="s">
        <v>27</v>
      </c>
      <c r="R102" t="s">
        <v>28</v>
      </c>
      <c r="S102" t="s">
        <v>49</v>
      </c>
      <c r="T102" t="s">
        <v>30</v>
      </c>
      <c r="U102">
        <f t="shared" si="5"/>
        <v>69202</v>
      </c>
      <c r="V102" t="str">
        <f t="shared" si="6"/>
        <v>Needs Improvement</v>
      </c>
      <c r="W102" t="str">
        <f t="shared" si="7"/>
        <v>Normal</v>
      </c>
      <c r="X102" t="str">
        <f t="shared" si="8"/>
        <v>Junior</v>
      </c>
      <c r="Y102" t="str">
        <f t="shared" si="9"/>
        <v>45+</v>
      </c>
    </row>
    <row r="103" spans="1:25" x14ac:dyDescent="0.3">
      <c r="A103">
        <v>1102</v>
      </c>
      <c r="B103" t="s">
        <v>88</v>
      </c>
      <c r="C103" t="s">
        <v>21</v>
      </c>
      <c r="D103">
        <v>30</v>
      </c>
      <c r="E103" t="s">
        <v>62</v>
      </c>
      <c r="F103" t="s">
        <v>97</v>
      </c>
      <c r="G103" t="s">
        <v>45</v>
      </c>
      <c r="H103" t="s">
        <v>177</v>
      </c>
      <c r="I103">
        <v>7</v>
      </c>
      <c r="J103">
        <v>36120</v>
      </c>
      <c r="K103">
        <v>4.7</v>
      </c>
      <c r="L103">
        <v>87</v>
      </c>
      <c r="M103">
        <v>23</v>
      </c>
      <c r="N103">
        <v>21</v>
      </c>
      <c r="O103">
        <v>1845</v>
      </c>
      <c r="P103" t="s">
        <v>26</v>
      </c>
      <c r="Q103" t="s">
        <v>48</v>
      </c>
      <c r="R103" t="s">
        <v>70</v>
      </c>
      <c r="S103" t="s">
        <v>34</v>
      </c>
      <c r="T103" t="s">
        <v>50</v>
      </c>
      <c r="U103">
        <f t="shared" si="5"/>
        <v>37965</v>
      </c>
      <c r="V103" t="str">
        <f t="shared" si="6"/>
        <v>Needs Improvement</v>
      </c>
      <c r="W103" t="str">
        <f t="shared" si="7"/>
        <v>High</v>
      </c>
      <c r="X103" t="str">
        <f t="shared" si="8"/>
        <v>Senior</v>
      </c>
      <c r="Y103" t="str">
        <f t="shared" si="9"/>
        <v>25-34</v>
      </c>
    </row>
    <row r="104" spans="1:25" x14ac:dyDescent="0.3">
      <c r="A104">
        <v>1103</v>
      </c>
      <c r="B104" t="s">
        <v>178</v>
      </c>
      <c r="C104" t="s">
        <v>37</v>
      </c>
      <c r="D104">
        <v>32</v>
      </c>
      <c r="E104" t="s">
        <v>38</v>
      </c>
      <c r="F104" t="s">
        <v>44</v>
      </c>
      <c r="G104" t="s">
        <v>45</v>
      </c>
      <c r="H104" t="s">
        <v>179</v>
      </c>
      <c r="I104">
        <v>9</v>
      </c>
      <c r="J104">
        <v>29176</v>
      </c>
      <c r="K104">
        <v>3.7</v>
      </c>
      <c r="L104">
        <v>91.8</v>
      </c>
      <c r="M104">
        <v>4</v>
      </c>
      <c r="N104">
        <v>5</v>
      </c>
      <c r="O104">
        <v>9698</v>
      </c>
      <c r="P104" t="s">
        <v>26</v>
      </c>
      <c r="Q104" t="s">
        <v>27</v>
      </c>
      <c r="R104" t="s">
        <v>28</v>
      </c>
      <c r="S104" t="s">
        <v>34</v>
      </c>
      <c r="T104" t="s">
        <v>50</v>
      </c>
      <c r="U104">
        <f t="shared" si="5"/>
        <v>38874</v>
      </c>
      <c r="V104" t="str">
        <f t="shared" si="6"/>
        <v>Needs Improvement</v>
      </c>
      <c r="W104" t="str">
        <f t="shared" si="7"/>
        <v>Normal</v>
      </c>
      <c r="X104" t="str">
        <f t="shared" si="8"/>
        <v>Senior</v>
      </c>
      <c r="Y104" t="str">
        <f t="shared" si="9"/>
        <v>25-34</v>
      </c>
    </row>
    <row r="105" spans="1:25" x14ac:dyDescent="0.3">
      <c r="A105">
        <v>1104</v>
      </c>
      <c r="B105" t="s">
        <v>68</v>
      </c>
      <c r="C105" t="s">
        <v>21</v>
      </c>
      <c r="D105">
        <v>31</v>
      </c>
      <c r="E105" t="s">
        <v>22</v>
      </c>
      <c r="F105" t="s">
        <v>66</v>
      </c>
      <c r="G105" t="s">
        <v>51</v>
      </c>
      <c r="H105" t="s">
        <v>180</v>
      </c>
      <c r="I105">
        <v>1</v>
      </c>
      <c r="J105">
        <v>33158</v>
      </c>
      <c r="K105">
        <v>2.8</v>
      </c>
      <c r="L105">
        <v>91.6</v>
      </c>
      <c r="M105">
        <v>18</v>
      </c>
      <c r="N105">
        <v>60</v>
      </c>
      <c r="O105">
        <v>12647</v>
      </c>
      <c r="P105" t="s">
        <v>47</v>
      </c>
      <c r="Q105" t="s">
        <v>27</v>
      </c>
      <c r="R105" t="s">
        <v>42</v>
      </c>
      <c r="S105" t="s">
        <v>34</v>
      </c>
      <c r="T105" t="s">
        <v>30</v>
      </c>
      <c r="U105">
        <f t="shared" si="5"/>
        <v>45805</v>
      </c>
      <c r="V105" t="str">
        <f t="shared" si="6"/>
        <v>Needs Improvement</v>
      </c>
      <c r="W105" t="str">
        <f t="shared" si="7"/>
        <v>Normal</v>
      </c>
      <c r="X105" t="str">
        <f t="shared" si="8"/>
        <v>Junior</v>
      </c>
      <c r="Y105" t="str">
        <f t="shared" si="9"/>
        <v>25-34</v>
      </c>
    </row>
    <row r="106" spans="1:25" x14ac:dyDescent="0.3">
      <c r="A106">
        <v>1105</v>
      </c>
      <c r="B106" t="s">
        <v>99</v>
      </c>
      <c r="C106" t="s">
        <v>37</v>
      </c>
      <c r="D106">
        <v>30</v>
      </c>
      <c r="E106" t="s">
        <v>62</v>
      </c>
      <c r="F106" t="s">
        <v>63</v>
      </c>
      <c r="G106" t="s">
        <v>64</v>
      </c>
      <c r="H106" t="s">
        <v>181</v>
      </c>
      <c r="I106">
        <v>0</v>
      </c>
      <c r="J106">
        <v>40163</v>
      </c>
      <c r="K106">
        <v>4.0999999999999996</v>
      </c>
      <c r="L106">
        <v>83.5</v>
      </c>
      <c r="M106">
        <v>20</v>
      </c>
      <c r="N106">
        <v>57</v>
      </c>
      <c r="O106">
        <v>9481</v>
      </c>
      <c r="P106" t="s">
        <v>53</v>
      </c>
      <c r="Q106" t="s">
        <v>48</v>
      </c>
      <c r="R106" t="s">
        <v>58</v>
      </c>
      <c r="S106" t="s">
        <v>34</v>
      </c>
      <c r="T106" t="s">
        <v>30</v>
      </c>
      <c r="U106">
        <f t="shared" si="5"/>
        <v>49644</v>
      </c>
      <c r="V106" t="str">
        <f t="shared" si="6"/>
        <v>Needs Improvement</v>
      </c>
      <c r="W106" t="str">
        <f t="shared" si="7"/>
        <v>Normal</v>
      </c>
      <c r="X106" t="str">
        <f t="shared" si="8"/>
        <v>Junior</v>
      </c>
      <c r="Y106" t="str">
        <f t="shared" si="9"/>
        <v>25-34</v>
      </c>
    </row>
    <row r="107" spans="1:25" x14ac:dyDescent="0.3">
      <c r="A107">
        <v>1106</v>
      </c>
      <c r="B107" t="s">
        <v>68</v>
      </c>
      <c r="C107" t="s">
        <v>37</v>
      </c>
      <c r="D107">
        <v>42</v>
      </c>
      <c r="E107" t="s">
        <v>91</v>
      </c>
      <c r="F107" t="s">
        <v>101</v>
      </c>
      <c r="G107" t="s">
        <v>45</v>
      </c>
      <c r="H107" t="s">
        <v>182</v>
      </c>
      <c r="I107">
        <v>6</v>
      </c>
      <c r="J107">
        <v>35876</v>
      </c>
      <c r="K107">
        <v>3.3</v>
      </c>
      <c r="L107">
        <v>87</v>
      </c>
      <c r="M107">
        <v>18</v>
      </c>
      <c r="N107">
        <v>46</v>
      </c>
      <c r="O107">
        <v>2609</v>
      </c>
      <c r="P107" t="s">
        <v>41</v>
      </c>
      <c r="Q107" t="s">
        <v>27</v>
      </c>
      <c r="R107" t="s">
        <v>28</v>
      </c>
      <c r="S107" t="s">
        <v>34</v>
      </c>
      <c r="T107" t="s">
        <v>50</v>
      </c>
      <c r="U107">
        <f t="shared" si="5"/>
        <v>38485</v>
      </c>
      <c r="V107" t="str">
        <f t="shared" si="6"/>
        <v>Needs Improvement</v>
      </c>
      <c r="W107" t="str">
        <f t="shared" si="7"/>
        <v>Normal</v>
      </c>
      <c r="X107" t="str">
        <f t="shared" si="8"/>
        <v>Mid</v>
      </c>
      <c r="Y107" t="str">
        <f t="shared" si="9"/>
        <v>35-44</v>
      </c>
    </row>
    <row r="108" spans="1:25" x14ac:dyDescent="0.3">
      <c r="A108">
        <v>1107</v>
      </c>
      <c r="B108" t="s">
        <v>83</v>
      </c>
      <c r="C108" t="s">
        <v>21</v>
      </c>
      <c r="D108">
        <v>40</v>
      </c>
      <c r="E108" t="s">
        <v>22</v>
      </c>
      <c r="F108" t="s">
        <v>23</v>
      </c>
      <c r="G108" t="s">
        <v>59</v>
      </c>
      <c r="H108" t="s">
        <v>183</v>
      </c>
      <c r="I108">
        <v>4</v>
      </c>
      <c r="J108">
        <v>34875</v>
      </c>
      <c r="K108">
        <v>2.9</v>
      </c>
      <c r="L108">
        <v>96.1</v>
      </c>
      <c r="M108">
        <v>10</v>
      </c>
      <c r="N108">
        <v>52</v>
      </c>
      <c r="O108">
        <v>13853</v>
      </c>
      <c r="P108" t="s">
        <v>33</v>
      </c>
      <c r="Q108" t="s">
        <v>48</v>
      </c>
      <c r="R108" t="s">
        <v>42</v>
      </c>
      <c r="S108" t="s">
        <v>34</v>
      </c>
      <c r="T108" t="s">
        <v>35</v>
      </c>
      <c r="U108">
        <f t="shared" si="5"/>
        <v>48728</v>
      </c>
      <c r="V108" t="str">
        <f t="shared" si="6"/>
        <v>Excellent</v>
      </c>
      <c r="W108" t="str">
        <f t="shared" si="7"/>
        <v>Normal</v>
      </c>
      <c r="X108" t="str">
        <f t="shared" si="8"/>
        <v>Mid</v>
      </c>
      <c r="Y108" t="str">
        <f t="shared" si="9"/>
        <v>35-44</v>
      </c>
    </row>
    <row r="109" spans="1:25" x14ac:dyDescent="0.3">
      <c r="A109">
        <v>1108</v>
      </c>
      <c r="B109" t="s">
        <v>124</v>
      </c>
      <c r="C109" t="s">
        <v>21</v>
      </c>
      <c r="D109">
        <v>38</v>
      </c>
      <c r="E109" t="s">
        <v>55</v>
      </c>
      <c r="F109" t="s">
        <v>56</v>
      </c>
      <c r="G109" t="s">
        <v>45</v>
      </c>
      <c r="H109" t="s">
        <v>184</v>
      </c>
      <c r="I109">
        <v>6</v>
      </c>
      <c r="J109">
        <v>49805</v>
      </c>
      <c r="K109">
        <v>3.1</v>
      </c>
      <c r="L109">
        <v>95.2</v>
      </c>
      <c r="M109">
        <v>1</v>
      </c>
      <c r="N109">
        <v>33</v>
      </c>
      <c r="O109">
        <v>8839</v>
      </c>
      <c r="P109" t="s">
        <v>53</v>
      </c>
      <c r="Q109" t="s">
        <v>48</v>
      </c>
      <c r="R109" t="s">
        <v>28</v>
      </c>
      <c r="S109" t="s">
        <v>34</v>
      </c>
      <c r="T109" t="s">
        <v>50</v>
      </c>
      <c r="U109">
        <f t="shared" si="5"/>
        <v>58644</v>
      </c>
      <c r="V109" t="str">
        <f t="shared" si="6"/>
        <v>Excellent</v>
      </c>
      <c r="W109" t="str">
        <f t="shared" si="7"/>
        <v>Normal</v>
      </c>
      <c r="X109" t="str">
        <f t="shared" si="8"/>
        <v>Mid</v>
      </c>
      <c r="Y109" t="str">
        <f t="shared" si="9"/>
        <v>35-44</v>
      </c>
    </row>
    <row r="110" spans="1:25" x14ac:dyDescent="0.3">
      <c r="A110">
        <v>1109</v>
      </c>
      <c r="B110" t="s">
        <v>73</v>
      </c>
      <c r="C110" t="s">
        <v>37</v>
      </c>
      <c r="D110">
        <v>28</v>
      </c>
      <c r="E110" t="s">
        <v>55</v>
      </c>
      <c r="F110" t="s">
        <v>56</v>
      </c>
      <c r="G110" t="s">
        <v>59</v>
      </c>
      <c r="H110" t="s">
        <v>185</v>
      </c>
      <c r="I110">
        <v>1</v>
      </c>
      <c r="J110">
        <v>36311</v>
      </c>
      <c r="K110">
        <v>4.5</v>
      </c>
      <c r="L110">
        <v>83.7</v>
      </c>
      <c r="M110">
        <v>14</v>
      </c>
      <c r="N110">
        <v>41</v>
      </c>
      <c r="O110">
        <v>11522</v>
      </c>
      <c r="P110" t="s">
        <v>26</v>
      </c>
      <c r="Q110" t="s">
        <v>27</v>
      </c>
      <c r="R110" t="s">
        <v>70</v>
      </c>
      <c r="S110" t="s">
        <v>34</v>
      </c>
      <c r="T110" t="s">
        <v>30</v>
      </c>
      <c r="U110">
        <f t="shared" si="5"/>
        <v>47833</v>
      </c>
      <c r="V110" t="str">
        <f t="shared" si="6"/>
        <v>Needs Improvement</v>
      </c>
      <c r="W110" t="str">
        <f t="shared" si="7"/>
        <v>Normal</v>
      </c>
      <c r="X110" t="str">
        <f t="shared" si="8"/>
        <v>Junior</v>
      </c>
      <c r="Y110" t="str">
        <f t="shared" si="9"/>
        <v>25-34</v>
      </c>
    </row>
    <row r="111" spans="1:25" x14ac:dyDescent="0.3">
      <c r="A111">
        <v>1110</v>
      </c>
      <c r="B111" t="s">
        <v>148</v>
      </c>
      <c r="C111" t="s">
        <v>37</v>
      </c>
      <c r="D111">
        <v>33</v>
      </c>
      <c r="E111" t="s">
        <v>38</v>
      </c>
      <c r="F111" t="s">
        <v>44</v>
      </c>
      <c r="G111" t="s">
        <v>51</v>
      </c>
      <c r="H111" t="s">
        <v>186</v>
      </c>
      <c r="I111">
        <v>7</v>
      </c>
      <c r="J111">
        <v>92901</v>
      </c>
      <c r="K111">
        <v>3.1</v>
      </c>
      <c r="L111">
        <v>84.3</v>
      </c>
      <c r="M111">
        <v>20</v>
      </c>
      <c r="N111">
        <v>53</v>
      </c>
      <c r="O111">
        <v>3246</v>
      </c>
      <c r="P111" t="s">
        <v>53</v>
      </c>
      <c r="Q111" t="s">
        <v>27</v>
      </c>
      <c r="R111" t="s">
        <v>28</v>
      </c>
      <c r="S111" t="s">
        <v>29</v>
      </c>
      <c r="T111" t="s">
        <v>50</v>
      </c>
      <c r="U111">
        <f t="shared" si="5"/>
        <v>96147</v>
      </c>
      <c r="V111" t="str">
        <f t="shared" si="6"/>
        <v>Needs Improvement</v>
      </c>
      <c r="W111" t="str">
        <f t="shared" si="7"/>
        <v>Normal</v>
      </c>
      <c r="X111" t="str">
        <f t="shared" si="8"/>
        <v>Senior</v>
      </c>
      <c r="Y111" t="str">
        <f t="shared" si="9"/>
        <v>25-34</v>
      </c>
    </row>
    <row r="112" spans="1:25" x14ac:dyDescent="0.3">
      <c r="A112">
        <v>1111</v>
      </c>
      <c r="B112" t="s">
        <v>71</v>
      </c>
      <c r="C112" t="s">
        <v>21</v>
      </c>
      <c r="D112">
        <v>28</v>
      </c>
      <c r="E112" t="s">
        <v>91</v>
      </c>
      <c r="F112" t="s">
        <v>101</v>
      </c>
      <c r="G112" t="s">
        <v>59</v>
      </c>
      <c r="H112" t="s">
        <v>187</v>
      </c>
      <c r="I112">
        <v>3</v>
      </c>
      <c r="J112">
        <v>34880</v>
      </c>
      <c r="K112">
        <v>4.5999999999999996</v>
      </c>
      <c r="L112">
        <v>97</v>
      </c>
      <c r="M112">
        <v>7</v>
      </c>
      <c r="N112">
        <v>30</v>
      </c>
      <c r="O112">
        <v>4468</v>
      </c>
      <c r="P112" t="s">
        <v>41</v>
      </c>
      <c r="Q112" t="s">
        <v>27</v>
      </c>
      <c r="R112" t="s">
        <v>70</v>
      </c>
      <c r="S112" t="s">
        <v>34</v>
      </c>
      <c r="T112" t="s">
        <v>35</v>
      </c>
      <c r="U112">
        <f t="shared" si="5"/>
        <v>39348</v>
      </c>
      <c r="V112" t="str">
        <f t="shared" si="6"/>
        <v>Excellent</v>
      </c>
      <c r="W112" t="str">
        <f t="shared" si="7"/>
        <v>Normal</v>
      </c>
      <c r="X112" t="str">
        <f t="shared" si="8"/>
        <v>Mid</v>
      </c>
      <c r="Y112" t="str">
        <f t="shared" si="9"/>
        <v>25-34</v>
      </c>
    </row>
    <row r="113" spans="1:25" x14ac:dyDescent="0.3">
      <c r="A113">
        <v>1112</v>
      </c>
      <c r="B113" t="s">
        <v>83</v>
      </c>
      <c r="C113" t="s">
        <v>37</v>
      </c>
      <c r="D113">
        <v>25</v>
      </c>
      <c r="E113" t="s">
        <v>22</v>
      </c>
      <c r="F113" t="s">
        <v>66</v>
      </c>
      <c r="G113" t="s">
        <v>51</v>
      </c>
      <c r="H113" t="s">
        <v>188</v>
      </c>
      <c r="I113">
        <v>7</v>
      </c>
      <c r="J113">
        <v>74173</v>
      </c>
      <c r="K113">
        <v>2.8</v>
      </c>
      <c r="L113">
        <v>86.4</v>
      </c>
      <c r="M113">
        <v>13</v>
      </c>
      <c r="N113">
        <v>23</v>
      </c>
      <c r="O113">
        <v>2209</v>
      </c>
      <c r="P113" t="s">
        <v>53</v>
      </c>
      <c r="Q113" t="s">
        <v>48</v>
      </c>
      <c r="R113" t="s">
        <v>42</v>
      </c>
      <c r="S113" t="s">
        <v>29</v>
      </c>
      <c r="T113" t="s">
        <v>50</v>
      </c>
      <c r="U113">
        <f t="shared" si="5"/>
        <v>76382</v>
      </c>
      <c r="V113" t="str">
        <f t="shared" si="6"/>
        <v>Needs Improvement</v>
      </c>
      <c r="W113" t="str">
        <f t="shared" si="7"/>
        <v>Normal</v>
      </c>
      <c r="X113" t="str">
        <f t="shared" si="8"/>
        <v>Senior</v>
      </c>
      <c r="Y113" t="str">
        <f t="shared" si="9"/>
        <v>25-34</v>
      </c>
    </row>
    <row r="114" spans="1:25" x14ac:dyDescent="0.3">
      <c r="A114">
        <v>1113</v>
      </c>
      <c r="B114" t="s">
        <v>54</v>
      </c>
      <c r="C114" t="s">
        <v>21</v>
      </c>
      <c r="D114">
        <v>38</v>
      </c>
      <c r="E114" t="s">
        <v>62</v>
      </c>
      <c r="F114" t="s">
        <v>63</v>
      </c>
      <c r="G114" t="s">
        <v>24</v>
      </c>
      <c r="H114" t="s">
        <v>189</v>
      </c>
      <c r="I114">
        <v>10</v>
      </c>
      <c r="J114">
        <v>64165</v>
      </c>
      <c r="K114">
        <v>3.8</v>
      </c>
      <c r="L114">
        <v>92.3</v>
      </c>
      <c r="M114">
        <v>5</v>
      </c>
      <c r="N114">
        <v>60</v>
      </c>
      <c r="O114">
        <v>5651</v>
      </c>
      <c r="P114" t="s">
        <v>53</v>
      </c>
      <c r="Q114" t="s">
        <v>27</v>
      </c>
      <c r="R114" t="s">
        <v>28</v>
      </c>
      <c r="S114" t="s">
        <v>49</v>
      </c>
      <c r="T114" t="s">
        <v>50</v>
      </c>
      <c r="U114">
        <f t="shared" si="5"/>
        <v>69816</v>
      </c>
      <c r="V114" t="str">
        <f t="shared" si="6"/>
        <v>Needs Improvement</v>
      </c>
      <c r="W114" t="str">
        <f t="shared" si="7"/>
        <v>Normal</v>
      </c>
      <c r="X114" t="str">
        <f t="shared" si="8"/>
        <v>Senior</v>
      </c>
      <c r="Y114" t="str">
        <f t="shared" si="9"/>
        <v>35-44</v>
      </c>
    </row>
    <row r="115" spans="1:25" x14ac:dyDescent="0.3">
      <c r="A115">
        <v>1114</v>
      </c>
      <c r="B115" t="s">
        <v>148</v>
      </c>
      <c r="C115" t="s">
        <v>21</v>
      </c>
      <c r="D115">
        <v>22</v>
      </c>
      <c r="E115" t="s">
        <v>38</v>
      </c>
      <c r="F115" t="s">
        <v>39</v>
      </c>
      <c r="G115" t="s">
        <v>64</v>
      </c>
      <c r="H115" t="s">
        <v>190</v>
      </c>
      <c r="I115">
        <v>7</v>
      </c>
      <c r="J115">
        <v>70177</v>
      </c>
      <c r="K115">
        <v>3.9</v>
      </c>
      <c r="L115">
        <v>91.8</v>
      </c>
      <c r="M115">
        <v>0</v>
      </c>
      <c r="N115">
        <v>43</v>
      </c>
      <c r="O115">
        <v>7839</v>
      </c>
      <c r="P115" t="s">
        <v>26</v>
      </c>
      <c r="Q115" t="s">
        <v>27</v>
      </c>
      <c r="R115" t="s">
        <v>28</v>
      </c>
      <c r="S115" t="s">
        <v>29</v>
      </c>
      <c r="T115" t="s">
        <v>50</v>
      </c>
      <c r="U115">
        <f t="shared" si="5"/>
        <v>78016</v>
      </c>
      <c r="V115" t="str">
        <f t="shared" si="6"/>
        <v>Needs Improvement</v>
      </c>
      <c r="W115" t="str">
        <f t="shared" si="7"/>
        <v>Normal</v>
      </c>
      <c r="X115" t="str">
        <f t="shared" si="8"/>
        <v>Senior</v>
      </c>
      <c r="Y115" t="str">
        <f t="shared" si="9"/>
        <v>20-24</v>
      </c>
    </row>
    <row r="116" spans="1:25" x14ac:dyDescent="0.3">
      <c r="A116">
        <v>1115</v>
      </c>
      <c r="B116" t="s">
        <v>43</v>
      </c>
      <c r="C116" t="s">
        <v>21</v>
      </c>
      <c r="D116">
        <v>33</v>
      </c>
      <c r="E116" t="s">
        <v>62</v>
      </c>
      <c r="F116" t="s">
        <v>97</v>
      </c>
      <c r="G116" t="s">
        <v>51</v>
      </c>
      <c r="H116" t="s">
        <v>191</v>
      </c>
      <c r="I116">
        <v>2</v>
      </c>
      <c r="J116">
        <v>26240</v>
      </c>
      <c r="K116">
        <v>3.8</v>
      </c>
      <c r="L116">
        <v>88.8</v>
      </c>
      <c r="M116">
        <v>9</v>
      </c>
      <c r="N116">
        <v>57</v>
      </c>
      <c r="O116">
        <v>8189</v>
      </c>
      <c r="P116" t="s">
        <v>41</v>
      </c>
      <c r="Q116" t="s">
        <v>48</v>
      </c>
      <c r="R116" t="s">
        <v>28</v>
      </c>
      <c r="S116" t="s">
        <v>34</v>
      </c>
      <c r="T116" t="s">
        <v>30</v>
      </c>
      <c r="U116">
        <f t="shared" si="5"/>
        <v>34429</v>
      </c>
      <c r="V116" t="str">
        <f t="shared" si="6"/>
        <v>Needs Improvement</v>
      </c>
      <c r="W116" t="str">
        <f t="shared" si="7"/>
        <v>Normal</v>
      </c>
      <c r="X116" t="str">
        <f t="shared" si="8"/>
        <v>Junior</v>
      </c>
      <c r="Y116" t="str">
        <f t="shared" si="9"/>
        <v>25-34</v>
      </c>
    </row>
    <row r="117" spans="1:25" x14ac:dyDescent="0.3">
      <c r="A117">
        <v>1116</v>
      </c>
      <c r="B117" t="s">
        <v>75</v>
      </c>
      <c r="C117" t="s">
        <v>21</v>
      </c>
      <c r="D117">
        <v>28</v>
      </c>
      <c r="E117" t="s">
        <v>91</v>
      </c>
      <c r="F117" t="s">
        <v>101</v>
      </c>
      <c r="G117" t="s">
        <v>64</v>
      </c>
      <c r="H117" t="s">
        <v>192</v>
      </c>
      <c r="I117">
        <v>5</v>
      </c>
      <c r="J117">
        <v>47360</v>
      </c>
      <c r="K117">
        <v>2.9</v>
      </c>
      <c r="L117">
        <v>87.4</v>
      </c>
      <c r="M117">
        <v>11</v>
      </c>
      <c r="N117">
        <v>23</v>
      </c>
      <c r="O117">
        <v>14765</v>
      </c>
      <c r="P117" t="s">
        <v>53</v>
      </c>
      <c r="Q117" t="s">
        <v>48</v>
      </c>
      <c r="R117" t="s">
        <v>42</v>
      </c>
      <c r="S117" t="s">
        <v>34</v>
      </c>
      <c r="T117" t="s">
        <v>35</v>
      </c>
      <c r="U117">
        <f t="shared" si="5"/>
        <v>62125</v>
      </c>
      <c r="V117" t="str">
        <f t="shared" si="6"/>
        <v>Needs Improvement</v>
      </c>
      <c r="W117" t="str">
        <f t="shared" si="7"/>
        <v>Normal</v>
      </c>
      <c r="X117" t="str">
        <f t="shared" si="8"/>
        <v>Mid</v>
      </c>
      <c r="Y117" t="str">
        <f t="shared" si="9"/>
        <v>25-34</v>
      </c>
    </row>
    <row r="118" spans="1:25" x14ac:dyDescent="0.3">
      <c r="A118">
        <v>1117</v>
      </c>
      <c r="B118" t="s">
        <v>31</v>
      </c>
      <c r="C118" t="s">
        <v>37</v>
      </c>
      <c r="D118">
        <v>41</v>
      </c>
      <c r="E118" t="s">
        <v>55</v>
      </c>
      <c r="F118" t="s">
        <v>56</v>
      </c>
      <c r="G118" t="s">
        <v>51</v>
      </c>
      <c r="H118" t="s">
        <v>193</v>
      </c>
      <c r="I118">
        <v>10</v>
      </c>
      <c r="J118">
        <v>33970</v>
      </c>
      <c r="K118">
        <v>4.5</v>
      </c>
      <c r="L118">
        <v>91.9</v>
      </c>
      <c r="M118">
        <v>6</v>
      </c>
      <c r="N118">
        <v>23</v>
      </c>
      <c r="O118">
        <v>11012</v>
      </c>
      <c r="P118" t="s">
        <v>47</v>
      </c>
      <c r="Q118" t="s">
        <v>27</v>
      </c>
      <c r="R118" t="s">
        <v>70</v>
      </c>
      <c r="S118" t="s">
        <v>34</v>
      </c>
      <c r="T118" t="s">
        <v>50</v>
      </c>
      <c r="U118">
        <f t="shared" si="5"/>
        <v>44982</v>
      </c>
      <c r="V118" t="str">
        <f t="shared" si="6"/>
        <v>Needs Improvement</v>
      </c>
      <c r="W118" t="str">
        <f t="shared" si="7"/>
        <v>Normal</v>
      </c>
      <c r="X118" t="str">
        <f t="shared" si="8"/>
        <v>Senior</v>
      </c>
      <c r="Y118" t="str">
        <f t="shared" si="9"/>
        <v>35-44</v>
      </c>
    </row>
    <row r="119" spans="1:25" x14ac:dyDescent="0.3">
      <c r="A119">
        <v>1118</v>
      </c>
      <c r="B119" t="s">
        <v>36</v>
      </c>
      <c r="C119" t="s">
        <v>37</v>
      </c>
      <c r="D119">
        <v>38</v>
      </c>
      <c r="E119" t="s">
        <v>91</v>
      </c>
      <c r="F119" t="s">
        <v>101</v>
      </c>
      <c r="G119" t="s">
        <v>45</v>
      </c>
      <c r="H119" t="s">
        <v>194</v>
      </c>
      <c r="I119">
        <v>0</v>
      </c>
      <c r="J119">
        <v>68512</v>
      </c>
      <c r="K119">
        <v>4.9000000000000004</v>
      </c>
      <c r="L119">
        <v>85</v>
      </c>
      <c r="M119">
        <v>16</v>
      </c>
      <c r="N119">
        <v>52</v>
      </c>
      <c r="O119">
        <v>2499</v>
      </c>
      <c r="P119" t="s">
        <v>53</v>
      </c>
      <c r="Q119" t="s">
        <v>27</v>
      </c>
      <c r="R119" t="s">
        <v>70</v>
      </c>
      <c r="S119" t="s">
        <v>49</v>
      </c>
      <c r="T119" t="s">
        <v>30</v>
      </c>
      <c r="U119">
        <f t="shared" si="5"/>
        <v>71011</v>
      </c>
      <c r="V119" t="str">
        <f t="shared" si="6"/>
        <v>Needs Improvement</v>
      </c>
      <c r="W119" t="str">
        <f t="shared" si="7"/>
        <v>Normal</v>
      </c>
      <c r="X119" t="str">
        <f t="shared" si="8"/>
        <v>Junior</v>
      </c>
      <c r="Y119" t="str">
        <f t="shared" si="9"/>
        <v>35-44</v>
      </c>
    </row>
    <row r="120" spans="1:25" x14ac:dyDescent="0.3">
      <c r="A120">
        <v>1119</v>
      </c>
      <c r="B120" t="s">
        <v>178</v>
      </c>
      <c r="C120" t="s">
        <v>37</v>
      </c>
      <c r="D120">
        <v>29</v>
      </c>
      <c r="E120" t="s">
        <v>38</v>
      </c>
      <c r="F120" t="s">
        <v>44</v>
      </c>
      <c r="G120" t="s">
        <v>45</v>
      </c>
      <c r="H120" t="s">
        <v>142</v>
      </c>
      <c r="I120">
        <v>2</v>
      </c>
      <c r="J120">
        <v>31733</v>
      </c>
      <c r="K120">
        <v>3.1</v>
      </c>
      <c r="L120">
        <v>90.3</v>
      </c>
      <c r="M120">
        <v>14</v>
      </c>
      <c r="N120">
        <v>40</v>
      </c>
      <c r="O120">
        <v>13482</v>
      </c>
      <c r="P120" t="s">
        <v>26</v>
      </c>
      <c r="Q120" t="s">
        <v>48</v>
      </c>
      <c r="R120" t="s">
        <v>28</v>
      </c>
      <c r="S120" t="s">
        <v>34</v>
      </c>
      <c r="T120" t="s">
        <v>30</v>
      </c>
      <c r="U120">
        <f t="shared" si="5"/>
        <v>45215</v>
      </c>
      <c r="V120" t="str">
        <f t="shared" si="6"/>
        <v>Needs Improvement</v>
      </c>
      <c r="W120" t="str">
        <f t="shared" si="7"/>
        <v>Normal</v>
      </c>
      <c r="X120" t="str">
        <f t="shared" si="8"/>
        <v>Junior</v>
      </c>
      <c r="Y120" t="str">
        <f t="shared" si="9"/>
        <v>25-34</v>
      </c>
    </row>
    <row r="121" spans="1:25" x14ac:dyDescent="0.3">
      <c r="A121">
        <v>1120</v>
      </c>
      <c r="B121" t="s">
        <v>85</v>
      </c>
      <c r="C121" t="s">
        <v>37</v>
      </c>
      <c r="D121">
        <v>27</v>
      </c>
      <c r="E121" t="s">
        <v>55</v>
      </c>
      <c r="F121" t="s">
        <v>143</v>
      </c>
      <c r="G121" t="s">
        <v>59</v>
      </c>
      <c r="H121" t="s">
        <v>195</v>
      </c>
      <c r="I121">
        <v>9</v>
      </c>
      <c r="J121">
        <v>78787</v>
      </c>
      <c r="K121">
        <v>4.7</v>
      </c>
      <c r="L121">
        <v>91.7</v>
      </c>
      <c r="M121">
        <v>6</v>
      </c>
      <c r="N121">
        <v>46</v>
      </c>
      <c r="O121">
        <v>4053</v>
      </c>
      <c r="P121" t="s">
        <v>33</v>
      </c>
      <c r="Q121" t="s">
        <v>27</v>
      </c>
      <c r="R121" t="s">
        <v>70</v>
      </c>
      <c r="S121" t="s">
        <v>29</v>
      </c>
      <c r="T121" t="s">
        <v>50</v>
      </c>
      <c r="U121">
        <f t="shared" si="5"/>
        <v>82840</v>
      </c>
      <c r="V121" t="str">
        <f t="shared" si="6"/>
        <v>Needs Improvement</v>
      </c>
      <c r="W121" t="str">
        <f t="shared" si="7"/>
        <v>Normal</v>
      </c>
      <c r="X121" t="str">
        <f t="shared" si="8"/>
        <v>Senior</v>
      </c>
      <c r="Y121" t="str">
        <f t="shared" si="9"/>
        <v>25-34</v>
      </c>
    </row>
    <row r="122" spans="1:25" x14ac:dyDescent="0.3">
      <c r="A122">
        <v>1121</v>
      </c>
      <c r="B122" t="s">
        <v>124</v>
      </c>
      <c r="C122" t="s">
        <v>37</v>
      </c>
      <c r="D122">
        <v>41</v>
      </c>
      <c r="E122" t="s">
        <v>62</v>
      </c>
      <c r="F122" t="s">
        <v>97</v>
      </c>
      <c r="G122" t="s">
        <v>24</v>
      </c>
      <c r="H122" t="s">
        <v>196</v>
      </c>
      <c r="I122">
        <v>0</v>
      </c>
      <c r="J122">
        <v>82364</v>
      </c>
      <c r="K122">
        <v>4.0999999999999996</v>
      </c>
      <c r="L122">
        <v>90.4</v>
      </c>
      <c r="M122">
        <v>11</v>
      </c>
      <c r="N122">
        <v>10</v>
      </c>
      <c r="O122">
        <v>14554</v>
      </c>
      <c r="P122" t="s">
        <v>47</v>
      </c>
      <c r="Q122" t="s">
        <v>27</v>
      </c>
      <c r="R122" t="s">
        <v>58</v>
      </c>
      <c r="S122" t="s">
        <v>29</v>
      </c>
      <c r="T122" t="s">
        <v>30</v>
      </c>
      <c r="U122">
        <f t="shared" si="5"/>
        <v>96918</v>
      </c>
      <c r="V122" t="str">
        <f t="shared" si="6"/>
        <v>Needs Improvement</v>
      </c>
      <c r="W122" t="str">
        <f t="shared" si="7"/>
        <v>Normal</v>
      </c>
      <c r="X122" t="str">
        <f t="shared" si="8"/>
        <v>Junior</v>
      </c>
      <c r="Y122" t="str">
        <f t="shared" si="9"/>
        <v>35-44</v>
      </c>
    </row>
    <row r="123" spans="1:25" x14ac:dyDescent="0.3">
      <c r="A123">
        <v>1122</v>
      </c>
      <c r="B123" t="s">
        <v>36</v>
      </c>
      <c r="C123" t="s">
        <v>21</v>
      </c>
      <c r="D123">
        <v>31</v>
      </c>
      <c r="E123" t="s">
        <v>38</v>
      </c>
      <c r="F123" t="s">
        <v>39</v>
      </c>
      <c r="G123" t="s">
        <v>59</v>
      </c>
      <c r="H123" t="s">
        <v>197</v>
      </c>
      <c r="I123">
        <v>9</v>
      </c>
      <c r="J123">
        <v>31057</v>
      </c>
      <c r="K123">
        <v>3.7</v>
      </c>
      <c r="L123">
        <v>83.9</v>
      </c>
      <c r="M123">
        <v>8</v>
      </c>
      <c r="N123">
        <v>23</v>
      </c>
      <c r="O123">
        <v>4329</v>
      </c>
      <c r="P123" t="s">
        <v>53</v>
      </c>
      <c r="Q123" t="s">
        <v>27</v>
      </c>
      <c r="R123" t="s">
        <v>28</v>
      </c>
      <c r="S123" t="s">
        <v>34</v>
      </c>
      <c r="T123" t="s">
        <v>50</v>
      </c>
      <c r="U123">
        <f t="shared" si="5"/>
        <v>35386</v>
      </c>
      <c r="V123" t="str">
        <f t="shared" si="6"/>
        <v>Needs Improvement</v>
      </c>
      <c r="W123" t="str">
        <f t="shared" si="7"/>
        <v>Normal</v>
      </c>
      <c r="X123" t="str">
        <f t="shared" si="8"/>
        <v>Senior</v>
      </c>
      <c r="Y123" t="str">
        <f t="shared" si="9"/>
        <v>25-34</v>
      </c>
    </row>
    <row r="124" spans="1:25" x14ac:dyDescent="0.3">
      <c r="A124">
        <v>1123</v>
      </c>
      <c r="B124" t="s">
        <v>71</v>
      </c>
      <c r="C124" t="s">
        <v>37</v>
      </c>
      <c r="D124">
        <v>31</v>
      </c>
      <c r="E124" t="s">
        <v>91</v>
      </c>
      <c r="F124" t="s">
        <v>101</v>
      </c>
      <c r="G124" t="s">
        <v>59</v>
      </c>
      <c r="H124" t="s">
        <v>198</v>
      </c>
      <c r="I124">
        <v>3</v>
      </c>
      <c r="J124">
        <v>38792</v>
      </c>
      <c r="K124">
        <v>3.7</v>
      </c>
      <c r="L124">
        <v>82.4</v>
      </c>
      <c r="M124">
        <v>21</v>
      </c>
      <c r="N124">
        <v>10</v>
      </c>
      <c r="O124">
        <v>1576</v>
      </c>
      <c r="P124" t="s">
        <v>33</v>
      </c>
      <c r="Q124" t="s">
        <v>27</v>
      </c>
      <c r="R124" t="s">
        <v>28</v>
      </c>
      <c r="S124" t="s">
        <v>34</v>
      </c>
      <c r="T124" t="s">
        <v>35</v>
      </c>
      <c r="U124">
        <f t="shared" si="5"/>
        <v>40368</v>
      </c>
      <c r="V124" t="str">
        <f t="shared" si="6"/>
        <v>Needs Improvement</v>
      </c>
      <c r="W124" t="str">
        <f t="shared" si="7"/>
        <v>High</v>
      </c>
      <c r="X124" t="str">
        <f t="shared" si="8"/>
        <v>Mid</v>
      </c>
      <c r="Y124" t="str">
        <f t="shared" si="9"/>
        <v>25-34</v>
      </c>
    </row>
    <row r="125" spans="1:25" x14ac:dyDescent="0.3">
      <c r="A125">
        <v>1124</v>
      </c>
      <c r="B125" t="s">
        <v>148</v>
      </c>
      <c r="C125" t="s">
        <v>37</v>
      </c>
      <c r="D125">
        <v>23</v>
      </c>
      <c r="E125" t="s">
        <v>91</v>
      </c>
      <c r="F125" t="s">
        <v>92</v>
      </c>
      <c r="G125" t="s">
        <v>24</v>
      </c>
      <c r="H125" t="s">
        <v>199</v>
      </c>
      <c r="I125">
        <v>5</v>
      </c>
      <c r="J125">
        <v>41877</v>
      </c>
      <c r="K125">
        <v>4.4000000000000004</v>
      </c>
      <c r="L125">
        <v>83.4</v>
      </c>
      <c r="M125">
        <v>23</v>
      </c>
      <c r="N125">
        <v>54</v>
      </c>
      <c r="O125">
        <v>13582</v>
      </c>
      <c r="P125" t="s">
        <v>53</v>
      </c>
      <c r="Q125" t="s">
        <v>27</v>
      </c>
      <c r="R125" t="s">
        <v>58</v>
      </c>
      <c r="S125" t="s">
        <v>34</v>
      </c>
      <c r="T125" t="s">
        <v>35</v>
      </c>
      <c r="U125">
        <f t="shared" si="5"/>
        <v>55459</v>
      </c>
      <c r="V125" t="str">
        <f t="shared" si="6"/>
        <v>Needs Improvement</v>
      </c>
      <c r="W125" t="str">
        <f t="shared" si="7"/>
        <v>High</v>
      </c>
      <c r="X125" t="str">
        <f t="shared" si="8"/>
        <v>Mid</v>
      </c>
      <c r="Y125" t="str">
        <f t="shared" si="9"/>
        <v>20-24</v>
      </c>
    </row>
    <row r="126" spans="1:25" x14ac:dyDescent="0.3">
      <c r="A126">
        <v>1125</v>
      </c>
      <c r="B126" t="s">
        <v>88</v>
      </c>
      <c r="C126" t="s">
        <v>37</v>
      </c>
      <c r="D126">
        <v>34</v>
      </c>
      <c r="E126" t="s">
        <v>38</v>
      </c>
      <c r="F126" t="s">
        <v>39</v>
      </c>
      <c r="G126" t="s">
        <v>51</v>
      </c>
      <c r="H126" t="s">
        <v>200</v>
      </c>
      <c r="I126">
        <v>4</v>
      </c>
      <c r="J126">
        <v>68515</v>
      </c>
      <c r="K126">
        <v>4.3</v>
      </c>
      <c r="L126">
        <v>91.4</v>
      </c>
      <c r="M126">
        <v>8</v>
      </c>
      <c r="N126">
        <v>23</v>
      </c>
      <c r="O126">
        <v>9294</v>
      </c>
      <c r="P126" t="s">
        <v>53</v>
      </c>
      <c r="Q126" t="s">
        <v>27</v>
      </c>
      <c r="R126" t="s">
        <v>58</v>
      </c>
      <c r="S126" t="s">
        <v>49</v>
      </c>
      <c r="T126" t="s">
        <v>35</v>
      </c>
      <c r="U126">
        <f t="shared" si="5"/>
        <v>77809</v>
      </c>
      <c r="V126" t="str">
        <f t="shared" si="6"/>
        <v>Needs Improvement</v>
      </c>
      <c r="W126" t="str">
        <f t="shared" si="7"/>
        <v>Normal</v>
      </c>
      <c r="X126" t="str">
        <f t="shared" si="8"/>
        <v>Mid</v>
      </c>
      <c r="Y126" t="str">
        <f t="shared" si="9"/>
        <v>25-34</v>
      </c>
    </row>
    <row r="127" spans="1:25" x14ac:dyDescent="0.3">
      <c r="A127">
        <v>1126</v>
      </c>
      <c r="B127" t="s">
        <v>111</v>
      </c>
      <c r="C127" t="s">
        <v>37</v>
      </c>
      <c r="D127">
        <v>23</v>
      </c>
      <c r="E127" t="s">
        <v>62</v>
      </c>
      <c r="F127" t="s">
        <v>97</v>
      </c>
      <c r="G127" t="s">
        <v>45</v>
      </c>
      <c r="H127" t="s">
        <v>201</v>
      </c>
      <c r="I127">
        <v>0</v>
      </c>
      <c r="J127">
        <v>59054</v>
      </c>
      <c r="K127">
        <v>4</v>
      </c>
      <c r="L127">
        <v>91.4</v>
      </c>
      <c r="M127">
        <v>23</v>
      </c>
      <c r="N127">
        <v>29</v>
      </c>
      <c r="O127">
        <v>10051</v>
      </c>
      <c r="P127" t="s">
        <v>47</v>
      </c>
      <c r="Q127" t="s">
        <v>48</v>
      </c>
      <c r="R127" t="s">
        <v>58</v>
      </c>
      <c r="S127" t="s">
        <v>49</v>
      </c>
      <c r="T127" t="s">
        <v>30</v>
      </c>
      <c r="U127">
        <f t="shared" si="5"/>
        <v>69105</v>
      </c>
      <c r="V127" t="str">
        <f t="shared" si="6"/>
        <v>Needs Improvement</v>
      </c>
      <c r="W127" t="str">
        <f t="shared" si="7"/>
        <v>High</v>
      </c>
      <c r="X127" t="str">
        <f t="shared" si="8"/>
        <v>Junior</v>
      </c>
      <c r="Y127" t="str">
        <f t="shared" si="9"/>
        <v>20-24</v>
      </c>
    </row>
    <row r="128" spans="1:25" x14ac:dyDescent="0.3">
      <c r="A128">
        <v>1127</v>
      </c>
      <c r="B128" t="s">
        <v>73</v>
      </c>
      <c r="C128" t="s">
        <v>37</v>
      </c>
      <c r="D128">
        <v>25</v>
      </c>
      <c r="E128" t="s">
        <v>38</v>
      </c>
      <c r="F128" t="s">
        <v>39</v>
      </c>
      <c r="G128" t="s">
        <v>24</v>
      </c>
      <c r="H128" t="s">
        <v>202</v>
      </c>
      <c r="I128">
        <v>3</v>
      </c>
      <c r="J128">
        <v>29298</v>
      </c>
      <c r="K128">
        <v>2.6</v>
      </c>
      <c r="L128">
        <v>88.1</v>
      </c>
      <c r="M128">
        <v>7</v>
      </c>
      <c r="N128">
        <v>45</v>
      </c>
      <c r="O128">
        <v>10356</v>
      </c>
      <c r="P128" t="s">
        <v>26</v>
      </c>
      <c r="Q128" t="s">
        <v>48</v>
      </c>
      <c r="R128" t="s">
        <v>42</v>
      </c>
      <c r="S128" t="s">
        <v>34</v>
      </c>
      <c r="T128" t="s">
        <v>35</v>
      </c>
      <c r="U128">
        <f t="shared" si="5"/>
        <v>39654</v>
      </c>
      <c r="V128" t="str">
        <f t="shared" si="6"/>
        <v>Needs Improvement</v>
      </c>
      <c r="W128" t="str">
        <f t="shared" si="7"/>
        <v>Normal</v>
      </c>
      <c r="X128" t="str">
        <f t="shared" si="8"/>
        <v>Mid</v>
      </c>
      <c r="Y128" t="str">
        <f t="shared" si="9"/>
        <v>25-34</v>
      </c>
    </row>
    <row r="129" spans="1:25" x14ac:dyDescent="0.3">
      <c r="A129">
        <v>1128</v>
      </c>
      <c r="B129" t="s">
        <v>61</v>
      </c>
      <c r="C129" t="s">
        <v>37</v>
      </c>
      <c r="D129">
        <v>45</v>
      </c>
      <c r="E129" t="s">
        <v>62</v>
      </c>
      <c r="F129" t="s">
        <v>63</v>
      </c>
      <c r="G129" t="s">
        <v>59</v>
      </c>
      <c r="H129" t="s">
        <v>203</v>
      </c>
      <c r="I129">
        <v>3</v>
      </c>
      <c r="J129">
        <v>86024</v>
      </c>
      <c r="K129">
        <v>2.7</v>
      </c>
      <c r="L129">
        <v>96</v>
      </c>
      <c r="M129">
        <v>12</v>
      </c>
      <c r="N129">
        <v>5</v>
      </c>
      <c r="O129">
        <v>12979</v>
      </c>
      <c r="P129" t="s">
        <v>26</v>
      </c>
      <c r="Q129" t="s">
        <v>48</v>
      </c>
      <c r="R129" t="s">
        <v>42</v>
      </c>
      <c r="S129" t="s">
        <v>29</v>
      </c>
      <c r="T129" t="s">
        <v>35</v>
      </c>
      <c r="U129">
        <f t="shared" si="5"/>
        <v>99003</v>
      </c>
      <c r="V129" t="str">
        <f t="shared" si="6"/>
        <v>Excellent</v>
      </c>
      <c r="W129" t="str">
        <f t="shared" si="7"/>
        <v>Normal</v>
      </c>
      <c r="X129" t="str">
        <f t="shared" si="8"/>
        <v>Mid</v>
      </c>
      <c r="Y129" t="str">
        <f t="shared" si="9"/>
        <v>45+</v>
      </c>
    </row>
    <row r="130" spans="1:25" x14ac:dyDescent="0.3">
      <c r="A130">
        <v>1129</v>
      </c>
      <c r="B130" t="s">
        <v>121</v>
      </c>
      <c r="C130" t="s">
        <v>37</v>
      </c>
      <c r="D130">
        <v>31</v>
      </c>
      <c r="E130" t="s">
        <v>55</v>
      </c>
      <c r="F130" t="s">
        <v>143</v>
      </c>
      <c r="G130" t="s">
        <v>24</v>
      </c>
      <c r="H130" t="s">
        <v>204</v>
      </c>
      <c r="I130">
        <v>2</v>
      </c>
      <c r="J130">
        <v>93607</v>
      </c>
      <c r="K130">
        <v>2.9</v>
      </c>
      <c r="L130">
        <v>83.1</v>
      </c>
      <c r="M130">
        <v>1</v>
      </c>
      <c r="N130">
        <v>32</v>
      </c>
      <c r="O130">
        <v>13869</v>
      </c>
      <c r="P130" t="s">
        <v>33</v>
      </c>
      <c r="Q130" t="s">
        <v>48</v>
      </c>
      <c r="R130" t="s">
        <v>42</v>
      </c>
      <c r="S130" t="s">
        <v>29</v>
      </c>
      <c r="T130" t="s">
        <v>30</v>
      </c>
      <c r="U130">
        <f t="shared" si="5"/>
        <v>107476</v>
      </c>
      <c r="V130" t="str">
        <f t="shared" si="6"/>
        <v>Needs Improvement</v>
      </c>
      <c r="W130" t="str">
        <f t="shared" si="7"/>
        <v>Normal</v>
      </c>
      <c r="X130" t="str">
        <f t="shared" si="8"/>
        <v>Junior</v>
      </c>
      <c r="Y130" t="str">
        <f t="shared" si="9"/>
        <v>25-34</v>
      </c>
    </row>
    <row r="131" spans="1:25" x14ac:dyDescent="0.3">
      <c r="A131">
        <v>1130</v>
      </c>
      <c r="B131" t="s">
        <v>111</v>
      </c>
      <c r="C131" t="s">
        <v>21</v>
      </c>
      <c r="D131">
        <v>23</v>
      </c>
      <c r="E131" t="s">
        <v>38</v>
      </c>
      <c r="F131" t="s">
        <v>44</v>
      </c>
      <c r="G131" t="s">
        <v>64</v>
      </c>
      <c r="H131" t="s">
        <v>205</v>
      </c>
      <c r="I131">
        <v>4</v>
      </c>
      <c r="J131">
        <v>40029</v>
      </c>
      <c r="K131">
        <v>3</v>
      </c>
      <c r="L131">
        <v>86.8</v>
      </c>
      <c r="M131">
        <v>13</v>
      </c>
      <c r="N131">
        <v>32</v>
      </c>
      <c r="O131">
        <v>1658</v>
      </c>
      <c r="P131" t="s">
        <v>26</v>
      </c>
      <c r="Q131" t="s">
        <v>27</v>
      </c>
      <c r="R131" t="s">
        <v>28</v>
      </c>
      <c r="S131" t="s">
        <v>34</v>
      </c>
      <c r="T131" t="s">
        <v>35</v>
      </c>
      <c r="U131">
        <f t="shared" ref="U131:U194" si="10">J131+O131</f>
        <v>41687</v>
      </c>
      <c r="V131" t="str">
        <f t="shared" ref="V131:V194" si="11">IF(L131&gt;=95,"Excellent","Needs Improvement")</f>
        <v>Needs Improvement</v>
      </c>
      <c r="W131" t="str">
        <f t="shared" ref="W131:W194" si="12">IF(M131&gt;20,"High","Normal")</f>
        <v>Normal</v>
      </c>
      <c r="X131" t="str">
        <f t="shared" ref="X131:X194" si="13">IF(I131&lt;3,"Junior",IF(I131&lt;7,"Mid","Senior"))</f>
        <v>Mid</v>
      </c>
      <c r="Y131" t="str">
        <f t="shared" ref="Y131:Y194" si="14">IF(D131&lt;25,"20-24",IF(D131&lt;35,"25-34",IF(D131&lt;45,"35-44","45+")))</f>
        <v>20-24</v>
      </c>
    </row>
    <row r="132" spans="1:25" x14ac:dyDescent="0.3">
      <c r="A132">
        <v>1131</v>
      </c>
      <c r="B132" t="s">
        <v>88</v>
      </c>
      <c r="C132" t="s">
        <v>37</v>
      </c>
      <c r="D132">
        <v>36</v>
      </c>
      <c r="E132" t="s">
        <v>62</v>
      </c>
      <c r="F132" t="s">
        <v>97</v>
      </c>
      <c r="G132" t="s">
        <v>45</v>
      </c>
      <c r="H132" t="s">
        <v>206</v>
      </c>
      <c r="I132">
        <v>9</v>
      </c>
      <c r="J132">
        <v>42752</v>
      </c>
      <c r="K132">
        <v>3.9</v>
      </c>
      <c r="L132">
        <v>84.2</v>
      </c>
      <c r="M132">
        <v>15</v>
      </c>
      <c r="N132">
        <v>48</v>
      </c>
      <c r="O132">
        <v>7776</v>
      </c>
      <c r="P132" t="s">
        <v>53</v>
      </c>
      <c r="Q132" t="s">
        <v>48</v>
      </c>
      <c r="R132" t="s">
        <v>28</v>
      </c>
      <c r="S132" t="s">
        <v>34</v>
      </c>
      <c r="T132" t="s">
        <v>50</v>
      </c>
      <c r="U132">
        <f t="shared" si="10"/>
        <v>50528</v>
      </c>
      <c r="V132" t="str">
        <f t="shared" si="11"/>
        <v>Needs Improvement</v>
      </c>
      <c r="W132" t="str">
        <f t="shared" si="12"/>
        <v>Normal</v>
      </c>
      <c r="X132" t="str">
        <f t="shared" si="13"/>
        <v>Senior</v>
      </c>
      <c r="Y132" t="str">
        <f t="shared" si="14"/>
        <v>35-44</v>
      </c>
    </row>
    <row r="133" spans="1:25" x14ac:dyDescent="0.3">
      <c r="A133">
        <v>1132</v>
      </c>
      <c r="B133" t="s">
        <v>88</v>
      </c>
      <c r="C133" t="s">
        <v>21</v>
      </c>
      <c r="D133">
        <v>42</v>
      </c>
      <c r="E133" t="s">
        <v>22</v>
      </c>
      <c r="F133" t="s">
        <v>66</v>
      </c>
      <c r="G133" t="s">
        <v>64</v>
      </c>
      <c r="H133" t="s">
        <v>207</v>
      </c>
      <c r="I133">
        <v>4</v>
      </c>
      <c r="J133">
        <v>54825</v>
      </c>
      <c r="K133">
        <v>3.8</v>
      </c>
      <c r="L133">
        <v>88.5</v>
      </c>
      <c r="M133">
        <v>25</v>
      </c>
      <c r="N133">
        <v>51</v>
      </c>
      <c r="O133">
        <v>4819</v>
      </c>
      <c r="P133" t="s">
        <v>53</v>
      </c>
      <c r="Q133" t="s">
        <v>48</v>
      </c>
      <c r="R133" t="s">
        <v>28</v>
      </c>
      <c r="S133" t="s">
        <v>49</v>
      </c>
      <c r="T133" t="s">
        <v>35</v>
      </c>
      <c r="U133">
        <f t="shared" si="10"/>
        <v>59644</v>
      </c>
      <c r="V133" t="str">
        <f t="shared" si="11"/>
        <v>Needs Improvement</v>
      </c>
      <c r="W133" t="str">
        <f t="shared" si="12"/>
        <v>High</v>
      </c>
      <c r="X133" t="str">
        <f t="shared" si="13"/>
        <v>Mid</v>
      </c>
      <c r="Y133" t="str">
        <f t="shared" si="14"/>
        <v>35-44</v>
      </c>
    </row>
    <row r="134" spans="1:25" x14ac:dyDescent="0.3">
      <c r="A134">
        <v>1133</v>
      </c>
      <c r="B134" t="s">
        <v>54</v>
      </c>
      <c r="C134" t="s">
        <v>21</v>
      </c>
      <c r="D134">
        <v>44</v>
      </c>
      <c r="E134" t="s">
        <v>55</v>
      </c>
      <c r="F134" t="s">
        <v>143</v>
      </c>
      <c r="G134" t="s">
        <v>59</v>
      </c>
      <c r="H134" t="s">
        <v>208</v>
      </c>
      <c r="I134">
        <v>5</v>
      </c>
      <c r="J134">
        <v>83614</v>
      </c>
      <c r="K134">
        <v>4.9000000000000004</v>
      </c>
      <c r="L134">
        <v>90.9</v>
      </c>
      <c r="M134">
        <v>10</v>
      </c>
      <c r="N134">
        <v>33</v>
      </c>
      <c r="O134">
        <v>4684</v>
      </c>
      <c r="P134" t="s">
        <v>47</v>
      </c>
      <c r="Q134" t="s">
        <v>48</v>
      </c>
      <c r="R134" t="s">
        <v>70</v>
      </c>
      <c r="S134" t="s">
        <v>29</v>
      </c>
      <c r="T134" t="s">
        <v>35</v>
      </c>
      <c r="U134">
        <f t="shared" si="10"/>
        <v>88298</v>
      </c>
      <c r="V134" t="str">
        <f t="shared" si="11"/>
        <v>Needs Improvement</v>
      </c>
      <c r="W134" t="str">
        <f t="shared" si="12"/>
        <v>Normal</v>
      </c>
      <c r="X134" t="str">
        <f t="shared" si="13"/>
        <v>Mid</v>
      </c>
      <c r="Y134" t="str">
        <f t="shared" si="14"/>
        <v>35-44</v>
      </c>
    </row>
    <row r="135" spans="1:25" x14ac:dyDescent="0.3">
      <c r="A135">
        <v>1134</v>
      </c>
      <c r="B135" t="s">
        <v>111</v>
      </c>
      <c r="C135" t="s">
        <v>21</v>
      </c>
      <c r="D135">
        <v>44</v>
      </c>
      <c r="E135" t="s">
        <v>55</v>
      </c>
      <c r="F135" t="s">
        <v>143</v>
      </c>
      <c r="G135" t="s">
        <v>24</v>
      </c>
      <c r="H135" t="s">
        <v>209</v>
      </c>
      <c r="I135">
        <v>5</v>
      </c>
      <c r="J135">
        <v>89831</v>
      </c>
      <c r="K135">
        <v>3.2</v>
      </c>
      <c r="L135">
        <v>82.5</v>
      </c>
      <c r="M135">
        <v>15</v>
      </c>
      <c r="N135">
        <v>20</v>
      </c>
      <c r="O135">
        <v>5857</v>
      </c>
      <c r="P135" t="s">
        <v>41</v>
      </c>
      <c r="Q135" t="s">
        <v>48</v>
      </c>
      <c r="R135" t="s">
        <v>28</v>
      </c>
      <c r="S135" t="s">
        <v>29</v>
      </c>
      <c r="T135" t="s">
        <v>35</v>
      </c>
      <c r="U135">
        <f t="shared" si="10"/>
        <v>95688</v>
      </c>
      <c r="V135" t="str">
        <f t="shared" si="11"/>
        <v>Needs Improvement</v>
      </c>
      <c r="W135" t="str">
        <f t="shared" si="12"/>
        <v>Normal</v>
      </c>
      <c r="X135" t="str">
        <f t="shared" si="13"/>
        <v>Mid</v>
      </c>
      <c r="Y135" t="str">
        <f t="shared" si="14"/>
        <v>35-44</v>
      </c>
    </row>
    <row r="136" spans="1:25" x14ac:dyDescent="0.3">
      <c r="A136">
        <v>1135</v>
      </c>
      <c r="B136" t="s">
        <v>20</v>
      </c>
      <c r="C136" t="s">
        <v>37</v>
      </c>
      <c r="D136">
        <v>36</v>
      </c>
      <c r="E136" t="s">
        <v>22</v>
      </c>
      <c r="F136" t="s">
        <v>23</v>
      </c>
      <c r="G136" t="s">
        <v>64</v>
      </c>
      <c r="H136" t="s">
        <v>210</v>
      </c>
      <c r="I136">
        <v>8</v>
      </c>
      <c r="J136">
        <v>44485</v>
      </c>
      <c r="K136">
        <v>3.4</v>
      </c>
      <c r="L136">
        <v>96.2</v>
      </c>
      <c r="M136">
        <v>25</v>
      </c>
      <c r="N136">
        <v>49</v>
      </c>
      <c r="O136">
        <v>7797</v>
      </c>
      <c r="P136" t="s">
        <v>47</v>
      </c>
      <c r="Q136" t="s">
        <v>27</v>
      </c>
      <c r="R136" t="s">
        <v>28</v>
      </c>
      <c r="S136" t="s">
        <v>34</v>
      </c>
      <c r="T136" t="s">
        <v>50</v>
      </c>
      <c r="U136">
        <f t="shared" si="10"/>
        <v>52282</v>
      </c>
      <c r="V136" t="str">
        <f t="shared" si="11"/>
        <v>Excellent</v>
      </c>
      <c r="W136" t="str">
        <f t="shared" si="12"/>
        <v>High</v>
      </c>
      <c r="X136" t="str">
        <f t="shared" si="13"/>
        <v>Senior</v>
      </c>
      <c r="Y136" t="str">
        <f t="shared" si="14"/>
        <v>35-44</v>
      </c>
    </row>
    <row r="137" spans="1:25" x14ac:dyDescent="0.3">
      <c r="A137">
        <v>1136</v>
      </c>
      <c r="B137" t="s">
        <v>71</v>
      </c>
      <c r="C137" t="s">
        <v>21</v>
      </c>
      <c r="D137">
        <v>29</v>
      </c>
      <c r="E137" t="s">
        <v>62</v>
      </c>
      <c r="F137" t="s">
        <v>63</v>
      </c>
      <c r="G137" t="s">
        <v>45</v>
      </c>
      <c r="H137" t="s">
        <v>211</v>
      </c>
      <c r="I137">
        <v>1</v>
      </c>
      <c r="J137">
        <v>34709</v>
      </c>
      <c r="K137">
        <v>3.3</v>
      </c>
      <c r="L137">
        <v>87.8</v>
      </c>
      <c r="M137">
        <v>10</v>
      </c>
      <c r="N137">
        <v>11</v>
      </c>
      <c r="O137">
        <v>10571</v>
      </c>
      <c r="P137" t="s">
        <v>41</v>
      </c>
      <c r="Q137" t="s">
        <v>48</v>
      </c>
      <c r="R137" t="s">
        <v>28</v>
      </c>
      <c r="S137" t="s">
        <v>34</v>
      </c>
      <c r="T137" t="s">
        <v>30</v>
      </c>
      <c r="U137">
        <f t="shared" si="10"/>
        <v>45280</v>
      </c>
      <c r="V137" t="str">
        <f t="shared" si="11"/>
        <v>Needs Improvement</v>
      </c>
      <c r="W137" t="str">
        <f t="shared" si="12"/>
        <v>Normal</v>
      </c>
      <c r="X137" t="str">
        <f t="shared" si="13"/>
        <v>Junior</v>
      </c>
      <c r="Y137" t="str">
        <f t="shared" si="14"/>
        <v>25-34</v>
      </c>
    </row>
    <row r="138" spans="1:25" x14ac:dyDescent="0.3">
      <c r="A138">
        <v>1137</v>
      </c>
      <c r="B138" t="s">
        <v>83</v>
      </c>
      <c r="C138" t="s">
        <v>37</v>
      </c>
      <c r="D138">
        <v>40</v>
      </c>
      <c r="E138" t="s">
        <v>91</v>
      </c>
      <c r="F138" t="s">
        <v>101</v>
      </c>
      <c r="G138" t="s">
        <v>45</v>
      </c>
      <c r="H138" t="s">
        <v>212</v>
      </c>
      <c r="I138">
        <v>5</v>
      </c>
      <c r="J138">
        <v>79342</v>
      </c>
      <c r="K138">
        <v>2.6</v>
      </c>
      <c r="L138">
        <v>91.9</v>
      </c>
      <c r="M138">
        <v>4</v>
      </c>
      <c r="N138">
        <v>49</v>
      </c>
      <c r="O138">
        <v>9880</v>
      </c>
      <c r="P138" t="s">
        <v>33</v>
      </c>
      <c r="Q138" t="s">
        <v>48</v>
      </c>
      <c r="R138" t="s">
        <v>42</v>
      </c>
      <c r="S138" t="s">
        <v>29</v>
      </c>
      <c r="T138" t="s">
        <v>35</v>
      </c>
      <c r="U138">
        <f t="shared" si="10"/>
        <v>89222</v>
      </c>
      <c r="V138" t="str">
        <f t="shared" si="11"/>
        <v>Needs Improvement</v>
      </c>
      <c r="W138" t="str">
        <f t="shared" si="12"/>
        <v>Normal</v>
      </c>
      <c r="X138" t="str">
        <f t="shared" si="13"/>
        <v>Mid</v>
      </c>
      <c r="Y138" t="str">
        <f t="shared" si="14"/>
        <v>35-44</v>
      </c>
    </row>
    <row r="139" spans="1:25" x14ac:dyDescent="0.3">
      <c r="A139">
        <v>1138</v>
      </c>
      <c r="B139" t="s">
        <v>85</v>
      </c>
      <c r="C139" t="s">
        <v>21</v>
      </c>
      <c r="D139">
        <v>36</v>
      </c>
      <c r="E139" t="s">
        <v>38</v>
      </c>
      <c r="F139" t="s">
        <v>39</v>
      </c>
      <c r="G139" t="s">
        <v>51</v>
      </c>
      <c r="H139" t="s">
        <v>213</v>
      </c>
      <c r="I139">
        <v>2</v>
      </c>
      <c r="J139">
        <v>38881</v>
      </c>
      <c r="K139">
        <v>3</v>
      </c>
      <c r="L139">
        <v>96</v>
      </c>
      <c r="M139">
        <v>19</v>
      </c>
      <c r="N139">
        <v>39</v>
      </c>
      <c r="O139">
        <v>1814</v>
      </c>
      <c r="P139" t="s">
        <v>41</v>
      </c>
      <c r="Q139" t="s">
        <v>48</v>
      </c>
      <c r="R139" t="s">
        <v>28</v>
      </c>
      <c r="S139" t="s">
        <v>34</v>
      </c>
      <c r="T139" t="s">
        <v>30</v>
      </c>
      <c r="U139">
        <f t="shared" si="10"/>
        <v>40695</v>
      </c>
      <c r="V139" t="str">
        <f t="shared" si="11"/>
        <v>Excellent</v>
      </c>
      <c r="W139" t="str">
        <f t="shared" si="12"/>
        <v>Normal</v>
      </c>
      <c r="X139" t="str">
        <f t="shared" si="13"/>
        <v>Junior</v>
      </c>
      <c r="Y139" t="str">
        <f t="shared" si="14"/>
        <v>35-44</v>
      </c>
    </row>
    <row r="140" spans="1:25" x14ac:dyDescent="0.3">
      <c r="A140">
        <v>1139</v>
      </c>
      <c r="B140" t="s">
        <v>31</v>
      </c>
      <c r="C140" t="s">
        <v>37</v>
      </c>
      <c r="D140">
        <v>23</v>
      </c>
      <c r="E140" t="s">
        <v>91</v>
      </c>
      <c r="F140" t="s">
        <v>92</v>
      </c>
      <c r="G140" t="s">
        <v>51</v>
      </c>
      <c r="H140" t="s">
        <v>214</v>
      </c>
      <c r="I140">
        <v>8</v>
      </c>
      <c r="J140">
        <v>72368</v>
      </c>
      <c r="K140">
        <v>3.3</v>
      </c>
      <c r="L140">
        <v>96.5</v>
      </c>
      <c r="M140">
        <v>19</v>
      </c>
      <c r="N140">
        <v>32</v>
      </c>
      <c r="O140">
        <v>1452</v>
      </c>
      <c r="P140" t="s">
        <v>53</v>
      </c>
      <c r="Q140" t="s">
        <v>48</v>
      </c>
      <c r="R140" t="s">
        <v>28</v>
      </c>
      <c r="S140" t="s">
        <v>29</v>
      </c>
      <c r="T140" t="s">
        <v>50</v>
      </c>
      <c r="U140">
        <f t="shared" si="10"/>
        <v>73820</v>
      </c>
      <c r="V140" t="str">
        <f t="shared" si="11"/>
        <v>Excellent</v>
      </c>
      <c r="W140" t="str">
        <f t="shared" si="12"/>
        <v>Normal</v>
      </c>
      <c r="X140" t="str">
        <f t="shared" si="13"/>
        <v>Senior</v>
      </c>
      <c r="Y140" t="str">
        <f t="shared" si="14"/>
        <v>20-24</v>
      </c>
    </row>
    <row r="141" spans="1:25" x14ac:dyDescent="0.3">
      <c r="A141">
        <v>1140</v>
      </c>
      <c r="B141" t="s">
        <v>85</v>
      </c>
      <c r="C141" t="s">
        <v>21</v>
      </c>
      <c r="D141">
        <v>27</v>
      </c>
      <c r="E141" t="s">
        <v>38</v>
      </c>
      <c r="F141" t="s">
        <v>39</v>
      </c>
      <c r="G141" t="s">
        <v>59</v>
      </c>
      <c r="H141" t="s">
        <v>215</v>
      </c>
      <c r="I141">
        <v>2</v>
      </c>
      <c r="J141">
        <v>44019</v>
      </c>
      <c r="K141">
        <v>3.8</v>
      </c>
      <c r="L141">
        <v>87.6</v>
      </c>
      <c r="M141">
        <v>7</v>
      </c>
      <c r="N141">
        <v>45</v>
      </c>
      <c r="O141">
        <v>8835</v>
      </c>
      <c r="P141" t="s">
        <v>26</v>
      </c>
      <c r="Q141" t="s">
        <v>27</v>
      </c>
      <c r="R141" t="s">
        <v>28</v>
      </c>
      <c r="S141" t="s">
        <v>34</v>
      </c>
      <c r="T141" t="s">
        <v>30</v>
      </c>
      <c r="U141">
        <f t="shared" si="10"/>
        <v>52854</v>
      </c>
      <c r="V141" t="str">
        <f t="shared" si="11"/>
        <v>Needs Improvement</v>
      </c>
      <c r="W141" t="str">
        <f t="shared" si="12"/>
        <v>Normal</v>
      </c>
      <c r="X141" t="str">
        <f t="shared" si="13"/>
        <v>Junior</v>
      </c>
      <c r="Y141" t="str">
        <f t="shared" si="14"/>
        <v>25-34</v>
      </c>
    </row>
    <row r="142" spans="1:25" x14ac:dyDescent="0.3">
      <c r="A142">
        <v>1141</v>
      </c>
      <c r="B142" t="s">
        <v>99</v>
      </c>
      <c r="C142" t="s">
        <v>37</v>
      </c>
      <c r="D142">
        <v>43</v>
      </c>
      <c r="E142" t="s">
        <v>91</v>
      </c>
      <c r="F142" t="s">
        <v>92</v>
      </c>
      <c r="G142" t="s">
        <v>24</v>
      </c>
      <c r="H142" t="s">
        <v>216</v>
      </c>
      <c r="I142">
        <v>5</v>
      </c>
      <c r="J142">
        <v>71175</v>
      </c>
      <c r="K142">
        <v>2.8</v>
      </c>
      <c r="L142">
        <v>88.6</v>
      </c>
      <c r="M142">
        <v>21</v>
      </c>
      <c r="N142">
        <v>8</v>
      </c>
      <c r="O142">
        <v>4529</v>
      </c>
      <c r="P142" t="s">
        <v>26</v>
      </c>
      <c r="Q142" t="s">
        <v>27</v>
      </c>
      <c r="R142" t="s">
        <v>42</v>
      </c>
      <c r="S142" t="s">
        <v>29</v>
      </c>
      <c r="T142" t="s">
        <v>35</v>
      </c>
      <c r="U142">
        <f t="shared" si="10"/>
        <v>75704</v>
      </c>
      <c r="V142" t="str">
        <f t="shared" si="11"/>
        <v>Needs Improvement</v>
      </c>
      <c r="W142" t="str">
        <f t="shared" si="12"/>
        <v>High</v>
      </c>
      <c r="X142" t="str">
        <f t="shared" si="13"/>
        <v>Mid</v>
      </c>
      <c r="Y142" t="str">
        <f t="shared" si="14"/>
        <v>35-44</v>
      </c>
    </row>
    <row r="143" spans="1:25" x14ac:dyDescent="0.3">
      <c r="A143">
        <v>1142</v>
      </c>
      <c r="B143" t="s">
        <v>75</v>
      </c>
      <c r="C143" t="s">
        <v>21</v>
      </c>
      <c r="D143">
        <v>33</v>
      </c>
      <c r="E143" t="s">
        <v>55</v>
      </c>
      <c r="F143" t="s">
        <v>79</v>
      </c>
      <c r="G143" t="s">
        <v>64</v>
      </c>
      <c r="H143" t="s">
        <v>217</v>
      </c>
      <c r="I143">
        <v>6</v>
      </c>
      <c r="J143">
        <v>38937</v>
      </c>
      <c r="K143">
        <v>4</v>
      </c>
      <c r="L143">
        <v>85.2</v>
      </c>
      <c r="M143">
        <v>24</v>
      </c>
      <c r="N143">
        <v>37</v>
      </c>
      <c r="O143">
        <v>7408</v>
      </c>
      <c r="P143" t="s">
        <v>41</v>
      </c>
      <c r="Q143" t="s">
        <v>27</v>
      </c>
      <c r="R143" t="s">
        <v>58</v>
      </c>
      <c r="S143" t="s">
        <v>34</v>
      </c>
      <c r="T143" t="s">
        <v>50</v>
      </c>
      <c r="U143">
        <f t="shared" si="10"/>
        <v>46345</v>
      </c>
      <c r="V143" t="str">
        <f t="shared" si="11"/>
        <v>Needs Improvement</v>
      </c>
      <c r="W143" t="str">
        <f t="shared" si="12"/>
        <v>High</v>
      </c>
      <c r="X143" t="str">
        <f t="shared" si="13"/>
        <v>Mid</v>
      </c>
      <c r="Y143" t="str">
        <f t="shared" si="14"/>
        <v>25-34</v>
      </c>
    </row>
    <row r="144" spans="1:25" x14ac:dyDescent="0.3">
      <c r="A144">
        <v>1143</v>
      </c>
      <c r="B144" t="s">
        <v>20</v>
      </c>
      <c r="C144" t="s">
        <v>21</v>
      </c>
      <c r="D144">
        <v>38</v>
      </c>
      <c r="E144" t="s">
        <v>62</v>
      </c>
      <c r="F144" t="s">
        <v>97</v>
      </c>
      <c r="G144" t="s">
        <v>45</v>
      </c>
      <c r="H144" t="s">
        <v>218</v>
      </c>
      <c r="I144">
        <v>7</v>
      </c>
      <c r="J144">
        <v>92359</v>
      </c>
      <c r="K144">
        <v>3.1</v>
      </c>
      <c r="L144">
        <v>97.9</v>
      </c>
      <c r="M144">
        <v>10</v>
      </c>
      <c r="N144">
        <v>38</v>
      </c>
      <c r="O144">
        <v>1633</v>
      </c>
      <c r="P144" t="s">
        <v>53</v>
      </c>
      <c r="Q144" t="s">
        <v>27</v>
      </c>
      <c r="R144" t="s">
        <v>28</v>
      </c>
      <c r="S144" t="s">
        <v>29</v>
      </c>
      <c r="T144" t="s">
        <v>50</v>
      </c>
      <c r="U144">
        <f t="shared" si="10"/>
        <v>93992</v>
      </c>
      <c r="V144" t="str">
        <f t="shared" si="11"/>
        <v>Excellent</v>
      </c>
      <c r="W144" t="str">
        <f t="shared" si="12"/>
        <v>Normal</v>
      </c>
      <c r="X144" t="str">
        <f t="shared" si="13"/>
        <v>Senior</v>
      </c>
      <c r="Y144" t="str">
        <f t="shared" si="14"/>
        <v>35-44</v>
      </c>
    </row>
    <row r="145" spans="1:25" x14ac:dyDescent="0.3">
      <c r="A145">
        <v>1144</v>
      </c>
      <c r="B145" t="s">
        <v>78</v>
      </c>
      <c r="C145" t="s">
        <v>21</v>
      </c>
      <c r="D145">
        <v>38</v>
      </c>
      <c r="E145" t="s">
        <v>38</v>
      </c>
      <c r="F145" t="s">
        <v>44</v>
      </c>
      <c r="G145" t="s">
        <v>59</v>
      </c>
      <c r="H145" t="s">
        <v>219</v>
      </c>
      <c r="I145">
        <v>9</v>
      </c>
      <c r="J145">
        <v>90158</v>
      </c>
      <c r="K145">
        <v>4.9000000000000004</v>
      </c>
      <c r="L145">
        <v>84.7</v>
      </c>
      <c r="M145">
        <v>4</v>
      </c>
      <c r="N145">
        <v>40</v>
      </c>
      <c r="O145">
        <v>1832</v>
      </c>
      <c r="P145" t="s">
        <v>41</v>
      </c>
      <c r="Q145" t="s">
        <v>48</v>
      </c>
      <c r="R145" t="s">
        <v>70</v>
      </c>
      <c r="S145" t="s">
        <v>29</v>
      </c>
      <c r="T145" t="s">
        <v>50</v>
      </c>
      <c r="U145">
        <f t="shared" si="10"/>
        <v>91990</v>
      </c>
      <c r="V145" t="str">
        <f t="shared" si="11"/>
        <v>Needs Improvement</v>
      </c>
      <c r="W145" t="str">
        <f t="shared" si="12"/>
        <v>Normal</v>
      </c>
      <c r="X145" t="str">
        <f t="shared" si="13"/>
        <v>Senior</v>
      </c>
      <c r="Y145" t="str">
        <f t="shared" si="14"/>
        <v>35-44</v>
      </c>
    </row>
    <row r="146" spans="1:25" x14ac:dyDescent="0.3">
      <c r="A146">
        <v>1145</v>
      </c>
      <c r="B146" t="s">
        <v>99</v>
      </c>
      <c r="C146" t="s">
        <v>37</v>
      </c>
      <c r="D146">
        <v>24</v>
      </c>
      <c r="E146" t="s">
        <v>62</v>
      </c>
      <c r="F146" t="s">
        <v>97</v>
      </c>
      <c r="G146" t="s">
        <v>59</v>
      </c>
      <c r="H146" t="s">
        <v>220</v>
      </c>
      <c r="I146">
        <v>7</v>
      </c>
      <c r="J146">
        <v>57223</v>
      </c>
      <c r="K146">
        <v>3.5</v>
      </c>
      <c r="L146">
        <v>86.3</v>
      </c>
      <c r="M146">
        <v>20</v>
      </c>
      <c r="N146">
        <v>6</v>
      </c>
      <c r="O146">
        <v>5175</v>
      </c>
      <c r="P146" t="s">
        <v>33</v>
      </c>
      <c r="Q146" t="s">
        <v>48</v>
      </c>
      <c r="R146" t="s">
        <v>28</v>
      </c>
      <c r="S146" t="s">
        <v>49</v>
      </c>
      <c r="T146" t="s">
        <v>50</v>
      </c>
      <c r="U146">
        <f t="shared" si="10"/>
        <v>62398</v>
      </c>
      <c r="V146" t="str">
        <f t="shared" si="11"/>
        <v>Needs Improvement</v>
      </c>
      <c r="W146" t="str">
        <f t="shared" si="12"/>
        <v>Normal</v>
      </c>
      <c r="X146" t="str">
        <f t="shared" si="13"/>
        <v>Senior</v>
      </c>
      <c r="Y146" t="str">
        <f t="shared" si="14"/>
        <v>20-24</v>
      </c>
    </row>
    <row r="147" spans="1:25" x14ac:dyDescent="0.3">
      <c r="A147">
        <v>1146</v>
      </c>
      <c r="B147" t="s">
        <v>73</v>
      </c>
      <c r="C147" t="s">
        <v>21</v>
      </c>
      <c r="D147">
        <v>22</v>
      </c>
      <c r="E147" t="s">
        <v>22</v>
      </c>
      <c r="F147" t="s">
        <v>66</v>
      </c>
      <c r="G147" t="s">
        <v>24</v>
      </c>
      <c r="H147" t="s">
        <v>221</v>
      </c>
      <c r="I147">
        <v>2</v>
      </c>
      <c r="J147">
        <v>82785</v>
      </c>
      <c r="K147">
        <v>4.3</v>
      </c>
      <c r="L147">
        <v>92.3</v>
      </c>
      <c r="M147">
        <v>11</v>
      </c>
      <c r="N147">
        <v>51</v>
      </c>
      <c r="O147">
        <v>6315</v>
      </c>
      <c r="P147" t="s">
        <v>33</v>
      </c>
      <c r="Q147" t="s">
        <v>27</v>
      </c>
      <c r="R147" t="s">
        <v>58</v>
      </c>
      <c r="S147" t="s">
        <v>29</v>
      </c>
      <c r="T147" t="s">
        <v>30</v>
      </c>
      <c r="U147">
        <f t="shared" si="10"/>
        <v>89100</v>
      </c>
      <c r="V147" t="str">
        <f t="shared" si="11"/>
        <v>Needs Improvement</v>
      </c>
      <c r="W147" t="str">
        <f t="shared" si="12"/>
        <v>Normal</v>
      </c>
      <c r="X147" t="str">
        <f t="shared" si="13"/>
        <v>Junior</v>
      </c>
      <c r="Y147" t="str">
        <f t="shared" si="14"/>
        <v>20-24</v>
      </c>
    </row>
    <row r="148" spans="1:25" x14ac:dyDescent="0.3">
      <c r="A148">
        <v>1147</v>
      </c>
      <c r="B148" t="s">
        <v>31</v>
      </c>
      <c r="C148" t="s">
        <v>21</v>
      </c>
      <c r="D148">
        <v>24</v>
      </c>
      <c r="E148" t="s">
        <v>55</v>
      </c>
      <c r="F148" t="s">
        <v>143</v>
      </c>
      <c r="G148" t="s">
        <v>51</v>
      </c>
      <c r="H148" t="s">
        <v>222</v>
      </c>
      <c r="I148">
        <v>7</v>
      </c>
      <c r="J148">
        <v>72005</v>
      </c>
      <c r="K148">
        <v>4.5</v>
      </c>
      <c r="L148">
        <v>91</v>
      </c>
      <c r="M148">
        <v>24</v>
      </c>
      <c r="N148">
        <v>48</v>
      </c>
      <c r="O148">
        <v>9218</v>
      </c>
      <c r="P148" t="s">
        <v>53</v>
      </c>
      <c r="Q148" t="s">
        <v>27</v>
      </c>
      <c r="R148" t="s">
        <v>70</v>
      </c>
      <c r="S148" t="s">
        <v>29</v>
      </c>
      <c r="T148" t="s">
        <v>50</v>
      </c>
      <c r="U148">
        <f t="shared" si="10"/>
        <v>81223</v>
      </c>
      <c r="V148" t="str">
        <f t="shared" si="11"/>
        <v>Needs Improvement</v>
      </c>
      <c r="W148" t="str">
        <f t="shared" si="12"/>
        <v>High</v>
      </c>
      <c r="X148" t="str">
        <f t="shared" si="13"/>
        <v>Senior</v>
      </c>
      <c r="Y148" t="str">
        <f t="shared" si="14"/>
        <v>20-24</v>
      </c>
    </row>
    <row r="149" spans="1:25" x14ac:dyDescent="0.3">
      <c r="A149">
        <v>1148</v>
      </c>
      <c r="B149" t="s">
        <v>124</v>
      </c>
      <c r="C149" t="s">
        <v>37</v>
      </c>
      <c r="D149">
        <v>44</v>
      </c>
      <c r="E149" t="s">
        <v>91</v>
      </c>
      <c r="F149" t="s">
        <v>92</v>
      </c>
      <c r="G149" t="s">
        <v>51</v>
      </c>
      <c r="H149" t="s">
        <v>223</v>
      </c>
      <c r="I149">
        <v>0</v>
      </c>
      <c r="J149">
        <v>78424</v>
      </c>
      <c r="K149">
        <v>4.4000000000000004</v>
      </c>
      <c r="L149">
        <v>93.5</v>
      </c>
      <c r="M149">
        <v>7</v>
      </c>
      <c r="N149">
        <v>48</v>
      </c>
      <c r="O149">
        <v>3696</v>
      </c>
      <c r="P149" t="s">
        <v>41</v>
      </c>
      <c r="Q149" t="s">
        <v>48</v>
      </c>
      <c r="R149" t="s">
        <v>58</v>
      </c>
      <c r="S149" t="s">
        <v>29</v>
      </c>
      <c r="T149" t="s">
        <v>30</v>
      </c>
      <c r="U149">
        <f t="shared" si="10"/>
        <v>82120</v>
      </c>
      <c r="V149" t="str">
        <f t="shared" si="11"/>
        <v>Needs Improvement</v>
      </c>
      <c r="W149" t="str">
        <f t="shared" si="12"/>
        <v>Normal</v>
      </c>
      <c r="X149" t="str">
        <f t="shared" si="13"/>
        <v>Junior</v>
      </c>
      <c r="Y149" t="str">
        <f t="shared" si="14"/>
        <v>35-44</v>
      </c>
    </row>
    <row r="150" spans="1:25" x14ac:dyDescent="0.3">
      <c r="A150">
        <v>1149</v>
      </c>
      <c r="B150" t="s">
        <v>178</v>
      </c>
      <c r="C150" t="s">
        <v>21</v>
      </c>
      <c r="D150">
        <v>32</v>
      </c>
      <c r="E150" t="s">
        <v>62</v>
      </c>
      <c r="F150" t="s">
        <v>97</v>
      </c>
      <c r="G150" t="s">
        <v>51</v>
      </c>
      <c r="H150" t="s">
        <v>52</v>
      </c>
      <c r="I150">
        <v>3</v>
      </c>
      <c r="K150">
        <v>4.5999999999999996</v>
      </c>
      <c r="L150">
        <v>84</v>
      </c>
      <c r="M150">
        <v>20</v>
      </c>
      <c r="N150">
        <v>10</v>
      </c>
      <c r="O150">
        <v>13911</v>
      </c>
      <c r="P150" t="s">
        <v>33</v>
      </c>
      <c r="Q150" t="s">
        <v>48</v>
      </c>
      <c r="R150" t="s">
        <v>70</v>
      </c>
      <c r="S150" t="s">
        <v>49</v>
      </c>
      <c r="T150" t="s">
        <v>35</v>
      </c>
      <c r="U150">
        <f t="shared" si="10"/>
        <v>13911</v>
      </c>
      <c r="V150" t="str">
        <f t="shared" si="11"/>
        <v>Needs Improvement</v>
      </c>
      <c r="W150" t="str">
        <f t="shared" si="12"/>
        <v>Normal</v>
      </c>
      <c r="X150" t="str">
        <f t="shared" si="13"/>
        <v>Mid</v>
      </c>
      <c r="Y150" t="str">
        <f t="shared" si="14"/>
        <v>25-34</v>
      </c>
    </row>
    <row r="151" spans="1:25" x14ac:dyDescent="0.3">
      <c r="A151">
        <v>1150</v>
      </c>
      <c r="B151" t="s">
        <v>20</v>
      </c>
      <c r="C151" t="s">
        <v>21</v>
      </c>
      <c r="D151">
        <v>33</v>
      </c>
      <c r="E151" t="s">
        <v>22</v>
      </c>
      <c r="F151" t="s">
        <v>23</v>
      </c>
      <c r="G151" t="s">
        <v>51</v>
      </c>
      <c r="H151" t="s">
        <v>224</v>
      </c>
      <c r="I151">
        <v>0</v>
      </c>
      <c r="J151">
        <v>51343</v>
      </c>
      <c r="K151">
        <v>3.7</v>
      </c>
      <c r="L151">
        <v>91.4</v>
      </c>
      <c r="M151">
        <v>12</v>
      </c>
      <c r="N151">
        <v>23</v>
      </c>
      <c r="O151">
        <v>10627</v>
      </c>
      <c r="P151" t="s">
        <v>41</v>
      </c>
      <c r="Q151" t="s">
        <v>48</v>
      </c>
      <c r="R151" t="s">
        <v>28</v>
      </c>
      <c r="S151" t="s">
        <v>49</v>
      </c>
      <c r="T151" t="s">
        <v>30</v>
      </c>
      <c r="U151">
        <f t="shared" si="10"/>
        <v>61970</v>
      </c>
      <c r="V151" t="str">
        <f t="shared" si="11"/>
        <v>Needs Improvement</v>
      </c>
      <c r="W151" t="str">
        <f t="shared" si="12"/>
        <v>Normal</v>
      </c>
      <c r="X151" t="str">
        <f t="shared" si="13"/>
        <v>Junior</v>
      </c>
      <c r="Y151" t="str">
        <f t="shared" si="14"/>
        <v>25-34</v>
      </c>
    </row>
    <row r="152" spans="1:25" x14ac:dyDescent="0.3">
      <c r="A152">
        <v>1151</v>
      </c>
      <c r="B152" t="s">
        <v>78</v>
      </c>
      <c r="C152" t="s">
        <v>21</v>
      </c>
      <c r="D152">
        <v>44</v>
      </c>
      <c r="E152" t="s">
        <v>62</v>
      </c>
      <c r="F152" t="s">
        <v>97</v>
      </c>
      <c r="G152" t="s">
        <v>45</v>
      </c>
      <c r="H152" t="s">
        <v>225</v>
      </c>
      <c r="I152">
        <v>4</v>
      </c>
      <c r="J152">
        <v>33666</v>
      </c>
      <c r="K152">
        <v>2.7</v>
      </c>
      <c r="L152">
        <v>82.2</v>
      </c>
      <c r="M152">
        <v>13</v>
      </c>
      <c r="N152">
        <v>16</v>
      </c>
      <c r="O152">
        <v>12254</v>
      </c>
      <c r="P152" t="s">
        <v>26</v>
      </c>
      <c r="Q152" t="s">
        <v>27</v>
      </c>
      <c r="R152" t="s">
        <v>42</v>
      </c>
      <c r="S152" t="s">
        <v>34</v>
      </c>
      <c r="T152" t="s">
        <v>35</v>
      </c>
      <c r="U152">
        <f t="shared" si="10"/>
        <v>45920</v>
      </c>
      <c r="V152" t="str">
        <f t="shared" si="11"/>
        <v>Needs Improvement</v>
      </c>
      <c r="W152" t="str">
        <f t="shared" si="12"/>
        <v>Normal</v>
      </c>
      <c r="X152" t="str">
        <f t="shared" si="13"/>
        <v>Mid</v>
      </c>
      <c r="Y152" t="str">
        <f t="shared" si="14"/>
        <v>35-44</v>
      </c>
    </row>
    <row r="153" spans="1:25" x14ac:dyDescent="0.3">
      <c r="A153">
        <v>1152</v>
      </c>
      <c r="B153" t="s">
        <v>83</v>
      </c>
      <c r="C153" t="s">
        <v>37</v>
      </c>
      <c r="D153">
        <v>45</v>
      </c>
      <c r="E153" t="s">
        <v>91</v>
      </c>
      <c r="F153" t="s">
        <v>101</v>
      </c>
      <c r="G153" t="s">
        <v>51</v>
      </c>
      <c r="H153" t="s">
        <v>226</v>
      </c>
      <c r="I153">
        <v>2</v>
      </c>
      <c r="J153">
        <v>60864</v>
      </c>
      <c r="K153">
        <v>4.0999999999999996</v>
      </c>
      <c r="L153">
        <v>88.6</v>
      </c>
      <c r="M153">
        <v>8</v>
      </c>
      <c r="N153">
        <v>10</v>
      </c>
      <c r="O153">
        <v>9841</v>
      </c>
      <c r="P153" t="s">
        <v>53</v>
      </c>
      <c r="Q153" t="s">
        <v>27</v>
      </c>
      <c r="R153" t="s">
        <v>58</v>
      </c>
      <c r="S153" t="s">
        <v>49</v>
      </c>
      <c r="T153" t="s">
        <v>30</v>
      </c>
      <c r="U153">
        <f t="shared" si="10"/>
        <v>70705</v>
      </c>
      <c r="V153" t="str">
        <f t="shared" si="11"/>
        <v>Needs Improvement</v>
      </c>
      <c r="W153" t="str">
        <f t="shared" si="12"/>
        <v>Normal</v>
      </c>
      <c r="X153" t="str">
        <f t="shared" si="13"/>
        <v>Junior</v>
      </c>
      <c r="Y153" t="str">
        <f t="shared" si="14"/>
        <v>45+</v>
      </c>
    </row>
    <row r="154" spans="1:25" x14ac:dyDescent="0.3">
      <c r="A154">
        <v>1153</v>
      </c>
      <c r="B154" t="s">
        <v>99</v>
      </c>
      <c r="C154" t="s">
        <v>21</v>
      </c>
      <c r="D154">
        <v>44</v>
      </c>
      <c r="E154" t="s">
        <v>62</v>
      </c>
      <c r="F154" t="s">
        <v>97</v>
      </c>
      <c r="G154" t="s">
        <v>24</v>
      </c>
      <c r="H154" t="s">
        <v>227</v>
      </c>
      <c r="I154">
        <v>6</v>
      </c>
      <c r="J154">
        <v>47595</v>
      </c>
      <c r="K154">
        <v>3.5</v>
      </c>
      <c r="L154">
        <v>97.3</v>
      </c>
      <c r="M154">
        <v>11</v>
      </c>
      <c r="N154">
        <v>35</v>
      </c>
      <c r="O154">
        <v>10669</v>
      </c>
      <c r="P154" t="s">
        <v>26</v>
      </c>
      <c r="Q154" t="s">
        <v>48</v>
      </c>
      <c r="R154" t="s">
        <v>28</v>
      </c>
      <c r="S154" t="s">
        <v>34</v>
      </c>
      <c r="T154" t="s">
        <v>50</v>
      </c>
      <c r="U154">
        <f t="shared" si="10"/>
        <v>58264</v>
      </c>
      <c r="V154" t="str">
        <f t="shared" si="11"/>
        <v>Excellent</v>
      </c>
      <c r="W154" t="str">
        <f t="shared" si="12"/>
        <v>Normal</v>
      </c>
      <c r="X154" t="str">
        <f t="shared" si="13"/>
        <v>Mid</v>
      </c>
      <c r="Y154" t="str">
        <f t="shared" si="14"/>
        <v>35-44</v>
      </c>
    </row>
    <row r="155" spans="1:25" x14ac:dyDescent="0.3">
      <c r="A155">
        <v>1154</v>
      </c>
      <c r="B155" t="s">
        <v>178</v>
      </c>
      <c r="C155" t="s">
        <v>37</v>
      </c>
      <c r="D155">
        <v>41</v>
      </c>
      <c r="E155" t="s">
        <v>38</v>
      </c>
      <c r="F155" t="s">
        <v>44</v>
      </c>
      <c r="G155" t="s">
        <v>51</v>
      </c>
      <c r="H155" t="s">
        <v>228</v>
      </c>
      <c r="I155">
        <v>9</v>
      </c>
      <c r="J155">
        <v>34143</v>
      </c>
      <c r="K155">
        <v>4.0999999999999996</v>
      </c>
      <c r="L155">
        <v>97</v>
      </c>
      <c r="M155">
        <v>19</v>
      </c>
      <c r="N155">
        <v>32</v>
      </c>
      <c r="O155">
        <v>13477</v>
      </c>
      <c r="P155" t="s">
        <v>26</v>
      </c>
      <c r="Q155" t="s">
        <v>27</v>
      </c>
      <c r="R155" t="s">
        <v>58</v>
      </c>
      <c r="S155" t="s">
        <v>34</v>
      </c>
      <c r="T155" t="s">
        <v>50</v>
      </c>
      <c r="U155">
        <f t="shared" si="10"/>
        <v>47620</v>
      </c>
      <c r="V155" t="str">
        <f t="shared" si="11"/>
        <v>Excellent</v>
      </c>
      <c r="W155" t="str">
        <f t="shared" si="12"/>
        <v>Normal</v>
      </c>
      <c r="X155" t="str">
        <f t="shared" si="13"/>
        <v>Senior</v>
      </c>
      <c r="Y155" t="str">
        <f t="shared" si="14"/>
        <v>35-44</v>
      </c>
    </row>
    <row r="156" spans="1:25" x14ac:dyDescent="0.3">
      <c r="A156">
        <v>1155</v>
      </c>
      <c r="B156" t="s">
        <v>78</v>
      </c>
      <c r="C156" t="s">
        <v>21</v>
      </c>
      <c r="D156">
        <v>29</v>
      </c>
      <c r="E156" t="s">
        <v>22</v>
      </c>
      <c r="F156" t="s">
        <v>23</v>
      </c>
      <c r="G156" t="s">
        <v>24</v>
      </c>
      <c r="H156" t="s">
        <v>229</v>
      </c>
      <c r="I156">
        <v>8</v>
      </c>
      <c r="J156">
        <v>46062</v>
      </c>
      <c r="K156">
        <v>3.9</v>
      </c>
      <c r="L156">
        <v>83</v>
      </c>
      <c r="M156">
        <v>21</v>
      </c>
      <c r="N156">
        <v>33</v>
      </c>
      <c r="O156">
        <v>5725</v>
      </c>
      <c r="P156" t="s">
        <v>53</v>
      </c>
      <c r="Q156" t="s">
        <v>27</v>
      </c>
      <c r="R156" t="s">
        <v>28</v>
      </c>
      <c r="S156" t="s">
        <v>34</v>
      </c>
      <c r="T156" t="s">
        <v>50</v>
      </c>
      <c r="U156">
        <f t="shared" si="10"/>
        <v>51787</v>
      </c>
      <c r="V156" t="str">
        <f t="shared" si="11"/>
        <v>Needs Improvement</v>
      </c>
      <c r="W156" t="str">
        <f t="shared" si="12"/>
        <v>High</v>
      </c>
      <c r="X156" t="str">
        <f t="shared" si="13"/>
        <v>Senior</v>
      </c>
      <c r="Y156" t="str">
        <f t="shared" si="14"/>
        <v>25-34</v>
      </c>
    </row>
    <row r="157" spans="1:25" x14ac:dyDescent="0.3">
      <c r="A157">
        <v>1156</v>
      </c>
      <c r="B157" t="s">
        <v>124</v>
      </c>
      <c r="C157" t="s">
        <v>37</v>
      </c>
      <c r="D157">
        <v>45</v>
      </c>
      <c r="E157" t="s">
        <v>62</v>
      </c>
      <c r="F157" t="s">
        <v>97</v>
      </c>
      <c r="G157" t="s">
        <v>45</v>
      </c>
      <c r="H157" t="s">
        <v>230</v>
      </c>
      <c r="I157">
        <v>0</v>
      </c>
      <c r="J157">
        <v>75680</v>
      </c>
      <c r="K157">
        <v>4.8</v>
      </c>
      <c r="L157">
        <v>86.7</v>
      </c>
      <c r="M157">
        <v>23</v>
      </c>
      <c r="N157">
        <v>30</v>
      </c>
      <c r="O157">
        <v>12986</v>
      </c>
      <c r="P157" t="s">
        <v>41</v>
      </c>
      <c r="Q157" t="s">
        <v>27</v>
      </c>
      <c r="R157" t="s">
        <v>70</v>
      </c>
      <c r="S157" t="s">
        <v>29</v>
      </c>
      <c r="T157" t="s">
        <v>30</v>
      </c>
      <c r="U157">
        <f t="shared" si="10"/>
        <v>88666</v>
      </c>
      <c r="V157" t="str">
        <f t="shared" si="11"/>
        <v>Needs Improvement</v>
      </c>
      <c r="W157" t="str">
        <f t="shared" si="12"/>
        <v>High</v>
      </c>
      <c r="X157" t="str">
        <f t="shared" si="13"/>
        <v>Junior</v>
      </c>
      <c r="Y157" t="str">
        <f t="shared" si="14"/>
        <v>45+</v>
      </c>
    </row>
    <row r="158" spans="1:25" x14ac:dyDescent="0.3">
      <c r="A158">
        <v>1157</v>
      </c>
      <c r="B158" t="s">
        <v>85</v>
      </c>
      <c r="C158" t="s">
        <v>21</v>
      </c>
      <c r="D158">
        <v>36</v>
      </c>
      <c r="E158" t="s">
        <v>22</v>
      </c>
      <c r="F158" t="s">
        <v>23</v>
      </c>
      <c r="G158" t="s">
        <v>51</v>
      </c>
      <c r="H158" t="s">
        <v>231</v>
      </c>
      <c r="I158">
        <v>9</v>
      </c>
      <c r="J158">
        <v>60170</v>
      </c>
      <c r="K158">
        <v>4.4000000000000004</v>
      </c>
      <c r="L158">
        <v>98.5</v>
      </c>
      <c r="M158">
        <v>13</v>
      </c>
      <c r="N158">
        <v>34</v>
      </c>
      <c r="O158">
        <v>5571</v>
      </c>
      <c r="P158" t="s">
        <v>26</v>
      </c>
      <c r="Q158" t="s">
        <v>48</v>
      </c>
      <c r="R158" t="s">
        <v>58</v>
      </c>
      <c r="S158" t="s">
        <v>49</v>
      </c>
      <c r="T158" t="s">
        <v>50</v>
      </c>
      <c r="U158">
        <f t="shared" si="10"/>
        <v>65741</v>
      </c>
      <c r="V158" t="str">
        <f t="shared" si="11"/>
        <v>Excellent</v>
      </c>
      <c r="W158" t="str">
        <f t="shared" si="12"/>
        <v>Normal</v>
      </c>
      <c r="X158" t="str">
        <f t="shared" si="13"/>
        <v>Senior</v>
      </c>
      <c r="Y158" t="str">
        <f t="shared" si="14"/>
        <v>35-44</v>
      </c>
    </row>
    <row r="159" spans="1:25" x14ac:dyDescent="0.3">
      <c r="A159">
        <v>1158</v>
      </c>
      <c r="B159" t="s">
        <v>36</v>
      </c>
      <c r="C159" t="s">
        <v>37</v>
      </c>
      <c r="D159">
        <v>24</v>
      </c>
      <c r="E159" t="s">
        <v>55</v>
      </c>
      <c r="F159" t="s">
        <v>56</v>
      </c>
      <c r="G159" t="s">
        <v>24</v>
      </c>
      <c r="H159" t="s">
        <v>232</v>
      </c>
      <c r="I159">
        <v>1</v>
      </c>
      <c r="J159">
        <v>32255</v>
      </c>
      <c r="K159">
        <v>4.7</v>
      </c>
      <c r="L159">
        <v>84</v>
      </c>
      <c r="M159">
        <v>17</v>
      </c>
      <c r="N159">
        <v>5</v>
      </c>
      <c r="O159">
        <v>9293</v>
      </c>
      <c r="P159" t="s">
        <v>41</v>
      </c>
      <c r="Q159" t="s">
        <v>48</v>
      </c>
      <c r="R159" t="s">
        <v>70</v>
      </c>
      <c r="S159" t="s">
        <v>34</v>
      </c>
      <c r="T159" t="s">
        <v>30</v>
      </c>
      <c r="U159">
        <f t="shared" si="10"/>
        <v>41548</v>
      </c>
      <c r="V159" t="str">
        <f t="shared" si="11"/>
        <v>Needs Improvement</v>
      </c>
      <c r="W159" t="str">
        <f t="shared" si="12"/>
        <v>Normal</v>
      </c>
      <c r="X159" t="str">
        <f t="shared" si="13"/>
        <v>Junior</v>
      </c>
      <c r="Y159" t="str">
        <f t="shared" si="14"/>
        <v>20-24</v>
      </c>
    </row>
    <row r="160" spans="1:25" x14ac:dyDescent="0.3">
      <c r="A160">
        <v>1159</v>
      </c>
      <c r="B160" t="s">
        <v>78</v>
      </c>
      <c r="C160" t="s">
        <v>21</v>
      </c>
      <c r="D160">
        <v>44</v>
      </c>
      <c r="E160" t="s">
        <v>62</v>
      </c>
      <c r="F160" t="s">
        <v>63</v>
      </c>
      <c r="G160" t="s">
        <v>24</v>
      </c>
      <c r="H160" t="s">
        <v>233</v>
      </c>
      <c r="I160">
        <v>9</v>
      </c>
      <c r="J160">
        <v>64556</v>
      </c>
      <c r="K160">
        <v>3.4</v>
      </c>
      <c r="L160">
        <v>93.6</v>
      </c>
      <c r="M160">
        <v>23</v>
      </c>
      <c r="N160">
        <v>50</v>
      </c>
      <c r="O160">
        <v>14983</v>
      </c>
      <c r="P160" t="s">
        <v>33</v>
      </c>
      <c r="Q160" t="s">
        <v>48</v>
      </c>
      <c r="R160" t="s">
        <v>28</v>
      </c>
      <c r="S160" t="s">
        <v>49</v>
      </c>
      <c r="T160" t="s">
        <v>50</v>
      </c>
      <c r="U160">
        <f t="shared" si="10"/>
        <v>79539</v>
      </c>
      <c r="V160" t="str">
        <f t="shared" si="11"/>
        <v>Needs Improvement</v>
      </c>
      <c r="W160" t="str">
        <f t="shared" si="12"/>
        <v>High</v>
      </c>
      <c r="X160" t="str">
        <f t="shared" si="13"/>
        <v>Senior</v>
      </c>
      <c r="Y160" t="str">
        <f t="shared" si="14"/>
        <v>35-44</v>
      </c>
    </row>
    <row r="161" spans="1:25" x14ac:dyDescent="0.3">
      <c r="A161">
        <v>1160</v>
      </c>
      <c r="B161" t="s">
        <v>85</v>
      </c>
      <c r="C161" t="s">
        <v>37</v>
      </c>
      <c r="D161">
        <v>23</v>
      </c>
      <c r="E161" t="s">
        <v>55</v>
      </c>
      <c r="F161" t="s">
        <v>79</v>
      </c>
      <c r="G161" t="s">
        <v>64</v>
      </c>
      <c r="H161" t="s">
        <v>234</v>
      </c>
      <c r="I161">
        <v>6</v>
      </c>
      <c r="J161">
        <v>80669</v>
      </c>
      <c r="K161">
        <v>4.3</v>
      </c>
      <c r="L161">
        <v>90.5</v>
      </c>
      <c r="M161">
        <v>18</v>
      </c>
      <c r="N161">
        <v>46</v>
      </c>
      <c r="O161">
        <v>12315</v>
      </c>
      <c r="P161" t="s">
        <v>47</v>
      </c>
      <c r="Q161" t="s">
        <v>48</v>
      </c>
      <c r="R161" t="s">
        <v>58</v>
      </c>
      <c r="S161" t="s">
        <v>29</v>
      </c>
      <c r="T161" t="s">
        <v>50</v>
      </c>
      <c r="U161">
        <f t="shared" si="10"/>
        <v>92984</v>
      </c>
      <c r="V161" t="str">
        <f t="shared" si="11"/>
        <v>Needs Improvement</v>
      </c>
      <c r="W161" t="str">
        <f t="shared" si="12"/>
        <v>Normal</v>
      </c>
      <c r="X161" t="str">
        <f t="shared" si="13"/>
        <v>Mid</v>
      </c>
      <c r="Y161" t="str">
        <f t="shared" si="14"/>
        <v>20-24</v>
      </c>
    </row>
    <row r="162" spans="1:25" x14ac:dyDescent="0.3">
      <c r="A162">
        <v>1161</v>
      </c>
      <c r="B162" t="s">
        <v>71</v>
      </c>
      <c r="C162" t="s">
        <v>21</v>
      </c>
      <c r="D162">
        <v>44</v>
      </c>
      <c r="E162" t="s">
        <v>91</v>
      </c>
      <c r="F162" t="s">
        <v>92</v>
      </c>
      <c r="G162" t="s">
        <v>45</v>
      </c>
      <c r="H162" t="s">
        <v>235</v>
      </c>
      <c r="I162">
        <v>0</v>
      </c>
      <c r="J162">
        <v>84316</v>
      </c>
      <c r="K162">
        <v>4.2</v>
      </c>
      <c r="L162">
        <v>92.8</v>
      </c>
      <c r="M162">
        <v>7</v>
      </c>
      <c r="N162">
        <v>28</v>
      </c>
      <c r="O162">
        <v>2810</v>
      </c>
      <c r="P162" t="s">
        <v>41</v>
      </c>
      <c r="Q162" t="s">
        <v>48</v>
      </c>
      <c r="R162" t="s">
        <v>58</v>
      </c>
      <c r="S162" t="s">
        <v>29</v>
      </c>
      <c r="T162" t="s">
        <v>30</v>
      </c>
      <c r="U162">
        <f t="shared" si="10"/>
        <v>87126</v>
      </c>
      <c r="V162" t="str">
        <f t="shared" si="11"/>
        <v>Needs Improvement</v>
      </c>
      <c r="W162" t="str">
        <f t="shared" si="12"/>
        <v>Normal</v>
      </c>
      <c r="X162" t="str">
        <f t="shared" si="13"/>
        <v>Junior</v>
      </c>
      <c r="Y162" t="str">
        <f t="shared" si="14"/>
        <v>35-44</v>
      </c>
    </row>
    <row r="163" spans="1:25" x14ac:dyDescent="0.3">
      <c r="A163">
        <v>1162</v>
      </c>
      <c r="B163" t="s">
        <v>99</v>
      </c>
      <c r="C163" t="s">
        <v>37</v>
      </c>
      <c r="D163">
        <v>37</v>
      </c>
      <c r="E163" t="s">
        <v>22</v>
      </c>
      <c r="F163" t="s">
        <v>23</v>
      </c>
      <c r="G163" t="s">
        <v>59</v>
      </c>
      <c r="H163" t="s">
        <v>236</v>
      </c>
      <c r="I163">
        <v>1</v>
      </c>
      <c r="J163">
        <v>30983</v>
      </c>
      <c r="K163">
        <v>4.7</v>
      </c>
      <c r="L163">
        <v>89.7</v>
      </c>
      <c r="M163">
        <v>7</v>
      </c>
      <c r="N163">
        <v>25</v>
      </c>
      <c r="O163">
        <v>7857</v>
      </c>
      <c r="P163" t="s">
        <v>53</v>
      </c>
      <c r="Q163" t="s">
        <v>48</v>
      </c>
      <c r="R163" t="s">
        <v>70</v>
      </c>
      <c r="S163" t="s">
        <v>34</v>
      </c>
      <c r="T163" t="s">
        <v>30</v>
      </c>
      <c r="U163">
        <f t="shared" si="10"/>
        <v>38840</v>
      </c>
      <c r="V163" t="str">
        <f t="shared" si="11"/>
        <v>Needs Improvement</v>
      </c>
      <c r="W163" t="str">
        <f t="shared" si="12"/>
        <v>Normal</v>
      </c>
      <c r="X163" t="str">
        <f t="shared" si="13"/>
        <v>Junior</v>
      </c>
      <c r="Y163" t="str">
        <f t="shared" si="14"/>
        <v>35-44</v>
      </c>
    </row>
    <row r="164" spans="1:25" x14ac:dyDescent="0.3">
      <c r="A164">
        <v>1163</v>
      </c>
      <c r="B164" t="s">
        <v>88</v>
      </c>
      <c r="C164" t="s">
        <v>37</v>
      </c>
      <c r="D164">
        <v>23</v>
      </c>
      <c r="E164" t="s">
        <v>62</v>
      </c>
      <c r="F164" t="s">
        <v>63</v>
      </c>
      <c r="G164" t="s">
        <v>51</v>
      </c>
      <c r="H164" t="s">
        <v>237</v>
      </c>
      <c r="I164">
        <v>4</v>
      </c>
      <c r="J164">
        <v>43099</v>
      </c>
      <c r="K164">
        <v>3.3</v>
      </c>
      <c r="L164">
        <v>89.2</v>
      </c>
      <c r="M164">
        <v>22</v>
      </c>
      <c r="N164">
        <v>56</v>
      </c>
      <c r="O164">
        <v>9346</v>
      </c>
      <c r="P164" t="s">
        <v>41</v>
      </c>
      <c r="Q164" t="s">
        <v>48</v>
      </c>
      <c r="R164" t="s">
        <v>28</v>
      </c>
      <c r="S164" t="s">
        <v>34</v>
      </c>
      <c r="T164" t="s">
        <v>35</v>
      </c>
      <c r="U164">
        <f t="shared" si="10"/>
        <v>52445</v>
      </c>
      <c r="V164" t="str">
        <f t="shared" si="11"/>
        <v>Needs Improvement</v>
      </c>
      <c r="W164" t="str">
        <f t="shared" si="12"/>
        <v>High</v>
      </c>
      <c r="X164" t="str">
        <f t="shared" si="13"/>
        <v>Mid</v>
      </c>
      <c r="Y164" t="str">
        <f t="shared" si="14"/>
        <v>20-24</v>
      </c>
    </row>
    <row r="165" spans="1:25" x14ac:dyDescent="0.3">
      <c r="A165">
        <v>1164</v>
      </c>
      <c r="B165" t="s">
        <v>36</v>
      </c>
      <c r="C165" t="s">
        <v>21</v>
      </c>
      <c r="D165">
        <v>42</v>
      </c>
      <c r="E165" t="s">
        <v>22</v>
      </c>
      <c r="F165" t="s">
        <v>23</v>
      </c>
      <c r="G165" t="s">
        <v>51</v>
      </c>
      <c r="H165" t="s">
        <v>238</v>
      </c>
      <c r="I165">
        <v>8</v>
      </c>
      <c r="J165">
        <v>38470</v>
      </c>
      <c r="K165">
        <v>4.9000000000000004</v>
      </c>
      <c r="L165">
        <v>91.6</v>
      </c>
      <c r="M165">
        <v>17</v>
      </c>
      <c r="N165">
        <v>11</v>
      </c>
      <c r="O165">
        <v>3675</v>
      </c>
      <c r="P165" t="s">
        <v>53</v>
      </c>
      <c r="Q165" t="s">
        <v>48</v>
      </c>
      <c r="R165" t="s">
        <v>70</v>
      </c>
      <c r="S165" t="s">
        <v>34</v>
      </c>
      <c r="T165" t="s">
        <v>50</v>
      </c>
      <c r="U165">
        <f t="shared" si="10"/>
        <v>42145</v>
      </c>
      <c r="V165" t="str">
        <f t="shared" si="11"/>
        <v>Needs Improvement</v>
      </c>
      <c r="W165" t="str">
        <f t="shared" si="12"/>
        <v>Normal</v>
      </c>
      <c r="X165" t="str">
        <f t="shared" si="13"/>
        <v>Senior</v>
      </c>
      <c r="Y165" t="str">
        <f t="shared" si="14"/>
        <v>35-44</v>
      </c>
    </row>
    <row r="166" spans="1:25" x14ac:dyDescent="0.3">
      <c r="A166">
        <v>1165</v>
      </c>
      <c r="B166" t="s">
        <v>88</v>
      </c>
      <c r="C166" t="s">
        <v>37</v>
      </c>
      <c r="D166">
        <v>22</v>
      </c>
      <c r="E166" t="s">
        <v>38</v>
      </c>
      <c r="F166" t="s">
        <v>39</v>
      </c>
      <c r="G166" t="s">
        <v>24</v>
      </c>
      <c r="H166" t="s">
        <v>239</v>
      </c>
      <c r="I166">
        <v>5</v>
      </c>
      <c r="J166">
        <v>76144</v>
      </c>
      <c r="K166">
        <v>4.2</v>
      </c>
      <c r="L166">
        <v>85.4</v>
      </c>
      <c r="M166">
        <v>21</v>
      </c>
      <c r="N166">
        <v>33</v>
      </c>
      <c r="O166">
        <v>9190</v>
      </c>
      <c r="P166" t="s">
        <v>26</v>
      </c>
      <c r="Q166" t="s">
        <v>27</v>
      </c>
      <c r="R166" t="s">
        <v>58</v>
      </c>
      <c r="S166" t="s">
        <v>29</v>
      </c>
      <c r="T166" t="s">
        <v>35</v>
      </c>
      <c r="U166">
        <f t="shared" si="10"/>
        <v>85334</v>
      </c>
      <c r="V166" t="str">
        <f t="shared" si="11"/>
        <v>Needs Improvement</v>
      </c>
      <c r="W166" t="str">
        <f t="shared" si="12"/>
        <v>High</v>
      </c>
      <c r="X166" t="str">
        <f t="shared" si="13"/>
        <v>Mid</v>
      </c>
      <c r="Y166" t="str">
        <f t="shared" si="14"/>
        <v>20-24</v>
      </c>
    </row>
    <row r="167" spans="1:25" x14ac:dyDescent="0.3">
      <c r="A167">
        <v>1166</v>
      </c>
      <c r="B167" t="s">
        <v>43</v>
      </c>
      <c r="C167" t="s">
        <v>37</v>
      </c>
      <c r="D167">
        <v>44</v>
      </c>
      <c r="E167" t="s">
        <v>38</v>
      </c>
      <c r="F167" t="s">
        <v>39</v>
      </c>
      <c r="G167" t="s">
        <v>51</v>
      </c>
      <c r="H167" t="s">
        <v>240</v>
      </c>
      <c r="I167">
        <v>3</v>
      </c>
      <c r="J167">
        <v>73794</v>
      </c>
      <c r="K167">
        <v>3.5</v>
      </c>
      <c r="L167">
        <v>85.5</v>
      </c>
      <c r="M167">
        <v>8</v>
      </c>
      <c r="N167">
        <v>14</v>
      </c>
      <c r="O167">
        <v>3412</v>
      </c>
      <c r="P167" t="s">
        <v>33</v>
      </c>
      <c r="Q167" t="s">
        <v>27</v>
      </c>
      <c r="R167" t="s">
        <v>28</v>
      </c>
      <c r="S167" t="s">
        <v>29</v>
      </c>
      <c r="T167" t="s">
        <v>35</v>
      </c>
      <c r="U167">
        <f t="shared" si="10"/>
        <v>77206</v>
      </c>
      <c r="V167" t="str">
        <f t="shared" si="11"/>
        <v>Needs Improvement</v>
      </c>
      <c r="W167" t="str">
        <f t="shared" si="12"/>
        <v>Normal</v>
      </c>
      <c r="X167" t="str">
        <f t="shared" si="13"/>
        <v>Mid</v>
      </c>
      <c r="Y167" t="str">
        <f t="shared" si="14"/>
        <v>35-44</v>
      </c>
    </row>
    <row r="168" spans="1:25" x14ac:dyDescent="0.3">
      <c r="A168">
        <v>1167</v>
      </c>
      <c r="B168" t="s">
        <v>99</v>
      </c>
      <c r="C168" t="s">
        <v>21</v>
      </c>
      <c r="D168">
        <v>26</v>
      </c>
      <c r="E168" t="s">
        <v>55</v>
      </c>
      <c r="F168" t="s">
        <v>143</v>
      </c>
      <c r="G168" t="s">
        <v>51</v>
      </c>
      <c r="H168" t="s">
        <v>241</v>
      </c>
      <c r="I168">
        <v>4</v>
      </c>
      <c r="J168">
        <v>85088</v>
      </c>
      <c r="K168">
        <v>4.3</v>
      </c>
      <c r="L168">
        <v>95.7</v>
      </c>
      <c r="M168">
        <v>22</v>
      </c>
      <c r="N168">
        <v>22</v>
      </c>
      <c r="O168">
        <v>12226</v>
      </c>
      <c r="P168" t="s">
        <v>47</v>
      </c>
      <c r="Q168" t="s">
        <v>27</v>
      </c>
      <c r="R168" t="s">
        <v>58</v>
      </c>
      <c r="S168" t="s">
        <v>29</v>
      </c>
      <c r="T168" t="s">
        <v>35</v>
      </c>
      <c r="U168">
        <f t="shared" si="10"/>
        <v>97314</v>
      </c>
      <c r="V168" t="str">
        <f t="shared" si="11"/>
        <v>Excellent</v>
      </c>
      <c r="W168" t="str">
        <f t="shared" si="12"/>
        <v>High</v>
      </c>
      <c r="X168" t="str">
        <f t="shared" si="13"/>
        <v>Mid</v>
      </c>
      <c r="Y168" t="str">
        <f t="shared" si="14"/>
        <v>25-34</v>
      </c>
    </row>
    <row r="169" spans="1:25" x14ac:dyDescent="0.3">
      <c r="A169">
        <v>1168</v>
      </c>
      <c r="B169" t="s">
        <v>78</v>
      </c>
      <c r="C169" t="s">
        <v>21</v>
      </c>
      <c r="D169">
        <v>31</v>
      </c>
      <c r="E169" t="s">
        <v>62</v>
      </c>
      <c r="F169" t="s">
        <v>97</v>
      </c>
      <c r="G169" t="s">
        <v>64</v>
      </c>
      <c r="H169" t="s">
        <v>242</v>
      </c>
      <c r="I169">
        <v>0</v>
      </c>
      <c r="J169">
        <v>79267</v>
      </c>
      <c r="K169">
        <v>3.6</v>
      </c>
      <c r="L169">
        <v>96.7</v>
      </c>
      <c r="M169">
        <v>11</v>
      </c>
      <c r="N169">
        <v>19</v>
      </c>
      <c r="O169">
        <v>7340</v>
      </c>
      <c r="P169" t="s">
        <v>41</v>
      </c>
      <c r="Q169" t="s">
        <v>48</v>
      </c>
      <c r="R169" t="s">
        <v>28</v>
      </c>
      <c r="S169" t="s">
        <v>29</v>
      </c>
      <c r="T169" t="s">
        <v>30</v>
      </c>
      <c r="U169">
        <f t="shared" si="10"/>
        <v>86607</v>
      </c>
      <c r="V169" t="str">
        <f t="shared" si="11"/>
        <v>Excellent</v>
      </c>
      <c r="W169" t="str">
        <f t="shared" si="12"/>
        <v>Normal</v>
      </c>
      <c r="X169" t="str">
        <f t="shared" si="13"/>
        <v>Junior</v>
      </c>
      <c r="Y169" t="str">
        <f t="shared" si="14"/>
        <v>25-34</v>
      </c>
    </row>
    <row r="170" spans="1:25" x14ac:dyDescent="0.3">
      <c r="A170">
        <v>1169</v>
      </c>
      <c r="B170" t="s">
        <v>85</v>
      </c>
      <c r="C170" t="s">
        <v>37</v>
      </c>
      <c r="D170">
        <v>30</v>
      </c>
      <c r="E170" t="s">
        <v>38</v>
      </c>
      <c r="F170" t="s">
        <v>44</v>
      </c>
      <c r="G170" t="s">
        <v>24</v>
      </c>
      <c r="H170" t="s">
        <v>243</v>
      </c>
      <c r="I170">
        <v>2</v>
      </c>
      <c r="J170">
        <v>62607</v>
      </c>
      <c r="K170">
        <v>3.1</v>
      </c>
      <c r="L170">
        <v>95.3</v>
      </c>
      <c r="M170">
        <v>19</v>
      </c>
      <c r="N170">
        <v>54</v>
      </c>
      <c r="O170">
        <v>12497</v>
      </c>
      <c r="P170" t="s">
        <v>33</v>
      </c>
      <c r="Q170" t="s">
        <v>27</v>
      </c>
      <c r="R170" t="s">
        <v>28</v>
      </c>
      <c r="S170" t="s">
        <v>49</v>
      </c>
      <c r="T170" t="s">
        <v>30</v>
      </c>
      <c r="U170">
        <f t="shared" si="10"/>
        <v>75104</v>
      </c>
      <c r="V170" t="str">
        <f t="shared" si="11"/>
        <v>Excellent</v>
      </c>
      <c r="W170" t="str">
        <f t="shared" si="12"/>
        <v>Normal</v>
      </c>
      <c r="X170" t="str">
        <f t="shared" si="13"/>
        <v>Junior</v>
      </c>
      <c r="Y170" t="str">
        <f t="shared" si="14"/>
        <v>25-34</v>
      </c>
    </row>
    <row r="171" spans="1:25" x14ac:dyDescent="0.3">
      <c r="A171">
        <v>1170</v>
      </c>
      <c r="B171" t="s">
        <v>31</v>
      </c>
      <c r="C171" t="s">
        <v>21</v>
      </c>
      <c r="D171">
        <v>38</v>
      </c>
      <c r="E171" t="s">
        <v>38</v>
      </c>
      <c r="F171" t="s">
        <v>44</v>
      </c>
      <c r="G171" t="s">
        <v>59</v>
      </c>
      <c r="H171" t="s">
        <v>244</v>
      </c>
      <c r="I171">
        <v>4</v>
      </c>
      <c r="J171">
        <v>93456</v>
      </c>
      <c r="K171">
        <v>4.8</v>
      </c>
      <c r="L171">
        <v>83.8</v>
      </c>
      <c r="M171">
        <v>10</v>
      </c>
      <c r="N171">
        <v>17</v>
      </c>
      <c r="O171">
        <v>8355</v>
      </c>
      <c r="P171" t="s">
        <v>26</v>
      </c>
      <c r="Q171" t="s">
        <v>27</v>
      </c>
      <c r="R171" t="s">
        <v>70</v>
      </c>
      <c r="S171" t="s">
        <v>29</v>
      </c>
      <c r="T171" t="s">
        <v>35</v>
      </c>
      <c r="U171">
        <f t="shared" si="10"/>
        <v>101811</v>
      </c>
      <c r="V171" t="str">
        <f t="shared" si="11"/>
        <v>Needs Improvement</v>
      </c>
      <c r="W171" t="str">
        <f t="shared" si="12"/>
        <v>Normal</v>
      </c>
      <c r="X171" t="str">
        <f t="shared" si="13"/>
        <v>Mid</v>
      </c>
      <c r="Y171" t="str">
        <f t="shared" si="14"/>
        <v>35-44</v>
      </c>
    </row>
    <row r="172" spans="1:25" x14ac:dyDescent="0.3">
      <c r="A172">
        <v>1171</v>
      </c>
      <c r="B172" t="s">
        <v>178</v>
      </c>
      <c r="C172" t="s">
        <v>37</v>
      </c>
      <c r="D172">
        <v>31</v>
      </c>
      <c r="E172" t="s">
        <v>38</v>
      </c>
      <c r="F172" t="s">
        <v>44</v>
      </c>
      <c r="G172" t="s">
        <v>51</v>
      </c>
      <c r="H172" t="s">
        <v>245</v>
      </c>
      <c r="I172">
        <v>5</v>
      </c>
      <c r="J172">
        <v>27618</v>
      </c>
      <c r="K172">
        <v>4.9000000000000004</v>
      </c>
      <c r="L172">
        <v>82.5</v>
      </c>
      <c r="M172">
        <v>22</v>
      </c>
      <c r="N172">
        <v>9</v>
      </c>
      <c r="O172">
        <v>4477</v>
      </c>
      <c r="P172" t="s">
        <v>53</v>
      </c>
      <c r="Q172" t="s">
        <v>48</v>
      </c>
      <c r="R172" t="s">
        <v>70</v>
      </c>
      <c r="S172" t="s">
        <v>34</v>
      </c>
      <c r="T172" t="s">
        <v>35</v>
      </c>
      <c r="U172">
        <f t="shared" si="10"/>
        <v>32095</v>
      </c>
      <c r="V172" t="str">
        <f t="shared" si="11"/>
        <v>Needs Improvement</v>
      </c>
      <c r="W172" t="str">
        <f t="shared" si="12"/>
        <v>High</v>
      </c>
      <c r="X172" t="str">
        <f t="shared" si="13"/>
        <v>Mid</v>
      </c>
      <c r="Y172" t="str">
        <f t="shared" si="14"/>
        <v>25-34</v>
      </c>
    </row>
    <row r="173" spans="1:25" x14ac:dyDescent="0.3">
      <c r="A173">
        <v>1172</v>
      </c>
      <c r="B173" t="s">
        <v>78</v>
      </c>
      <c r="C173" t="s">
        <v>37</v>
      </c>
      <c r="D173">
        <v>35</v>
      </c>
      <c r="E173" t="s">
        <v>55</v>
      </c>
      <c r="F173" t="s">
        <v>79</v>
      </c>
      <c r="G173" t="s">
        <v>64</v>
      </c>
      <c r="H173" t="s">
        <v>246</v>
      </c>
      <c r="I173">
        <v>4</v>
      </c>
      <c r="J173">
        <v>78972</v>
      </c>
      <c r="K173">
        <v>4.5999999999999996</v>
      </c>
      <c r="L173">
        <v>82.4</v>
      </c>
      <c r="M173">
        <v>13</v>
      </c>
      <c r="N173">
        <v>35</v>
      </c>
      <c r="O173">
        <v>5732</v>
      </c>
      <c r="P173" t="s">
        <v>33</v>
      </c>
      <c r="Q173" t="s">
        <v>48</v>
      </c>
      <c r="R173" t="s">
        <v>70</v>
      </c>
      <c r="S173" t="s">
        <v>29</v>
      </c>
      <c r="T173" t="s">
        <v>35</v>
      </c>
      <c r="U173">
        <f t="shared" si="10"/>
        <v>84704</v>
      </c>
      <c r="V173" t="str">
        <f t="shared" si="11"/>
        <v>Needs Improvement</v>
      </c>
      <c r="W173" t="str">
        <f t="shared" si="12"/>
        <v>Normal</v>
      </c>
      <c r="X173" t="str">
        <f t="shared" si="13"/>
        <v>Mid</v>
      </c>
      <c r="Y173" t="str">
        <f t="shared" si="14"/>
        <v>35-44</v>
      </c>
    </row>
    <row r="174" spans="1:25" x14ac:dyDescent="0.3">
      <c r="A174">
        <v>1173</v>
      </c>
      <c r="B174" t="s">
        <v>85</v>
      </c>
      <c r="C174" t="s">
        <v>21</v>
      </c>
      <c r="D174">
        <v>37</v>
      </c>
      <c r="E174" t="s">
        <v>38</v>
      </c>
      <c r="F174" t="s">
        <v>39</v>
      </c>
      <c r="G174" t="s">
        <v>51</v>
      </c>
      <c r="H174" t="s">
        <v>247</v>
      </c>
      <c r="I174">
        <v>10</v>
      </c>
      <c r="J174">
        <v>73842</v>
      </c>
      <c r="K174">
        <v>3</v>
      </c>
      <c r="L174">
        <v>89.7</v>
      </c>
      <c r="M174">
        <v>13</v>
      </c>
      <c r="N174">
        <v>13</v>
      </c>
      <c r="O174">
        <v>14332</v>
      </c>
      <c r="P174" t="s">
        <v>41</v>
      </c>
      <c r="Q174" t="s">
        <v>27</v>
      </c>
      <c r="R174" t="s">
        <v>28</v>
      </c>
      <c r="S174" t="s">
        <v>29</v>
      </c>
      <c r="T174" t="s">
        <v>50</v>
      </c>
      <c r="U174">
        <f t="shared" si="10"/>
        <v>88174</v>
      </c>
      <c r="V174" t="str">
        <f t="shared" si="11"/>
        <v>Needs Improvement</v>
      </c>
      <c r="W174" t="str">
        <f t="shared" si="12"/>
        <v>Normal</v>
      </c>
      <c r="X174" t="str">
        <f t="shared" si="13"/>
        <v>Senior</v>
      </c>
      <c r="Y174" t="str">
        <f t="shared" si="14"/>
        <v>35-44</v>
      </c>
    </row>
    <row r="175" spans="1:25" x14ac:dyDescent="0.3">
      <c r="A175">
        <v>1174</v>
      </c>
      <c r="B175" t="s">
        <v>121</v>
      </c>
      <c r="C175" t="s">
        <v>21</v>
      </c>
      <c r="D175">
        <v>33</v>
      </c>
      <c r="E175" t="s">
        <v>38</v>
      </c>
      <c r="F175" t="s">
        <v>44</v>
      </c>
      <c r="G175" t="s">
        <v>24</v>
      </c>
      <c r="H175" t="s">
        <v>248</v>
      </c>
      <c r="I175">
        <v>0</v>
      </c>
      <c r="J175">
        <v>60041</v>
      </c>
      <c r="K175">
        <v>2.6</v>
      </c>
      <c r="L175">
        <v>86.8</v>
      </c>
      <c r="M175">
        <v>17</v>
      </c>
      <c r="N175">
        <v>39</v>
      </c>
      <c r="O175">
        <v>4129</v>
      </c>
      <c r="P175" t="s">
        <v>33</v>
      </c>
      <c r="Q175" t="s">
        <v>27</v>
      </c>
      <c r="R175" t="s">
        <v>42</v>
      </c>
      <c r="S175" t="s">
        <v>49</v>
      </c>
      <c r="T175" t="s">
        <v>30</v>
      </c>
      <c r="U175">
        <f t="shared" si="10"/>
        <v>64170</v>
      </c>
      <c r="V175" t="str">
        <f t="shared" si="11"/>
        <v>Needs Improvement</v>
      </c>
      <c r="W175" t="str">
        <f t="shared" si="12"/>
        <v>Normal</v>
      </c>
      <c r="X175" t="str">
        <f t="shared" si="13"/>
        <v>Junior</v>
      </c>
      <c r="Y175" t="str">
        <f t="shared" si="14"/>
        <v>25-34</v>
      </c>
    </row>
    <row r="176" spans="1:25" x14ac:dyDescent="0.3">
      <c r="A176">
        <v>1175</v>
      </c>
      <c r="B176" t="s">
        <v>61</v>
      </c>
      <c r="C176" t="s">
        <v>37</v>
      </c>
      <c r="D176">
        <v>37</v>
      </c>
      <c r="E176" t="s">
        <v>62</v>
      </c>
      <c r="F176" t="s">
        <v>97</v>
      </c>
      <c r="G176" t="s">
        <v>64</v>
      </c>
      <c r="H176" t="s">
        <v>249</v>
      </c>
      <c r="I176">
        <v>1</v>
      </c>
      <c r="J176">
        <v>78504</v>
      </c>
      <c r="K176">
        <v>3.4</v>
      </c>
      <c r="L176">
        <v>91.5</v>
      </c>
      <c r="M176">
        <v>20</v>
      </c>
      <c r="N176">
        <v>44</v>
      </c>
      <c r="O176">
        <v>8975</v>
      </c>
      <c r="P176" t="s">
        <v>47</v>
      </c>
      <c r="Q176" t="s">
        <v>48</v>
      </c>
      <c r="R176" t="s">
        <v>28</v>
      </c>
      <c r="S176" t="s">
        <v>29</v>
      </c>
      <c r="T176" t="s">
        <v>30</v>
      </c>
      <c r="U176">
        <f t="shared" si="10"/>
        <v>87479</v>
      </c>
      <c r="V176" t="str">
        <f t="shared" si="11"/>
        <v>Needs Improvement</v>
      </c>
      <c r="W176" t="str">
        <f t="shared" si="12"/>
        <v>Normal</v>
      </c>
      <c r="X176" t="str">
        <f t="shared" si="13"/>
        <v>Junior</v>
      </c>
      <c r="Y176" t="str">
        <f t="shared" si="14"/>
        <v>35-44</v>
      </c>
    </row>
    <row r="177" spans="1:25" x14ac:dyDescent="0.3">
      <c r="A177">
        <v>1176</v>
      </c>
      <c r="B177" t="s">
        <v>43</v>
      </c>
      <c r="C177" t="s">
        <v>37</v>
      </c>
      <c r="D177">
        <v>31</v>
      </c>
      <c r="E177" t="s">
        <v>62</v>
      </c>
      <c r="F177" t="s">
        <v>63</v>
      </c>
      <c r="G177" t="s">
        <v>45</v>
      </c>
      <c r="H177" t="s">
        <v>250</v>
      </c>
      <c r="I177">
        <v>9</v>
      </c>
      <c r="J177">
        <v>50086</v>
      </c>
      <c r="K177">
        <v>5</v>
      </c>
      <c r="L177">
        <v>90.4</v>
      </c>
      <c r="M177">
        <v>12</v>
      </c>
      <c r="N177">
        <v>6</v>
      </c>
      <c r="O177">
        <v>13494</v>
      </c>
      <c r="P177" t="s">
        <v>26</v>
      </c>
      <c r="Q177" t="s">
        <v>27</v>
      </c>
      <c r="R177" t="s">
        <v>70</v>
      </c>
      <c r="S177" t="s">
        <v>49</v>
      </c>
      <c r="T177" t="s">
        <v>50</v>
      </c>
      <c r="U177">
        <f t="shared" si="10"/>
        <v>63580</v>
      </c>
      <c r="V177" t="str">
        <f t="shared" si="11"/>
        <v>Needs Improvement</v>
      </c>
      <c r="W177" t="str">
        <f t="shared" si="12"/>
        <v>Normal</v>
      </c>
      <c r="X177" t="str">
        <f t="shared" si="13"/>
        <v>Senior</v>
      </c>
      <c r="Y177" t="str">
        <f t="shared" si="14"/>
        <v>25-34</v>
      </c>
    </row>
    <row r="178" spans="1:25" x14ac:dyDescent="0.3">
      <c r="A178">
        <v>1177</v>
      </c>
      <c r="B178" t="s">
        <v>178</v>
      </c>
      <c r="C178" t="s">
        <v>21</v>
      </c>
      <c r="D178">
        <v>41</v>
      </c>
      <c r="E178" t="s">
        <v>55</v>
      </c>
      <c r="F178" t="s">
        <v>56</v>
      </c>
      <c r="G178" t="s">
        <v>64</v>
      </c>
      <c r="H178" t="s">
        <v>251</v>
      </c>
      <c r="I178">
        <v>1</v>
      </c>
      <c r="J178">
        <v>55080</v>
      </c>
      <c r="K178">
        <v>3.6</v>
      </c>
      <c r="L178">
        <v>90.6</v>
      </c>
      <c r="M178">
        <v>16</v>
      </c>
      <c r="N178">
        <v>20</v>
      </c>
      <c r="O178">
        <v>4064</v>
      </c>
      <c r="P178" t="s">
        <v>41</v>
      </c>
      <c r="Q178" t="s">
        <v>48</v>
      </c>
      <c r="R178" t="s">
        <v>28</v>
      </c>
      <c r="S178" t="s">
        <v>49</v>
      </c>
      <c r="T178" t="s">
        <v>30</v>
      </c>
      <c r="U178">
        <f t="shared" si="10"/>
        <v>59144</v>
      </c>
      <c r="V178" t="str">
        <f t="shared" si="11"/>
        <v>Needs Improvement</v>
      </c>
      <c r="W178" t="str">
        <f t="shared" si="12"/>
        <v>Normal</v>
      </c>
      <c r="X178" t="str">
        <f t="shared" si="13"/>
        <v>Junior</v>
      </c>
      <c r="Y178" t="str">
        <f t="shared" si="14"/>
        <v>35-44</v>
      </c>
    </row>
    <row r="179" spans="1:25" x14ac:dyDescent="0.3">
      <c r="A179">
        <v>1178</v>
      </c>
      <c r="B179" t="s">
        <v>85</v>
      </c>
      <c r="C179" t="s">
        <v>21</v>
      </c>
      <c r="D179">
        <v>23</v>
      </c>
      <c r="E179" t="s">
        <v>55</v>
      </c>
      <c r="F179" t="s">
        <v>56</v>
      </c>
      <c r="G179" t="s">
        <v>45</v>
      </c>
      <c r="H179" t="s">
        <v>252</v>
      </c>
      <c r="I179">
        <v>6</v>
      </c>
      <c r="J179">
        <v>61702</v>
      </c>
      <c r="K179">
        <v>4.7</v>
      </c>
      <c r="L179">
        <v>94.7</v>
      </c>
      <c r="M179">
        <v>8</v>
      </c>
      <c r="N179">
        <v>28</v>
      </c>
      <c r="O179">
        <v>1180</v>
      </c>
      <c r="P179" t="s">
        <v>53</v>
      </c>
      <c r="Q179" t="s">
        <v>27</v>
      </c>
      <c r="R179" t="s">
        <v>70</v>
      </c>
      <c r="S179" t="s">
        <v>49</v>
      </c>
      <c r="T179" t="s">
        <v>50</v>
      </c>
      <c r="U179">
        <f t="shared" si="10"/>
        <v>62882</v>
      </c>
      <c r="V179" t="str">
        <f t="shared" si="11"/>
        <v>Needs Improvement</v>
      </c>
      <c r="W179" t="str">
        <f t="shared" si="12"/>
        <v>Normal</v>
      </c>
      <c r="X179" t="str">
        <f t="shared" si="13"/>
        <v>Mid</v>
      </c>
      <c r="Y179" t="str">
        <f t="shared" si="14"/>
        <v>20-24</v>
      </c>
    </row>
    <row r="180" spans="1:25" x14ac:dyDescent="0.3">
      <c r="A180">
        <v>1179</v>
      </c>
      <c r="B180" t="s">
        <v>71</v>
      </c>
      <c r="C180" t="s">
        <v>21</v>
      </c>
      <c r="D180">
        <v>39</v>
      </c>
      <c r="E180" t="s">
        <v>22</v>
      </c>
      <c r="F180" t="s">
        <v>23</v>
      </c>
      <c r="G180" t="s">
        <v>59</v>
      </c>
      <c r="H180" t="s">
        <v>240</v>
      </c>
      <c r="I180">
        <v>1</v>
      </c>
      <c r="J180">
        <v>35829</v>
      </c>
      <c r="K180">
        <v>3.6</v>
      </c>
      <c r="L180">
        <v>88</v>
      </c>
      <c r="M180">
        <v>13</v>
      </c>
      <c r="N180">
        <v>39</v>
      </c>
      <c r="O180">
        <v>13720</v>
      </c>
      <c r="P180" t="s">
        <v>47</v>
      </c>
      <c r="Q180" t="s">
        <v>27</v>
      </c>
      <c r="R180" t="s">
        <v>28</v>
      </c>
      <c r="S180" t="s">
        <v>34</v>
      </c>
      <c r="T180" t="s">
        <v>30</v>
      </c>
      <c r="U180">
        <f t="shared" si="10"/>
        <v>49549</v>
      </c>
      <c r="V180" t="str">
        <f t="shared" si="11"/>
        <v>Needs Improvement</v>
      </c>
      <c r="W180" t="str">
        <f t="shared" si="12"/>
        <v>Normal</v>
      </c>
      <c r="X180" t="str">
        <f t="shared" si="13"/>
        <v>Junior</v>
      </c>
      <c r="Y180" t="str">
        <f t="shared" si="14"/>
        <v>35-44</v>
      </c>
    </row>
    <row r="181" spans="1:25" x14ac:dyDescent="0.3">
      <c r="A181">
        <v>1180</v>
      </c>
      <c r="B181" t="s">
        <v>43</v>
      </c>
      <c r="C181" t="s">
        <v>37</v>
      </c>
      <c r="D181">
        <v>40</v>
      </c>
      <c r="E181" t="s">
        <v>38</v>
      </c>
      <c r="F181" t="s">
        <v>44</v>
      </c>
      <c r="G181" t="s">
        <v>24</v>
      </c>
      <c r="H181" t="s">
        <v>253</v>
      </c>
      <c r="I181">
        <v>5</v>
      </c>
      <c r="J181">
        <v>50544</v>
      </c>
      <c r="K181">
        <v>3.7</v>
      </c>
      <c r="L181">
        <v>91.9</v>
      </c>
      <c r="M181">
        <v>14</v>
      </c>
      <c r="N181">
        <v>26</v>
      </c>
      <c r="O181">
        <v>5274</v>
      </c>
      <c r="P181" t="s">
        <v>26</v>
      </c>
      <c r="Q181" t="s">
        <v>27</v>
      </c>
      <c r="R181" t="s">
        <v>28</v>
      </c>
      <c r="S181" t="s">
        <v>49</v>
      </c>
      <c r="T181" t="s">
        <v>35</v>
      </c>
      <c r="U181">
        <f t="shared" si="10"/>
        <v>55818</v>
      </c>
      <c r="V181" t="str">
        <f t="shared" si="11"/>
        <v>Needs Improvement</v>
      </c>
      <c r="W181" t="str">
        <f t="shared" si="12"/>
        <v>Normal</v>
      </c>
      <c r="X181" t="str">
        <f t="shared" si="13"/>
        <v>Mid</v>
      </c>
      <c r="Y181" t="str">
        <f t="shared" si="14"/>
        <v>35-44</v>
      </c>
    </row>
    <row r="182" spans="1:25" x14ac:dyDescent="0.3">
      <c r="A182">
        <v>1181</v>
      </c>
      <c r="B182" t="s">
        <v>43</v>
      </c>
      <c r="C182" t="s">
        <v>21</v>
      </c>
      <c r="D182">
        <v>28</v>
      </c>
      <c r="E182" t="s">
        <v>55</v>
      </c>
      <c r="F182" t="s">
        <v>143</v>
      </c>
      <c r="G182" t="s">
        <v>64</v>
      </c>
      <c r="H182" t="s">
        <v>254</v>
      </c>
      <c r="I182">
        <v>6</v>
      </c>
      <c r="J182">
        <v>45471</v>
      </c>
      <c r="K182">
        <v>3.1</v>
      </c>
      <c r="L182">
        <v>87.2</v>
      </c>
      <c r="M182">
        <v>8</v>
      </c>
      <c r="N182">
        <v>52</v>
      </c>
      <c r="O182">
        <v>1547</v>
      </c>
      <c r="P182" t="s">
        <v>53</v>
      </c>
      <c r="Q182" t="s">
        <v>27</v>
      </c>
      <c r="R182" t="s">
        <v>28</v>
      </c>
      <c r="S182" t="s">
        <v>34</v>
      </c>
      <c r="T182" t="s">
        <v>50</v>
      </c>
      <c r="U182">
        <f t="shared" si="10"/>
        <v>47018</v>
      </c>
      <c r="V182" t="str">
        <f t="shared" si="11"/>
        <v>Needs Improvement</v>
      </c>
      <c r="W182" t="str">
        <f t="shared" si="12"/>
        <v>Normal</v>
      </c>
      <c r="X182" t="str">
        <f t="shared" si="13"/>
        <v>Mid</v>
      </c>
      <c r="Y182" t="str">
        <f t="shared" si="14"/>
        <v>25-34</v>
      </c>
    </row>
    <row r="183" spans="1:25" x14ac:dyDescent="0.3">
      <c r="A183">
        <v>1182</v>
      </c>
      <c r="B183" t="s">
        <v>124</v>
      </c>
      <c r="C183" t="s">
        <v>21</v>
      </c>
      <c r="D183">
        <v>29</v>
      </c>
      <c r="E183" t="s">
        <v>91</v>
      </c>
      <c r="F183" t="s">
        <v>101</v>
      </c>
      <c r="G183" t="s">
        <v>64</v>
      </c>
      <c r="H183" t="s">
        <v>255</v>
      </c>
      <c r="I183">
        <v>9</v>
      </c>
      <c r="J183">
        <v>36777</v>
      </c>
      <c r="K183">
        <v>2.6</v>
      </c>
      <c r="L183">
        <v>93.2</v>
      </c>
      <c r="M183">
        <v>12</v>
      </c>
      <c r="N183">
        <v>38</v>
      </c>
      <c r="O183">
        <v>9921</v>
      </c>
      <c r="P183" t="s">
        <v>53</v>
      </c>
      <c r="Q183" t="s">
        <v>48</v>
      </c>
      <c r="R183" t="s">
        <v>42</v>
      </c>
      <c r="S183" t="s">
        <v>34</v>
      </c>
      <c r="T183" t="s">
        <v>50</v>
      </c>
      <c r="U183">
        <f t="shared" si="10"/>
        <v>46698</v>
      </c>
      <c r="V183" t="str">
        <f t="shared" si="11"/>
        <v>Needs Improvement</v>
      </c>
      <c r="W183" t="str">
        <f t="shared" si="12"/>
        <v>Normal</v>
      </c>
      <c r="X183" t="str">
        <f t="shared" si="13"/>
        <v>Senior</v>
      </c>
      <c r="Y183" t="str">
        <f t="shared" si="14"/>
        <v>25-34</v>
      </c>
    </row>
    <row r="184" spans="1:25" x14ac:dyDescent="0.3">
      <c r="A184">
        <v>1183</v>
      </c>
      <c r="B184" t="s">
        <v>73</v>
      </c>
      <c r="C184" t="s">
        <v>21</v>
      </c>
      <c r="D184">
        <v>34</v>
      </c>
      <c r="E184" t="s">
        <v>22</v>
      </c>
      <c r="F184" t="s">
        <v>23</v>
      </c>
      <c r="G184" t="s">
        <v>59</v>
      </c>
      <c r="H184" t="s">
        <v>256</v>
      </c>
      <c r="I184">
        <v>7</v>
      </c>
      <c r="J184">
        <v>67631</v>
      </c>
      <c r="K184">
        <v>4.4000000000000004</v>
      </c>
      <c r="L184">
        <v>94.6</v>
      </c>
      <c r="M184">
        <v>10</v>
      </c>
      <c r="N184">
        <v>22</v>
      </c>
      <c r="O184">
        <v>8138</v>
      </c>
      <c r="P184" t="s">
        <v>33</v>
      </c>
      <c r="Q184" t="s">
        <v>48</v>
      </c>
      <c r="R184" t="s">
        <v>58</v>
      </c>
      <c r="S184" t="s">
        <v>49</v>
      </c>
      <c r="T184" t="s">
        <v>50</v>
      </c>
      <c r="U184">
        <f t="shared" si="10"/>
        <v>75769</v>
      </c>
      <c r="V184" t="str">
        <f t="shared" si="11"/>
        <v>Needs Improvement</v>
      </c>
      <c r="W184" t="str">
        <f t="shared" si="12"/>
        <v>Normal</v>
      </c>
      <c r="X184" t="str">
        <f t="shared" si="13"/>
        <v>Senior</v>
      </c>
      <c r="Y184" t="str">
        <f t="shared" si="14"/>
        <v>25-34</v>
      </c>
    </row>
    <row r="185" spans="1:25" x14ac:dyDescent="0.3">
      <c r="A185">
        <v>1184</v>
      </c>
      <c r="B185" t="s">
        <v>83</v>
      </c>
      <c r="C185" t="s">
        <v>37</v>
      </c>
      <c r="D185">
        <v>25</v>
      </c>
      <c r="E185" t="s">
        <v>38</v>
      </c>
      <c r="F185" t="s">
        <v>44</v>
      </c>
      <c r="G185" t="s">
        <v>64</v>
      </c>
      <c r="H185" t="s">
        <v>257</v>
      </c>
      <c r="I185">
        <v>1</v>
      </c>
      <c r="J185">
        <v>49798</v>
      </c>
      <c r="K185">
        <v>4.4000000000000004</v>
      </c>
      <c r="L185">
        <v>92.4</v>
      </c>
      <c r="M185">
        <v>13</v>
      </c>
      <c r="N185">
        <v>37</v>
      </c>
      <c r="O185">
        <v>4493</v>
      </c>
      <c r="P185" t="s">
        <v>47</v>
      </c>
      <c r="Q185" t="s">
        <v>27</v>
      </c>
      <c r="R185" t="s">
        <v>58</v>
      </c>
      <c r="S185" t="s">
        <v>34</v>
      </c>
      <c r="T185" t="s">
        <v>30</v>
      </c>
      <c r="U185">
        <f t="shared" si="10"/>
        <v>54291</v>
      </c>
      <c r="V185" t="str">
        <f t="shared" si="11"/>
        <v>Needs Improvement</v>
      </c>
      <c r="W185" t="str">
        <f t="shared" si="12"/>
        <v>Normal</v>
      </c>
      <c r="X185" t="str">
        <f t="shared" si="13"/>
        <v>Junior</v>
      </c>
      <c r="Y185" t="str">
        <f t="shared" si="14"/>
        <v>25-34</v>
      </c>
    </row>
    <row r="186" spans="1:25" x14ac:dyDescent="0.3">
      <c r="A186">
        <v>1185</v>
      </c>
      <c r="B186" t="s">
        <v>83</v>
      </c>
      <c r="C186" t="s">
        <v>37</v>
      </c>
      <c r="D186">
        <v>42</v>
      </c>
      <c r="E186" t="s">
        <v>22</v>
      </c>
      <c r="F186" t="s">
        <v>66</v>
      </c>
      <c r="G186" t="s">
        <v>64</v>
      </c>
      <c r="H186" t="s">
        <v>258</v>
      </c>
      <c r="I186">
        <v>5</v>
      </c>
      <c r="J186">
        <v>92757</v>
      </c>
      <c r="K186">
        <v>3.3</v>
      </c>
      <c r="L186">
        <v>84.1</v>
      </c>
      <c r="M186">
        <v>25</v>
      </c>
      <c r="N186">
        <v>32</v>
      </c>
      <c r="O186">
        <v>2597</v>
      </c>
      <c r="P186" t="s">
        <v>41</v>
      </c>
      <c r="Q186" t="s">
        <v>27</v>
      </c>
      <c r="R186" t="s">
        <v>28</v>
      </c>
      <c r="S186" t="s">
        <v>29</v>
      </c>
      <c r="T186" t="s">
        <v>35</v>
      </c>
      <c r="U186">
        <f t="shared" si="10"/>
        <v>95354</v>
      </c>
      <c r="V186" t="str">
        <f t="shared" si="11"/>
        <v>Needs Improvement</v>
      </c>
      <c r="W186" t="str">
        <f t="shared" si="12"/>
        <v>High</v>
      </c>
      <c r="X186" t="str">
        <f t="shared" si="13"/>
        <v>Mid</v>
      </c>
      <c r="Y186" t="str">
        <f t="shared" si="14"/>
        <v>35-44</v>
      </c>
    </row>
    <row r="187" spans="1:25" x14ac:dyDescent="0.3">
      <c r="A187">
        <v>1186</v>
      </c>
      <c r="B187" t="s">
        <v>85</v>
      </c>
      <c r="C187" t="s">
        <v>21</v>
      </c>
      <c r="D187">
        <v>44</v>
      </c>
      <c r="E187" t="s">
        <v>38</v>
      </c>
      <c r="F187" t="s">
        <v>39</v>
      </c>
      <c r="G187" t="s">
        <v>24</v>
      </c>
      <c r="H187" t="s">
        <v>259</v>
      </c>
      <c r="I187">
        <v>0</v>
      </c>
      <c r="J187">
        <v>47487</v>
      </c>
      <c r="K187">
        <v>4.8</v>
      </c>
      <c r="L187">
        <v>90.4</v>
      </c>
      <c r="M187">
        <v>9</v>
      </c>
      <c r="N187">
        <v>30</v>
      </c>
      <c r="O187">
        <v>12142</v>
      </c>
      <c r="P187" t="s">
        <v>53</v>
      </c>
      <c r="Q187" t="s">
        <v>48</v>
      </c>
      <c r="R187" t="s">
        <v>70</v>
      </c>
      <c r="S187" t="s">
        <v>34</v>
      </c>
      <c r="T187" t="s">
        <v>30</v>
      </c>
      <c r="U187">
        <f t="shared" si="10"/>
        <v>59629</v>
      </c>
      <c r="V187" t="str">
        <f t="shared" si="11"/>
        <v>Needs Improvement</v>
      </c>
      <c r="W187" t="str">
        <f t="shared" si="12"/>
        <v>Normal</v>
      </c>
      <c r="X187" t="str">
        <f t="shared" si="13"/>
        <v>Junior</v>
      </c>
      <c r="Y187" t="str">
        <f t="shared" si="14"/>
        <v>35-44</v>
      </c>
    </row>
    <row r="188" spans="1:25" x14ac:dyDescent="0.3">
      <c r="A188">
        <v>1187</v>
      </c>
      <c r="B188" t="s">
        <v>99</v>
      </c>
      <c r="C188" t="s">
        <v>37</v>
      </c>
      <c r="D188">
        <v>40</v>
      </c>
      <c r="E188" t="s">
        <v>91</v>
      </c>
      <c r="F188" t="s">
        <v>101</v>
      </c>
      <c r="G188" t="s">
        <v>64</v>
      </c>
      <c r="H188" t="s">
        <v>260</v>
      </c>
      <c r="I188">
        <v>4</v>
      </c>
      <c r="J188">
        <v>65574</v>
      </c>
      <c r="K188">
        <v>4.5999999999999996</v>
      </c>
      <c r="L188">
        <v>88.6</v>
      </c>
      <c r="M188">
        <v>11</v>
      </c>
      <c r="N188">
        <v>6</v>
      </c>
      <c r="O188">
        <v>4998</v>
      </c>
      <c r="P188" t="s">
        <v>53</v>
      </c>
      <c r="Q188" t="s">
        <v>48</v>
      </c>
      <c r="R188" t="s">
        <v>70</v>
      </c>
      <c r="S188" t="s">
        <v>49</v>
      </c>
      <c r="T188" t="s">
        <v>35</v>
      </c>
      <c r="U188">
        <f t="shared" si="10"/>
        <v>70572</v>
      </c>
      <c r="V188" t="str">
        <f t="shared" si="11"/>
        <v>Needs Improvement</v>
      </c>
      <c r="W188" t="str">
        <f t="shared" si="12"/>
        <v>Normal</v>
      </c>
      <c r="X188" t="str">
        <f t="shared" si="13"/>
        <v>Mid</v>
      </c>
      <c r="Y188" t="str">
        <f t="shared" si="14"/>
        <v>35-44</v>
      </c>
    </row>
    <row r="189" spans="1:25" x14ac:dyDescent="0.3">
      <c r="A189">
        <v>1188</v>
      </c>
      <c r="B189" t="s">
        <v>54</v>
      </c>
      <c r="C189" t="s">
        <v>21</v>
      </c>
      <c r="D189">
        <v>39</v>
      </c>
      <c r="E189" t="s">
        <v>91</v>
      </c>
      <c r="F189" t="s">
        <v>92</v>
      </c>
      <c r="G189" t="s">
        <v>45</v>
      </c>
      <c r="H189" t="s">
        <v>261</v>
      </c>
      <c r="I189">
        <v>3</v>
      </c>
      <c r="J189">
        <v>27930</v>
      </c>
      <c r="K189">
        <v>2.9</v>
      </c>
      <c r="L189">
        <v>95.9</v>
      </c>
      <c r="M189">
        <v>20</v>
      </c>
      <c r="N189">
        <v>24</v>
      </c>
      <c r="O189">
        <v>5413</v>
      </c>
      <c r="P189" t="s">
        <v>26</v>
      </c>
      <c r="Q189" t="s">
        <v>48</v>
      </c>
      <c r="R189" t="s">
        <v>42</v>
      </c>
      <c r="S189" t="s">
        <v>34</v>
      </c>
      <c r="T189" t="s">
        <v>35</v>
      </c>
      <c r="U189">
        <f t="shared" si="10"/>
        <v>33343</v>
      </c>
      <c r="V189" t="str">
        <f t="shared" si="11"/>
        <v>Excellent</v>
      </c>
      <c r="W189" t="str">
        <f t="shared" si="12"/>
        <v>Normal</v>
      </c>
      <c r="X189" t="str">
        <f t="shared" si="13"/>
        <v>Mid</v>
      </c>
      <c r="Y189" t="str">
        <f t="shared" si="14"/>
        <v>35-44</v>
      </c>
    </row>
    <row r="190" spans="1:25" x14ac:dyDescent="0.3">
      <c r="A190">
        <v>1189</v>
      </c>
      <c r="B190" t="s">
        <v>36</v>
      </c>
      <c r="C190" t="s">
        <v>21</v>
      </c>
      <c r="D190">
        <v>45</v>
      </c>
      <c r="E190" t="s">
        <v>38</v>
      </c>
      <c r="F190" t="s">
        <v>39</v>
      </c>
      <c r="G190" t="s">
        <v>64</v>
      </c>
      <c r="H190" t="s">
        <v>262</v>
      </c>
      <c r="I190">
        <v>1</v>
      </c>
      <c r="J190">
        <v>78732</v>
      </c>
      <c r="K190">
        <v>2.9</v>
      </c>
      <c r="L190">
        <v>99.5</v>
      </c>
      <c r="M190">
        <v>7</v>
      </c>
      <c r="N190">
        <v>46</v>
      </c>
      <c r="O190">
        <v>12749</v>
      </c>
      <c r="P190" t="s">
        <v>33</v>
      </c>
      <c r="Q190" t="s">
        <v>27</v>
      </c>
      <c r="R190" t="s">
        <v>42</v>
      </c>
      <c r="S190" t="s">
        <v>29</v>
      </c>
      <c r="T190" t="s">
        <v>30</v>
      </c>
      <c r="U190">
        <f t="shared" si="10"/>
        <v>91481</v>
      </c>
      <c r="V190" t="str">
        <f t="shared" si="11"/>
        <v>Excellent</v>
      </c>
      <c r="W190" t="str">
        <f t="shared" si="12"/>
        <v>Normal</v>
      </c>
      <c r="X190" t="str">
        <f t="shared" si="13"/>
        <v>Junior</v>
      </c>
      <c r="Y190" t="str">
        <f t="shared" si="14"/>
        <v>45+</v>
      </c>
    </row>
    <row r="191" spans="1:25" x14ac:dyDescent="0.3">
      <c r="A191">
        <v>1190</v>
      </c>
      <c r="B191" t="s">
        <v>36</v>
      </c>
      <c r="C191" t="s">
        <v>21</v>
      </c>
      <c r="D191">
        <v>25</v>
      </c>
      <c r="E191" t="s">
        <v>91</v>
      </c>
      <c r="F191" t="s">
        <v>101</v>
      </c>
      <c r="G191" t="s">
        <v>51</v>
      </c>
      <c r="H191" t="s">
        <v>263</v>
      </c>
      <c r="I191">
        <v>10</v>
      </c>
      <c r="J191">
        <v>65030</v>
      </c>
      <c r="K191">
        <v>2.7</v>
      </c>
      <c r="L191">
        <v>89.2</v>
      </c>
      <c r="M191">
        <v>10</v>
      </c>
      <c r="N191">
        <v>12</v>
      </c>
      <c r="O191">
        <v>11406</v>
      </c>
      <c r="P191" t="s">
        <v>53</v>
      </c>
      <c r="Q191" t="s">
        <v>27</v>
      </c>
      <c r="R191" t="s">
        <v>42</v>
      </c>
      <c r="S191" t="s">
        <v>49</v>
      </c>
      <c r="T191" t="s">
        <v>50</v>
      </c>
      <c r="U191">
        <f t="shared" si="10"/>
        <v>76436</v>
      </c>
      <c r="V191" t="str">
        <f t="shared" si="11"/>
        <v>Needs Improvement</v>
      </c>
      <c r="W191" t="str">
        <f t="shared" si="12"/>
        <v>Normal</v>
      </c>
      <c r="X191" t="str">
        <f t="shared" si="13"/>
        <v>Senior</v>
      </c>
      <c r="Y191" t="str">
        <f t="shared" si="14"/>
        <v>25-34</v>
      </c>
    </row>
    <row r="192" spans="1:25" x14ac:dyDescent="0.3">
      <c r="A192">
        <v>1191</v>
      </c>
      <c r="B192" t="s">
        <v>68</v>
      </c>
      <c r="C192" t="s">
        <v>21</v>
      </c>
      <c r="D192">
        <v>34</v>
      </c>
      <c r="E192" t="s">
        <v>91</v>
      </c>
      <c r="F192" t="s">
        <v>101</v>
      </c>
      <c r="G192" t="s">
        <v>64</v>
      </c>
      <c r="H192" t="s">
        <v>264</v>
      </c>
      <c r="I192">
        <v>10</v>
      </c>
      <c r="J192">
        <v>60819</v>
      </c>
      <c r="K192">
        <v>4.8</v>
      </c>
      <c r="L192">
        <v>92.4</v>
      </c>
      <c r="M192">
        <v>6</v>
      </c>
      <c r="N192">
        <v>30</v>
      </c>
      <c r="O192">
        <v>4629</v>
      </c>
      <c r="P192" t="s">
        <v>33</v>
      </c>
      <c r="Q192" t="s">
        <v>27</v>
      </c>
      <c r="R192" t="s">
        <v>70</v>
      </c>
      <c r="S192" t="s">
        <v>49</v>
      </c>
      <c r="T192" t="s">
        <v>50</v>
      </c>
      <c r="U192">
        <f t="shared" si="10"/>
        <v>65448</v>
      </c>
      <c r="V192" t="str">
        <f t="shared" si="11"/>
        <v>Needs Improvement</v>
      </c>
      <c r="W192" t="str">
        <f t="shared" si="12"/>
        <v>Normal</v>
      </c>
      <c r="X192" t="str">
        <f t="shared" si="13"/>
        <v>Senior</v>
      </c>
      <c r="Y192" t="str">
        <f t="shared" si="14"/>
        <v>25-34</v>
      </c>
    </row>
    <row r="193" spans="1:25" x14ac:dyDescent="0.3">
      <c r="A193">
        <v>1192</v>
      </c>
      <c r="B193" t="s">
        <v>75</v>
      </c>
      <c r="C193" t="s">
        <v>37</v>
      </c>
      <c r="D193">
        <v>39</v>
      </c>
      <c r="E193" t="s">
        <v>55</v>
      </c>
      <c r="F193" t="s">
        <v>143</v>
      </c>
      <c r="G193" t="s">
        <v>64</v>
      </c>
      <c r="H193" t="s">
        <v>265</v>
      </c>
      <c r="I193">
        <v>4</v>
      </c>
      <c r="J193">
        <v>84193</v>
      </c>
      <c r="K193">
        <v>3.1</v>
      </c>
      <c r="L193">
        <v>90.6</v>
      </c>
      <c r="M193">
        <v>7</v>
      </c>
      <c r="N193">
        <v>30</v>
      </c>
      <c r="O193">
        <v>10659</v>
      </c>
      <c r="P193" t="s">
        <v>53</v>
      </c>
      <c r="Q193" t="s">
        <v>48</v>
      </c>
      <c r="R193" t="s">
        <v>28</v>
      </c>
      <c r="S193" t="s">
        <v>29</v>
      </c>
      <c r="T193" t="s">
        <v>35</v>
      </c>
      <c r="U193">
        <f t="shared" si="10"/>
        <v>94852</v>
      </c>
      <c r="V193" t="str">
        <f t="shared" si="11"/>
        <v>Needs Improvement</v>
      </c>
      <c r="W193" t="str">
        <f t="shared" si="12"/>
        <v>Normal</v>
      </c>
      <c r="X193" t="str">
        <f t="shared" si="13"/>
        <v>Mid</v>
      </c>
      <c r="Y193" t="str">
        <f t="shared" si="14"/>
        <v>35-44</v>
      </c>
    </row>
    <row r="194" spans="1:25" x14ac:dyDescent="0.3">
      <c r="A194">
        <v>1193</v>
      </c>
      <c r="B194" t="s">
        <v>121</v>
      </c>
      <c r="C194" t="s">
        <v>21</v>
      </c>
      <c r="D194">
        <v>27</v>
      </c>
      <c r="E194" t="s">
        <v>91</v>
      </c>
      <c r="F194" t="s">
        <v>92</v>
      </c>
      <c r="G194" t="s">
        <v>24</v>
      </c>
      <c r="H194" t="s">
        <v>266</v>
      </c>
      <c r="I194">
        <v>1</v>
      </c>
      <c r="J194">
        <v>35385</v>
      </c>
      <c r="K194">
        <v>3.7</v>
      </c>
      <c r="L194">
        <v>88.2</v>
      </c>
      <c r="M194">
        <v>2</v>
      </c>
      <c r="N194">
        <v>43</v>
      </c>
      <c r="O194">
        <v>14262</v>
      </c>
      <c r="P194" t="s">
        <v>41</v>
      </c>
      <c r="Q194" t="s">
        <v>27</v>
      </c>
      <c r="R194" t="s">
        <v>28</v>
      </c>
      <c r="S194" t="s">
        <v>34</v>
      </c>
      <c r="T194" t="s">
        <v>30</v>
      </c>
      <c r="U194">
        <f t="shared" si="10"/>
        <v>49647</v>
      </c>
      <c r="V194" t="str">
        <f t="shared" si="11"/>
        <v>Needs Improvement</v>
      </c>
      <c r="W194" t="str">
        <f t="shared" si="12"/>
        <v>Normal</v>
      </c>
      <c r="X194" t="str">
        <f t="shared" si="13"/>
        <v>Junior</v>
      </c>
      <c r="Y194" t="str">
        <f t="shared" si="14"/>
        <v>25-34</v>
      </c>
    </row>
    <row r="195" spans="1:25" x14ac:dyDescent="0.3">
      <c r="A195">
        <v>1194</v>
      </c>
      <c r="B195" t="s">
        <v>85</v>
      </c>
      <c r="C195" t="s">
        <v>21</v>
      </c>
      <c r="D195">
        <v>40</v>
      </c>
      <c r="E195" t="s">
        <v>38</v>
      </c>
      <c r="F195" t="s">
        <v>39</v>
      </c>
      <c r="G195" t="s">
        <v>64</v>
      </c>
      <c r="H195" t="s">
        <v>267</v>
      </c>
      <c r="I195">
        <v>7</v>
      </c>
      <c r="J195">
        <v>45261</v>
      </c>
      <c r="K195">
        <v>2.7</v>
      </c>
      <c r="L195">
        <v>97.3</v>
      </c>
      <c r="M195">
        <v>8</v>
      </c>
      <c r="N195">
        <v>26</v>
      </c>
      <c r="O195">
        <v>3286</v>
      </c>
      <c r="P195" t="s">
        <v>26</v>
      </c>
      <c r="Q195" t="s">
        <v>27</v>
      </c>
      <c r="R195" t="s">
        <v>42</v>
      </c>
      <c r="S195" t="s">
        <v>34</v>
      </c>
      <c r="T195" t="s">
        <v>50</v>
      </c>
      <c r="U195">
        <f t="shared" ref="U195:U258" si="15">J195+O195</f>
        <v>48547</v>
      </c>
      <c r="V195" t="str">
        <f t="shared" ref="V195:V258" si="16">IF(L195&gt;=95,"Excellent","Needs Improvement")</f>
        <v>Excellent</v>
      </c>
      <c r="W195" t="str">
        <f t="shared" ref="W195:W258" si="17">IF(M195&gt;20,"High","Normal")</f>
        <v>Normal</v>
      </c>
      <c r="X195" t="str">
        <f t="shared" ref="X195:X258" si="18">IF(I195&lt;3,"Junior",IF(I195&lt;7,"Mid","Senior"))</f>
        <v>Senior</v>
      </c>
      <c r="Y195" t="str">
        <f t="shared" ref="Y195:Y258" si="19">IF(D195&lt;25,"20-24",IF(D195&lt;35,"25-34",IF(D195&lt;45,"35-44","45+")))</f>
        <v>35-44</v>
      </c>
    </row>
    <row r="196" spans="1:25" x14ac:dyDescent="0.3">
      <c r="A196">
        <v>1195</v>
      </c>
      <c r="B196" t="s">
        <v>68</v>
      </c>
      <c r="C196" t="s">
        <v>21</v>
      </c>
      <c r="D196">
        <v>39</v>
      </c>
      <c r="E196" t="s">
        <v>22</v>
      </c>
      <c r="F196" t="s">
        <v>66</v>
      </c>
      <c r="G196" t="s">
        <v>51</v>
      </c>
      <c r="H196" t="s">
        <v>268</v>
      </c>
      <c r="I196">
        <v>6</v>
      </c>
      <c r="J196">
        <v>50284</v>
      </c>
      <c r="K196">
        <v>2.6</v>
      </c>
      <c r="L196">
        <v>94.1</v>
      </c>
      <c r="M196">
        <v>9</v>
      </c>
      <c r="N196">
        <v>58</v>
      </c>
      <c r="O196">
        <v>8547</v>
      </c>
      <c r="P196" t="s">
        <v>41</v>
      </c>
      <c r="Q196" t="s">
        <v>27</v>
      </c>
      <c r="R196" t="s">
        <v>42</v>
      </c>
      <c r="S196" t="s">
        <v>49</v>
      </c>
      <c r="T196" t="s">
        <v>50</v>
      </c>
      <c r="U196">
        <f t="shared" si="15"/>
        <v>58831</v>
      </c>
      <c r="V196" t="str">
        <f t="shared" si="16"/>
        <v>Needs Improvement</v>
      </c>
      <c r="W196" t="str">
        <f t="shared" si="17"/>
        <v>Normal</v>
      </c>
      <c r="X196" t="str">
        <f t="shared" si="18"/>
        <v>Mid</v>
      </c>
      <c r="Y196" t="str">
        <f t="shared" si="19"/>
        <v>35-44</v>
      </c>
    </row>
    <row r="197" spans="1:25" x14ac:dyDescent="0.3">
      <c r="A197">
        <v>1196</v>
      </c>
      <c r="B197" t="s">
        <v>83</v>
      </c>
      <c r="C197" t="s">
        <v>37</v>
      </c>
      <c r="D197">
        <v>34</v>
      </c>
      <c r="E197" t="s">
        <v>62</v>
      </c>
      <c r="F197" t="s">
        <v>63</v>
      </c>
      <c r="G197" t="s">
        <v>51</v>
      </c>
      <c r="H197" t="s">
        <v>269</v>
      </c>
      <c r="I197">
        <v>1</v>
      </c>
      <c r="J197">
        <v>34245</v>
      </c>
      <c r="K197">
        <v>4.8</v>
      </c>
      <c r="L197">
        <v>87.2</v>
      </c>
      <c r="M197">
        <v>9</v>
      </c>
      <c r="N197">
        <v>22</v>
      </c>
      <c r="O197">
        <v>5876</v>
      </c>
      <c r="P197" t="s">
        <v>41</v>
      </c>
      <c r="Q197" t="s">
        <v>48</v>
      </c>
      <c r="R197" t="s">
        <v>70</v>
      </c>
      <c r="S197" t="s">
        <v>34</v>
      </c>
      <c r="T197" t="s">
        <v>30</v>
      </c>
      <c r="U197">
        <f t="shared" si="15"/>
        <v>40121</v>
      </c>
      <c r="V197" t="str">
        <f t="shared" si="16"/>
        <v>Needs Improvement</v>
      </c>
      <c r="W197" t="str">
        <f t="shared" si="17"/>
        <v>Normal</v>
      </c>
      <c r="X197" t="str">
        <f t="shared" si="18"/>
        <v>Junior</v>
      </c>
      <c r="Y197" t="str">
        <f t="shared" si="19"/>
        <v>25-34</v>
      </c>
    </row>
    <row r="198" spans="1:25" x14ac:dyDescent="0.3">
      <c r="A198">
        <v>1197</v>
      </c>
      <c r="B198" t="s">
        <v>148</v>
      </c>
      <c r="C198" t="s">
        <v>21</v>
      </c>
      <c r="D198">
        <v>37</v>
      </c>
      <c r="E198" t="s">
        <v>91</v>
      </c>
      <c r="F198" t="s">
        <v>92</v>
      </c>
      <c r="G198" t="s">
        <v>24</v>
      </c>
      <c r="H198" t="s">
        <v>270</v>
      </c>
      <c r="I198">
        <v>1</v>
      </c>
      <c r="J198">
        <v>75035</v>
      </c>
      <c r="K198">
        <v>2.8</v>
      </c>
      <c r="L198">
        <v>84</v>
      </c>
      <c r="M198">
        <v>20</v>
      </c>
      <c r="N198">
        <v>30</v>
      </c>
      <c r="O198">
        <v>1615</v>
      </c>
      <c r="P198" t="s">
        <v>47</v>
      </c>
      <c r="Q198" t="s">
        <v>48</v>
      </c>
      <c r="R198" t="s">
        <v>42</v>
      </c>
      <c r="S198" t="s">
        <v>29</v>
      </c>
      <c r="T198" t="s">
        <v>30</v>
      </c>
      <c r="U198">
        <f t="shared" si="15"/>
        <v>76650</v>
      </c>
      <c r="V198" t="str">
        <f t="shared" si="16"/>
        <v>Needs Improvement</v>
      </c>
      <c r="W198" t="str">
        <f t="shared" si="17"/>
        <v>Normal</v>
      </c>
      <c r="X198" t="str">
        <f t="shared" si="18"/>
        <v>Junior</v>
      </c>
      <c r="Y198" t="str">
        <f t="shared" si="19"/>
        <v>35-44</v>
      </c>
    </row>
    <row r="199" spans="1:25" x14ac:dyDescent="0.3">
      <c r="A199">
        <v>1198</v>
      </c>
      <c r="B199" t="s">
        <v>71</v>
      </c>
      <c r="C199" t="s">
        <v>37</v>
      </c>
      <c r="D199">
        <v>31</v>
      </c>
      <c r="E199" t="s">
        <v>62</v>
      </c>
      <c r="F199" t="s">
        <v>97</v>
      </c>
      <c r="G199" t="s">
        <v>45</v>
      </c>
      <c r="H199" t="s">
        <v>271</v>
      </c>
      <c r="I199">
        <v>9</v>
      </c>
      <c r="J199">
        <v>40357</v>
      </c>
      <c r="K199">
        <v>3.9</v>
      </c>
      <c r="L199">
        <v>83</v>
      </c>
      <c r="M199">
        <v>11</v>
      </c>
      <c r="N199">
        <v>54</v>
      </c>
      <c r="O199">
        <v>9436</v>
      </c>
      <c r="P199" t="s">
        <v>41</v>
      </c>
      <c r="Q199" t="s">
        <v>48</v>
      </c>
      <c r="R199" t="s">
        <v>28</v>
      </c>
      <c r="S199" t="s">
        <v>34</v>
      </c>
      <c r="T199" t="s">
        <v>50</v>
      </c>
      <c r="U199">
        <f t="shared" si="15"/>
        <v>49793</v>
      </c>
      <c r="V199" t="str">
        <f t="shared" si="16"/>
        <v>Needs Improvement</v>
      </c>
      <c r="W199" t="str">
        <f t="shared" si="17"/>
        <v>Normal</v>
      </c>
      <c r="X199" t="str">
        <f t="shared" si="18"/>
        <v>Senior</v>
      </c>
      <c r="Y199" t="str">
        <f t="shared" si="19"/>
        <v>25-34</v>
      </c>
    </row>
    <row r="200" spans="1:25" x14ac:dyDescent="0.3">
      <c r="A200">
        <v>1199</v>
      </c>
      <c r="B200" t="s">
        <v>20</v>
      </c>
      <c r="C200" t="s">
        <v>37</v>
      </c>
      <c r="D200">
        <v>38</v>
      </c>
      <c r="E200" t="s">
        <v>22</v>
      </c>
      <c r="F200" t="s">
        <v>66</v>
      </c>
      <c r="G200" t="s">
        <v>64</v>
      </c>
      <c r="H200" t="s">
        <v>272</v>
      </c>
      <c r="I200">
        <v>4</v>
      </c>
      <c r="J200">
        <v>89349</v>
      </c>
      <c r="K200">
        <v>2.5</v>
      </c>
      <c r="L200">
        <v>83.4</v>
      </c>
      <c r="M200">
        <v>16</v>
      </c>
      <c r="N200">
        <v>54</v>
      </c>
      <c r="O200">
        <v>6242</v>
      </c>
      <c r="P200" t="s">
        <v>33</v>
      </c>
      <c r="Q200" t="s">
        <v>27</v>
      </c>
      <c r="R200" t="s">
        <v>42</v>
      </c>
      <c r="S200" t="s">
        <v>29</v>
      </c>
      <c r="T200" t="s">
        <v>35</v>
      </c>
      <c r="U200">
        <f t="shared" si="15"/>
        <v>95591</v>
      </c>
      <c r="V200" t="str">
        <f t="shared" si="16"/>
        <v>Needs Improvement</v>
      </c>
      <c r="W200" t="str">
        <f t="shared" si="17"/>
        <v>Normal</v>
      </c>
      <c r="X200" t="str">
        <f t="shared" si="18"/>
        <v>Mid</v>
      </c>
      <c r="Y200" t="str">
        <f t="shared" si="19"/>
        <v>35-44</v>
      </c>
    </row>
    <row r="201" spans="1:25" x14ac:dyDescent="0.3">
      <c r="A201">
        <v>1200</v>
      </c>
      <c r="B201" t="s">
        <v>111</v>
      </c>
      <c r="C201" t="s">
        <v>21</v>
      </c>
      <c r="D201">
        <v>26</v>
      </c>
      <c r="E201" t="s">
        <v>55</v>
      </c>
      <c r="F201" t="s">
        <v>56</v>
      </c>
      <c r="G201" t="s">
        <v>24</v>
      </c>
      <c r="H201" t="s">
        <v>273</v>
      </c>
      <c r="I201">
        <v>1</v>
      </c>
      <c r="J201">
        <v>26538</v>
      </c>
      <c r="K201">
        <v>2.6</v>
      </c>
      <c r="L201">
        <v>94.5</v>
      </c>
      <c r="M201">
        <v>6</v>
      </c>
      <c r="N201">
        <v>31</v>
      </c>
      <c r="O201">
        <v>12740</v>
      </c>
      <c r="P201" t="s">
        <v>33</v>
      </c>
      <c r="Q201" t="s">
        <v>48</v>
      </c>
      <c r="R201" t="s">
        <v>42</v>
      </c>
      <c r="S201" t="s">
        <v>34</v>
      </c>
      <c r="T201" t="s">
        <v>30</v>
      </c>
      <c r="U201">
        <f t="shared" si="15"/>
        <v>39278</v>
      </c>
      <c r="V201" t="str">
        <f t="shared" si="16"/>
        <v>Needs Improvement</v>
      </c>
      <c r="W201" t="str">
        <f t="shared" si="17"/>
        <v>Normal</v>
      </c>
      <c r="X201" t="str">
        <f t="shared" si="18"/>
        <v>Junior</v>
      </c>
      <c r="Y201" t="str">
        <f t="shared" si="19"/>
        <v>25-34</v>
      </c>
    </row>
    <row r="202" spans="1:25" x14ac:dyDescent="0.3">
      <c r="A202">
        <v>1201</v>
      </c>
      <c r="B202" t="s">
        <v>31</v>
      </c>
      <c r="C202" t="s">
        <v>21</v>
      </c>
      <c r="D202">
        <v>44</v>
      </c>
      <c r="E202" t="s">
        <v>62</v>
      </c>
      <c r="F202" t="s">
        <v>97</v>
      </c>
      <c r="G202" t="s">
        <v>59</v>
      </c>
      <c r="H202" t="s">
        <v>274</v>
      </c>
      <c r="I202">
        <v>7</v>
      </c>
      <c r="J202">
        <v>56223</v>
      </c>
      <c r="K202">
        <v>4.2</v>
      </c>
      <c r="L202">
        <v>95.6</v>
      </c>
      <c r="M202">
        <v>24</v>
      </c>
      <c r="N202">
        <v>38</v>
      </c>
      <c r="O202">
        <v>7504</v>
      </c>
      <c r="P202" t="s">
        <v>47</v>
      </c>
      <c r="Q202" t="s">
        <v>48</v>
      </c>
      <c r="R202" t="s">
        <v>58</v>
      </c>
      <c r="S202" t="s">
        <v>49</v>
      </c>
      <c r="T202" t="s">
        <v>50</v>
      </c>
      <c r="U202">
        <f t="shared" si="15"/>
        <v>63727</v>
      </c>
      <c r="V202" t="str">
        <f t="shared" si="16"/>
        <v>Excellent</v>
      </c>
      <c r="W202" t="str">
        <f t="shared" si="17"/>
        <v>High</v>
      </c>
      <c r="X202" t="str">
        <f t="shared" si="18"/>
        <v>Senior</v>
      </c>
      <c r="Y202" t="str">
        <f t="shared" si="19"/>
        <v>35-44</v>
      </c>
    </row>
    <row r="203" spans="1:25" x14ac:dyDescent="0.3">
      <c r="A203">
        <v>1202</v>
      </c>
      <c r="B203" t="s">
        <v>43</v>
      </c>
      <c r="C203" t="s">
        <v>21</v>
      </c>
      <c r="D203">
        <v>38</v>
      </c>
      <c r="E203" t="s">
        <v>22</v>
      </c>
      <c r="F203" t="s">
        <v>66</v>
      </c>
      <c r="G203" t="s">
        <v>64</v>
      </c>
      <c r="H203" t="s">
        <v>275</v>
      </c>
      <c r="I203">
        <v>8</v>
      </c>
      <c r="J203">
        <v>37825</v>
      </c>
      <c r="K203">
        <v>2.8</v>
      </c>
      <c r="L203">
        <v>88.2</v>
      </c>
      <c r="M203">
        <v>4</v>
      </c>
      <c r="N203">
        <v>41</v>
      </c>
      <c r="O203">
        <v>9807</v>
      </c>
      <c r="P203" t="s">
        <v>41</v>
      </c>
      <c r="Q203" t="s">
        <v>27</v>
      </c>
      <c r="R203" t="s">
        <v>42</v>
      </c>
      <c r="S203" t="s">
        <v>34</v>
      </c>
      <c r="T203" t="s">
        <v>50</v>
      </c>
      <c r="U203">
        <f t="shared" si="15"/>
        <v>47632</v>
      </c>
      <c r="V203" t="str">
        <f t="shared" si="16"/>
        <v>Needs Improvement</v>
      </c>
      <c r="W203" t="str">
        <f t="shared" si="17"/>
        <v>Normal</v>
      </c>
      <c r="X203" t="str">
        <f t="shared" si="18"/>
        <v>Senior</v>
      </c>
      <c r="Y203" t="str">
        <f t="shared" si="19"/>
        <v>35-44</v>
      </c>
    </row>
    <row r="204" spans="1:25" x14ac:dyDescent="0.3">
      <c r="A204">
        <v>1203</v>
      </c>
      <c r="B204" t="s">
        <v>20</v>
      </c>
      <c r="C204" t="s">
        <v>37</v>
      </c>
      <c r="D204">
        <v>39</v>
      </c>
      <c r="E204" t="s">
        <v>22</v>
      </c>
      <c r="F204" t="s">
        <v>23</v>
      </c>
      <c r="G204" t="s">
        <v>45</v>
      </c>
      <c r="H204" t="s">
        <v>276</v>
      </c>
      <c r="I204">
        <v>1</v>
      </c>
      <c r="J204">
        <v>90949</v>
      </c>
      <c r="K204">
        <v>3.2</v>
      </c>
      <c r="L204">
        <v>95.8</v>
      </c>
      <c r="M204">
        <v>9</v>
      </c>
      <c r="N204">
        <v>45</v>
      </c>
      <c r="O204">
        <v>12074</v>
      </c>
      <c r="P204" t="s">
        <v>33</v>
      </c>
      <c r="Q204" t="s">
        <v>27</v>
      </c>
      <c r="R204" t="s">
        <v>28</v>
      </c>
      <c r="S204" t="s">
        <v>29</v>
      </c>
      <c r="T204" t="s">
        <v>30</v>
      </c>
      <c r="U204">
        <f t="shared" si="15"/>
        <v>103023</v>
      </c>
      <c r="V204" t="str">
        <f t="shared" si="16"/>
        <v>Excellent</v>
      </c>
      <c r="W204" t="str">
        <f t="shared" si="17"/>
        <v>Normal</v>
      </c>
      <c r="X204" t="str">
        <f t="shared" si="18"/>
        <v>Junior</v>
      </c>
      <c r="Y204" t="str">
        <f t="shared" si="19"/>
        <v>35-44</v>
      </c>
    </row>
    <row r="205" spans="1:25" x14ac:dyDescent="0.3">
      <c r="A205">
        <v>1204</v>
      </c>
      <c r="B205" t="s">
        <v>43</v>
      </c>
      <c r="C205" t="s">
        <v>21</v>
      </c>
      <c r="D205">
        <v>26</v>
      </c>
      <c r="E205" t="s">
        <v>91</v>
      </c>
      <c r="F205" t="s">
        <v>101</v>
      </c>
      <c r="G205" t="s">
        <v>45</v>
      </c>
      <c r="H205" t="s">
        <v>203</v>
      </c>
      <c r="I205">
        <v>9</v>
      </c>
      <c r="J205">
        <v>72721</v>
      </c>
      <c r="K205">
        <v>4.2</v>
      </c>
      <c r="L205">
        <v>87.3</v>
      </c>
      <c r="M205">
        <v>19</v>
      </c>
      <c r="N205">
        <v>60</v>
      </c>
      <c r="O205">
        <v>10950</v>
      </c>
      <c r="P205" t="s">
        <v>33</v>
      </c>
      <c r="Q205" t="s">
        <v>27</v>
      </c>
      <c r="R205" t="s">
        <v>58</v>
      </c>
      <c r="S205" t="s">
        <v>29</v>
      </c>
      <c r="T205" t="s">
        <v>50</v>
      </c>
      <c r="U205">
        <f t="shared" si="15"/>
        <v>83671</v>
      </c>
      <c r="V205" t="str">
        <f t="shared" si="16"/>
        <v>Needs Improvement</v>
      </c>
      <c r="W205" t="str">
        <f t="shared" si="17"/>
        <v>Normal</v>
      </c>
      <c r="X205" t="str">
        <f t="shared" si="18"/>
        <v>Senior</v>
      </c>
      <c r="Y205" t="str">
        <f t="shared" si="19"/>
        <v>25-34</v>
      </c>
    </row>
    <row r="206" spans="1:25" x14ac:dyDescent="0.3">
      <c r="A206">
        <v>1205</v>
      </c>
      <c r="B206" t="s">
        <v>111</v>
      </c>
      <c r="C206" t="s">
        <v>21</v>
      </c>
      <c r="D206">
        <v>42</v>
      </c>
      <c r="E206" t="s">
        <v>62</v>
      </c>
      <c r="F206" t="s">
        <v>63</v>
      </c>
      <c r="G206" t="s">
        <v>45</v>
      </c>
      <c r="H206" t="s">
        <v>277</v>
      </c>
      <c r="I206">
        <v>6</v>
      </c>
      <c r="J206">
        <v>63255</v>
      </c>
      <c r="K206">
        <v>4.5999999999999996</v>
      </c>
      <c r="L206">
        <v>95.8</v>
      </c>
      <c r="M206">
        <v>25</v>
      </c>
      <c r="N206">
        <v>47</v>
      </c>
      <c r="O206">
        <v>10954</v>
      </c>
      <c r="P206" t="s">
        <v>47</v>
      </c>
      <c r="Q206" t="s">
        <v>48</v>
      </c>
      <c r="R206" t="s">
        <v>70</v>
      </c>
      <c r="S206" t="s">
        <v>49</v>
      </c>
      <c r="T206" t="s">
        <v>50</v>
      </c>
      <c r="U206">
        <f t="shared" si="15"/>
        <v>74209</v>
      </c>
      <c r="V206" t="str">
        <f t="shared" si="16"/>
        <v>Excellent</v>
      </c>
      <c r="W206" t="str">
        <f t="shared" si="17"/>
        <v>High</v>
      </c>
      <c r="X206" t="str">
        <f t="shared" si="18"/>
        <v>Mid</v>
      </c>
      <c r="Y206" t="str">
        <f t="shared" si="19"/>
        <v>35-44</v>
      </c>
    </row>
    <row r="207" spans="1:25" x14ac:dyDescent="0.3">
      <c r="A207">
        <v>1206</v>
      </c>
      <c r="B207" t="s">
        <v>36</v>
      </c>
      <c r="C207" t="s">
        <v>21</v>
      </c>
      <c r="D207">
        <v>33</v>
      </c>
      <c r="E207" t="s">
        <v>38</v>
      </c>
      <c r="F207" t="s">
        <v>44</v>
      </c>
      <c r="G207" t="s">
        <v>64</v>
      </c>
      <c r="H207" t="s">
        <v>278</v>
      </c>
      <c r="I207">
        <v>7</v>
      </c>
      <c r="J207">
        <v>47586</v>
      </c>
      <c r="K207">
        <v>2.6</v>
      </c>
      <c r="L207">
        <v>94.2</v>
      </c>
      <c r="M207">
        <v>17</v>
      </c>
      <c r="N207">
        <v>53</v>
      </c>
      <c r="O207">
        <v>6086</v>
      </c>
      <c r="P207" t="s">
        <v>26</v>
      </c>
      <c r="Q207" t="s">
        <v>27</v>
      </c>
      <c r="R207" t="s">
        <v>42</v>
      </c>
      <c r="S207" t="s">
        <v>34</v>
      </c>
      <c r="T207" t="s">
        <v>50</v>
      </c>
      <c r="U207">
        <f t="shared" si="15"/>
        <v>53672</v>
      </c>
      <c r="V207" t="str">
        <f t="shared" si="16"/>
        <v>Needs Improvement</v>
      </c>
      <c r="W207" t="str">
        <f t="shared" si="17"/>
        <v>Normal</v>
      </c>
      <c r="X207" t="str">
        <f t="shared" si="18"/>
        <v>Senior</v>
      </c>
      <c r="Y207" t="str">
        <f t="shared" si="19"/>
        <v>25-34</v>
      </c>
    </row>
    <row r="208" spans="1:25" x14ac:dyDescent="0.3">
      <c r="A208">
        <v>1207</v>
      </c>
      <c r="B208" t="s">
        <v>61</v>
      </c>
      <c r="C208" t="s">
        <v>37</v>
      </c>
      <c r="D208">
        <v>29</v>
      </c>
      <c r="E208" t="s">
        <v>55</v>
      </c>
      <c r="F208" t="s">
        <v>143</v>
      </c>
      <c r="G208" t="s">
        <v>24</v>
      </c>
      <c r="H208" t="s">
        <v>279</v>
      </c>
      <c r="I208">
        <v>2</v>
      </c>
      <c r="J208">
        <v>38282</v>
      </c>
      <c r="K208">
        <v>3.3</v>
      </c>
      <c r="L208">
        <v>93.7</v>
      </c>
      <c r="M208">
        <v>6</v>
      </c>
      <c r="N208">
        <v>28</v>
      </c>
      <c r="O208">
        <v>14590</v>
      </c>
      <c r="P208" t="s">
        <v>47</v>
      </c>
      <c r="Q208" t="s">
        <v>27</v>
      </c>
      <c r="R208" t="s">
        <v>28</v>
      </c>
      <c r="S208" t="s">
        <v>34</v>
      </c>
      <c r="T208" t="s">
        <v>30</v>
      </c>
      <c r="U208">
        <f t="shared" si="15"/>
        <v>52872</v>
      </c>
      <c r="V208" t="str">
        <f t="shared" si="16"/>
        <v>Needs Improvement</v>
      </c>
      <c r="W208" t="str">
        <f t="shared" si="17"/>
        <v>Normal</v>
      </c>
      <c r="X208" t="str">
        <f t="shared" si="18"/>
        <v>Junior</v>
      </c>
      <c r="Y208" t="str">
        <f t="shared" si="19"/>
        <v>25-34</v>
      </c>
    </row>
    <row r="209" spans="1:25" x14ac:dyDescent="0.3">
      <c r="A209">
        <v>1208</v>
      </c>
      <c r="B209" t="s">
        <v>20</v>
      </c>
      <c r="C209" t="s">
        <v>37</v>
      </c>
      <c r="D209">
        <v>22</v>
      </c>
      <c r="E209" t="s">
        <v>22</v>
      </c>
      <c r="F209" t="s">
        <v>23</v>
      </c>
      <c r="G209" t="s">
        <v>24</v>
      </c>
      <c r="H209" t="s">
        <v>280</v>
      </c>
      <c r="I209">
        <v>8</v>
      </c>
      <c r="J209">
        <v>74326</v>
      </c>
      <c r="K209">
        <v>2.5</v>
      </c>
      <c r="L209">
        <v>92.7</v>
      </c>
      <c r="M209">
        <v>14</v>
      </c>
      <c r="N209">
        <v>51</v>
      </c>
      <c r="O209">
        <v>9287</v>
      </c>
      <c r="P209" t="s">
        <v>41</v>
      </c>
      <c r="Q209" t="s">
        <v>48</v>
      </c>
      <c r="R209" t="s">
        <v>42</v>
      </c>
      <c r="S209" t="s">
        <v>29</v>
      </c>
      <c r="T209" t="s">
        <v>50</v>
      </c>
      <c r="U209">
        <f t="shared" si="15"/>
        <v>83613</v>
      </c>
      <c r="V209" t="str">
        <f t="shared" si="16"/>
        <v>Needs Improvement</v>
      </c>
      <c r="W209" t="str">
        <f t="shared" si="17"/>
        <v>Normal</v>
      </c>
      <c r="X209" t="str">
        <f t="shared" si="18"/>
        <v>Senior</v>
      </c>
      <c r="Y209" t="str">
        <f t="shared" si="19"/>
        <v>20-24</v>
      </c>
    </row>
    <row r="210" spans="1:25" x14ac:dyDescent="0.3">
      <c r="A210">
        <v>1209</v>
      </c>
      <c r="B210" t="s">
        <v>88</v>
      </c>
      <c r="C210" t="s">
        <v>37</v>
      </c>
      <c r="D210">
        <v>25</v>
      </c>
      <c r="E210" t="s">
        <v>38</v>
      </c>
      <c r="F210" t="s">
        <v>39</v>
      </c>
      <c r="G210" t="s">
        <v>64</v>
      </c>
      <c r="H210" t="s">
        <v>281</v>
      </c>
      <c r="I210">
        <v>5</v>
      </c>
      <c r="J210">
        <v>69497</v>
      </c>
      <c r="K210">
        <v>4.7</v>
      </c>
      <c r="L210">
        <v>85.4</v>
      </c>
      <c r="M210">
        <v>17</v>
      </c>
      <c r="N210">
        <v>28</v>
      </c>
      <c r="O210">
        <v>4425</v>
      </c>
      <c r="P210" t="s">
        <v>33</v>
      </c>
      <c r="Q210" t="s">
        <v>48</v>
      </c>
      <c r="R210" t="s">
        <v>70</v>
      </c>
      <c r="S210" t="s">
        <v>49</v>
      </c>
      <c r="T210" t="s">
        <v>35</v>
      </c>
      <c r="U210">
        <f t="shared" si="15"/>
        <v>73922</v>
      </c>
      <c r="V210" t="str">
        <f t="shared" si="16"/>
        <v>Needs Improvement</v>
      </c>
      <c r="W210" t="str">
        <f t="shared" si="17"/>
        <v>Normal</v>
      </c>
      <c r="X210" t="str">
        <f t="shared" si="18"/>
        <v>Mid</v>
      </c>
      <c r="Y210" t="str">
        <f t="shared" si="19"/>
        <v>25-34</v>
      </c>
    </row>
    <row r="211" spans="1:25" x14ac:dyDescent="0.3">
      <c r="A211">
        <v>1210</v>
      </c>
      <c r="B211" t="s">
        <v>78</v>
      </c>
      <c r="C211" t="s">
        <v>37</v>
      </c>
      <c r="D211">
        <v>44</v>
      </c>
      <c r="E211" t="s">
        <v>22</v>
      </c>
      <c r="F211" t="s">
        <v>66</v>
      </c>
      <c r="G211" t="s">
        <v>59</v>
      </c>
      <c r="H211" t="s">
        <v>282</v>
      </c>
      <c r="I211">
        <v>5</v>
      </c>
      <c r="J211">
        <v>70445</v>
      </c>
      <c r="K211">
        <v>4.5</v>
      </c>
      <c r="L211">
        <v>98.7</v>
      </c>
      <c r="M211">
        <v>20</v>
      </c>
      <c r="N211">
        <v>15</v>
      </c>
      <c r="O211">
        <v>3282</v>
      </c>
      <c r="P211" t="s">
        <v>41</v>
      </c>
      <c r="Q211" t="s">
        <v>27</v>
      </c>
      <c r="R211" t="s">
        <v>70</v>
      </c>
      <c r="S211" t="s">
        <v>29</v>
      </c>
      <c r="T211" t="s">
        <v>35</v>
      </c>
      <c r="U211">
        <f t="shared" si="15"/>
        <v>73727</v>
      </c>
      <c r="V211" t="str">
        <f t="shared" si="16"/>
        <v>Excellent</v>
      </c>
      <c r="W211" t="str">
        <f t="shared" si="17"/>
        <v>Normal</v>
      </c>
      <c r="X211" t="str">
        <f t="shared" si="18"/>
        <v>Mid</v>
      </c>
      <c r="Y211" t="str">
        <f t="shared" si="19"/>
        <v>35-44</v>
      </c>
    </row>
    <row r="212" spans="1:25" x14ac:dyDescent="0.3">
      <c r="A212">
        <v>1211</v>
      </c>
      <c r="B212" t="s">
        <v>121</v>
      </c>
      <c r="C212" t="s">
        <v>37</v>
      </c>
      <c r="D212">
        <v>34</v>
      </c>
      <c r="E212" t="s">
        <v>22</v>
      </c>
      <c r="F212" t="s">
        <v>23</v>
      </c>
      <c r="G212" t="s">
        <v>51</v>
      </c>
      <c r="H212" t="s">
        <v>283</v>
      </c>
      <c r="I212">
        <v>5</v>
      </c>
      <c r="J212">
        <v>46133</v>
      </c>
      <c r="K212">
        <v>4.0999999999999996</v>
      </c>
      <c r="L212">
        <v>98.8</v>
      </c>
      <c r="M212">
        <v>16</v>
      </c>
      <c r="N212">
        <v>10</v>
      </c>
      <c r="O212">
        <v>11430</v>
      </c>
      <c r="P212" t="s">
        <v>33</v>
      </c>
      <c r="Q212" t="s">
        <v>48</v>
      </c>
      <c r="R212" t="s">
        <v>58</v>
      </c>
      <c r="S212" t="s">
        <v>34</v>
      </c>
      <c r="T212" t="s">
        <v>35</v>
      </c>
      <c r="U212">
        <f t="shared" si="15"/>
        <v>57563</v>
      </c>
      <c r="V212" t="str">
        <f t="shared" si="16"/>
        <v>Excellent</v>
      </c>
      <c r="W212" t="str">
        <f t="shared" si="17"/>
        <v>Normal</v>
      </c>
      <c r="X212" t="str">
        <f t="shared" si="18"/>
        <v>Mid</v>
      </c>
      <c r="Y212" t="str">
        <f t="shared" si="19"/>
        <v>25-34</v>
      </c>
    </row>
    <row r="213" spans="1:25" x14ac:dyDescent="0.3">
      <c r="A213">
        <v>1212</v>
      </c>
      <c r="B213" t="s">
        <v>178</v>
      </c>
      <c r="C213" t="s">
        <v>21</v>
      </c>
      <c r="D213">
        <v>44</v>
      </c>
      <c r="E213" t="s">
        <v>55</v>
      </c>
      <c r="F213" t="s">
        <v>79</v>
      </c>
      <c r="G213" t="s">
        <v>45</v>
      </c>
      <c r="H213" t="s">
        <v>284</v>
      </c>
      <c r="I213">
        <v>8</v>
      </c>
      <c r="J213">
        <v>90465</v>
      </c>
      <c r="K213">
        <v>2.9</v>
      </c>
      <c r="L213">
        <v>90.5</v>
      </c>
      <c r="M213">
        <v>10</v>
      </c>
      <c r="N213">
        <v>10</v>
      </c>
      <c r="O213">
        <v>7361</v>
      </c>
      <c r="P213" t="s">
        <v>47</v>
      </c>
      <c r="Q213" t="s">
        <v>48</v>
      </c>
      <c r="R213" t="s">
        <v>42</v>
      </c>
      <c r="S213" t="s">
        <v>29</v>
      </c>
      <c r="T213" t="s">
        <v>50</v>
      </c>
      <c r="U213">
        <f t="shared" si="15"/>
        <v>97826</v>
      </c>
      <c r="V213" t="str">
        <f t="shared" si="16"/>
        <v>Needs Improvement</v>
      </c>
      <c r="W213" t="str">
        <f t="shared" si="17"/>
        <v>Normal</v>
      </c>
      <c r="X213" t="str">
        <f t="shared" si="18"/>
        <v>Senior</v>
      </c>
      <c r="Y213" t="str">
        <f t="shared" si="19"/>
        <v>35-44</v>
      </c>
    </row>
    <row r="214" spans="1:25" x14ac:dyDescent="0.3">
      <c r="A214">
        <v>1213</v>
      </c>
      <c r="B214" t="s">
        <v>73</v>
      </c>
      <c r="C214" t="s">
        <v>21</v>
      </c>
      <c r="D214">
        <v>36</v>
      </c>
      <c r="E214" t="s">
        <v>55</v>
      </c>
      <c r="F214" t="s">
        <v>143</v>
      </c>
      <c r="G214" t="s">
        <v>51</v>
      </c>
      <c r="H214" t="s">
        <v>256</v>
      </c>
      <c r="I214">
        <v>10</v>
      </c>
      <c r="J214">
        <v>50482</v>
      </c>
      <c r="K214">
        <v>3.4</v>
      </c>
      <c r="L214">
        <v>90.4</v>
      </c>
      <c r="M214">
        <v>11</v>
      </c>
      <c r="N214">
        <v>33</v>
      </c>
      <c r="O214">
        <v>11950</v>
      </c>
      <c r="P214" t="s">
        <v>53</v>
      </c>
      <c r="Q214" t="s">
        <v>27</v>
      </c>
      <c r="R214" t="s">
        <v>28</v>
      </c>
      <c r="S214" t="s">
        <v>49</v>
      </c>
      <c r="T214" t="s">
        <v>50</v>
      </c>
      <c r="U214">
        <f t="shared" si="15"/>
        <v>62432</v>
      </c>
      <c r="V214" t="str">
        <f t="shared" si="16"/>
        <v>Needs Improvement</v>
      </c>
      <c r="W214" t="str">
        <f t="shared" si="17"/>
        <v>Normal</v>
      </c>
      <c r="X214" t="str">
        <f t="shared" si="18"/>
        <v>Senior</v>
      </c>
      <c r="Y214" t="str">
        <f t="shared" si="19"/>
        <v>35-44</v>
      </c>
    </row>
    <row r="215" spans="1:25" x14ac:dyDescent="0.3">
      <c r="A215">
        <v>1214</v>
      </c>
      <c r="B215" t="s">
        <v>121</v>
      </c>
      <c r="C215" t="s">
        <v>21</v>
      </c>
      <c r="D215">
        <v>36</v>
      </c>
      <c r="E215" t="s">
        <v>22</v>
      </c>
      <c r="F215" t="s">
        <v>66</v>
      </c>
      <c r="G215" t="s">
        <v>64</v>
      </c>
      <c r="H215" t="s">
        <v>285</v>
      </c>
      <c r="I215">
        <v>4</v>
      </c>
      <c r="J215">
        <v>49462</v>
      </c>
      <c r="K215">
        <v>3.3</v>
      </c>
      <c r="L215">
        <v>99.8</v>
      </c>
      <c r="M215">
        <v>12</v>
      </c>
      <c r="N215">
        <v>35</v>
      </c>
      <c r="O215">
        <v>2955</v>
      </c>
      <c r="P215" t="s">
        <v>53</v>
      </c>
      <c r="Q215" t="s">
        <v>27</v>
      </c>
      <c r="R215" t="s">
        <v>28</v>
      </c>
      <c r="S215" t="s">
        <v>34</v>
      </c>
      <c r="T215" t="s">
        <v>35</v>
      </c>
      <c r="U215">
        <f t="shared" si="15"/>
        <v>52417</v>
      </c>
      <c r="V215" t="str">
        <f t="shared" si="16"/>
        <v>Excellent</v>
      </c>
      <c r="W215" t="str">
        <f t="shared" si="17"/>
        <v>Normal</v>
      </c>
      <c r="X215" t="str">
        <f t="shared" si="18"/>
        <v>Mid</v>
      </c>
      <c r="Y215" t="str">
        <f t="shared" si="19"/>
        <v>35-44</v>
      </c>
    </row>
    <row r="216" spans="1:25" x14ac:dyDescent="0.3">
      <c r="A216">
        <v>1215</v>
      </c>
      <c r="B216" t="s">
        <v>54</v>
      </c>
      <c r="C216" t="s">
        <v>37</v>
      </c>
      <c r="D216">
        <v>29</v>
      </c>
      <c r="E216" t="s">
        <v>38</v>
      </c>
      <c r="F216" t="s">
        <v>39</v>
      </c>
      <c r="G216" t="s">
        <v>51</v>
      </c>
      <c r="H216" t="s">
        <v>286</v>
      </c>
      <c r="I216">
        <v>6</v>
      </c>
      <c r="J216">
        <v>34681</v>
      </c>
      <c r="K216">
        <v>3.2</v>
      </c>
      <c r="L216">
        <v>89.3</v>
      </c>
      <c r="M216">
        <v>7</v>
      </c>
      <c r="N216">
        <v>18</v>
      </c>
      <c r="O216">
        <v>13130</v>
      </c>
      <c r="P216" t="s">
        <v>33</v>
      </c>
      <c r="Q216" t="s">
        <v>27</v>
      </c>
      <c r="R216" t="s">
        <v>28</v>
      </c>
      <c r="S216" t="s">
        <v>34</v>
      </c>
      <c r="T216" t="s">
        <v>50</v>
      </c>
      <c r="U216">
        <f t="shared" si="15"/>
        <v>47811</v>
      </c>
      <c r="V216" t="str">
        <f t="shared" si="16"/>
        <v>Needs Improvement</v>
      </c>
      <c r="W216" t="str">
        <f t="shared" si="17"/>
        <v>Normal</v>
      </c>
      <c r="X216" t="str">
        <f t="shared" si="18"/>
        <v>Mid</v>
      </c>
      <c r="Y216" t="str">
        <f t="shared" si="19"/>
        <v>25-34</v>
      </c>
    </row>
    <row r="217" spans="1:25" x14ac:dyDescent="0.3">
      <c r="A217">
        <v>1216</v>
      </c>
      <c r="B217" t="s">
        <v>178</v>
      </c>
      <c r="C217" t="s">
        <v>37</v>
      </c>
      <c r="D217">
        <v>24</v>
      </c>
      <c r="E217" t="s">
        <v>22</v>
      </c>
      <c r="F217" t="s">
        <v>66</v>
      </c>
      <c r="G217" t="s">
        <v>51</v>
      </c>
      <c r="H217" t="s">
        <v>287</v>
      </c>
      <c r="I217">
        <v>7</v>
      </c>
      <c r="J217">
        <v>32769</v>
      </c>
      <c r="K217">
        <v>4.0999999999999996</v>
      </c>
      <c r="L217">
        <v>82.6</v>
      </c>
      <c r="M217">
        <v>19</v>
      </c>
      <c r="N217">
        <v>46</v>
      </c>
      <c r="O217">
        <v>11378</v>
      </c>
      <c r="P217" t="s">
        <v>26</v>
      </c>
      <c r="Q217" t="s">
        <v>48</v>
      </c>
      <c r="R217" t="s">
        <v>58</v>
      </c>
      <c r="S217" t="s">
        <v>34</v>
      </c>
      <c r="T217" t="s">
        <v>50</v>
      </c>
      <c r="U217">
        <f t="shared" si="15"/>
        <v>44147</v>
      </c>
      <c r="V217" t="str">
        <f t="shared" si="16"/>
        <v>Needs Improvement</v>
      </c>
      <c r="W217" t="str">
        <f t="shared" si="17"/>
        <v>Normal</v>
      </c>
      <c r="X217" t="str">
        <f t="shared" si="18"/>
        <v>Senior</v>
      </c>
      <c r="Y217" t="str">
        <f t="shared" si="19"/>
        <v>20-24</v>
      </c>
    </row>
    <row r="218" spans="1:25" x14ac:dyDescent="0.3">
      <c r="A218">
        <v>1217</v>
      </c>
      <c r="B218" t="s">
        <v>99</v>
      </c>
      <c r="C218" t="s">
        <v>21</v>
      </c>
      <c r="D218">
        <v>32</v>
      </c>
      <c r="E218" t="s">
        <v>38</v>
      </c>
      <c r="F218" t="s">
        <v>39</v>
      </c>
      <c r="G218" t="s">
        <v>59</v>
      </c>
      <c r="H218" t="s">
        <v>288</v>
      </c>
      <c r="I218">
        <v>3</v>
      </c>
      <c r="J218">
        <v>93314</v>
      </c>
      <c r="K218">
        <v>5</v>
      </c>
      <c r="L218">
        <v>98.9</v>
      </c>
      <c r="M218">
        <v>8</v>
      </c>
      <c r="N218">
        <v>43</v>
      </c>
      <c r="O218">
        <v>13418</v>
      </c>
      <c r="P218" t="s">
        <v>33</v>
      </c>
      <c r="Q218" t="s">
        <v>27</v>
      </c>
      <c r="R218" t="s">
        <v>70</v>
      </c>
      <c r="S218" t="s">
        <v>29</v>
      </c>
      <c r="T218" t="s">
        <v>35</v>
      </c>
      <c r="U218">
        <f t="shared" si="15"/>
        <v>106732</v>
      </c>
      <c r="V218" t="str">
        <f t="shared" si="16"/>
        <v>Excellent</v>
      </c>
      <c r="W218" t="str">
        <f t="shared" si="17"/>
        <v>Normal</v>
      </c>
      <c r="X218" t="str">
        <f t="shared" si="18"/>
        <v>Mid</v>
      </c>
      <c r="Y218" t="str">
        <f t="shared" si="19"/>
        <v>25-34</v>
      </c>
    </row>
    <row r="219" spans="1:25" x14ac:dyDescent="0.3">
      <c r="A219">
        <v>1218</v>
      </c>
      <c r="B219" t="s">
        <v>78</v>
      </c>
      <c r="C219" t="s">
        <v>21</v>
      </c>
      <c r="D219">
        <v>34</v>
      </c>
      <c r="E219" t="s">
        <v>62</v>
      </c>
      <c r="F219" t="s">
        <v>63</v>
      </c>
      <c r="G219" t="s">
        <v>24</v>
      </c>
      <c r="H219" t="s">
        <v>289</v>
      </c>
      <c r="I219">
        <v>3</v>
      </c>
      <c r="J219">
        <v>84334</v>
      </c>
      <c r="K219">
        <v>2.8</v>
      </c>
      <c r="L219">
        <v>92.2</v>
      </c>
      <c r="M219">
        <v>19</v>
      </c>
      <c r="N219">
        <v>56</v>
      </c>
      <c r="O219">
        <v>6089</v>
      </c>
      <c r="P219" t="s">
        <v>33</v>
      </c>
      <c r="Q219" t="s">
        <v>48</v>
      </c>
      <c r="R219" t="s">
        <v>42</v>
      </c>
      <c r="S219" t="s">
        <v>29</v>
      </c>
      <c r="T219" t="s">
        <v>35</v>
      </c>
      <c r="U219">
        <f t="shared" si="15"/>
        <v>90423</v>
      </c>
      <c r="V219" t="str">
        <f t="shared" si="16"/>
        <v>Needs Improvement</v>
      </c>
      <c r="W219" t="str">
        <f t="shared" si="17"/>
        <v>Normal</v>
      </c>
      <c r="X219" t="str">
        <f t="shared" si="18"/>
        <v>Mid</v>
      </c>
      <c r="Y219" t="str">
        <f t="shared" si="19"/>
        <v>25-34</v>
      </c>
    </row>
    <row r="220" spans="1:25" x14ac:dyDescent="0.3">
      <c r="A220">
        <v>1219</v>
      </c>
      <c r="B220" t="s">
        <v>36</v>
      </c>
      <c r="C220" t="s">
        <v>37</v>
      </c>
      <c r="D220">
        <v>24</v>
      </c>
      <c r="E220" t="s">
        <v>55</v>
      </c>
      <c r="F220" t="s">
        <v>143</v>
      </c>
      <c r="G220" t="s">
        <v>24</v>
      </c>
      <c r="H220" t="s">
        <v>290</v>
      </c>
      <c r="I220">
        <v>8</v>
      </c>
      <c r="J220">
        <v>81819</v>
      </c>
      <c r="K220">
        <v>3.3</v>
      </c>
      <c r="L220">
        <v>96</v>
      </c>
      <c r="M220">
        <v>19</v>
      </c>
      <c r="N220">
        <v>38</v>
      </c>
      <c r="O220">
        <v>3922</v>
      </c>
      <c r="P220" t="s">
        <v>47</v>
      </c>
      <c r="Q220" t="s">
        <v>48</v>
      </c>
      <c r="R220" t="s">
        <v>28</v>
      </c>
      <c r="S220" t="s">
        <v>29</v>
      </c>
      <c r="T220" t="s">
        <v>50</v>
      </c>
      <c r="U220">
        <f t="shared" si="15"/>
        <v>85741</v>
      </c>
      <c r="V220" t="str">
        <f t="shared" si="16"/>
        <v>Excellent</v>
      </c>
      <c r="W220" t="str">
        <f t="shared" si="17"/>
        <v>Normal</v>
      </c>
      <c r="X220" t="str">
        <f t="shared" si="18"/>
        <v>Senior</v>
      </c>
      <c r="Y220" t="str">
        <f t="shared" si="19"/>
        <v>20-24</v>
      </c>
    </row>
    <row r="221" spans="1:25" x14ac:dyDescent="0.3">
      <c r="A221">
        <v>1220</v>
      </c>
      <c r="B221" t="s">
        <v>71</v>
      </c>
      <c r="C221" t="s">
        <v>21</v>
      </c>
      <c r="D221">
        <v>23</v>
      </c>
      <c r="E221" t="s">
        <v>38</v>
      </c>
      <c r="F221" t="s">
        <v>44</v>
      </c>
      <c r="G221" t="s">
        <v>51</v>
      </c>
      <c r="H221" t="s">
        <v>291</v>
      </c>
      <c r="I221">
        <v>8</v>
      </c>
      <c r="J221">
        <v>64238</v>
      </c>
      <c r="K221">
        <v>3.1</v>
      </c>
      <c r="L221">
        <v>82.9</v>
      </c>
      <c r="M221">
        <v>11</v>
      </c>
      <c r="N221">
        <v>54</v>
      </c>
      <c r="O221">
        <v>6385</v>
      </c>
      <c r="P221" t="s">
        <v>41</v>
      </c>
      <c r="Q221" t="s">
        <v>27</v>
      </c>
      <c r="R221" t="s">
        <v>28</v>
      </c>
      <c r="S221" t="s">
        <v>49</v>
      </c>
      <c r="T221" t="s">
        <v>50</v>
      </c>
      <c r="U221">
        <f t="shared" si="15"/>
        <v>70623</v>
      </c>
      <c r="V221" t="str">
        <f t="shared" si="16"/>
        <v>Needs Improvement</v>
      </c>
      <c r="W221" t="str">
        <f t="shared" si="17"/>
        <v>Normal</v>
      </c>
      <c r="X221" t="str">
        <f t="shared" si="18"/>
        <v>Senior</v>
      </c>
      <c r="Y221" t="str">
        <f t="shared" si="19"/>
        <v>20-24</v>
      </c>
    </row>
    <row r="222" spans="1:25" x14ac:dyDescent="0.3">
      <c r="A222">
        <v>1221</v>
      </c>
      <c r="B222" t="s">
        <v>61</v>
      </c>
      <c r="C222" t="s">
        <v>37</v>
      </c>
      <c r="D222">
        <v>30</v>
      </c>
      <c r="E222" t="s">
        <v>62</v>
      </c>
      <c r="F222" t="s">
        <v>97</v>
      </c>
      <c r="G222" t="s">
        <v>24</v>
      </c>
      <c r="H222" t="s">
        <v>292</v>
      </c>
      <c r="I222">
        <v>3</v>
      </c>
      <c r="J222">
        <v>40681</v>
      </c>
      <c r="K222">
        <v>4.2</v>
      </c>
      <c r="L222">
        <v>97.8</v>
      </c>
      <c r="M222">
        <v>22</v>
      </c>
      <c r="N222">
        <v>8</v>
      </c>
      <c r="O222">
        <v>14160</v>
      </c>
      <c r="P222" t="s">
        <v>41</v>
      </c>
      <c r="Q222" t="s">
        <v>48</v>
      </c>
      <c r="R222" t="s">
        <v>58</v>
      </c>
      <c r="S222" t="s">
        <v>34</v>
      </c>
      <c r="T222" t="s">
        <v>35</v>
      </c>
      <c r="U222">
        <f t="shared" si="15"/>
        <v>54841</v>
      </c>
      <c r="V222" t="str">
        <f t="shared" si="16"/>
        <v>Excellent</v>
      </c>
      <c r="W222" t="str">
        <f t="shared" si="17"/>
        <v>High</v>
      </c>
      <c r="X222" t="str">
        <f t="shared" si="18"/>
        <v>Mid</v>
      </c>
      <c r="Y222" t="str">
        <f t="shared" si="19"/>
        <v>25-34</v>
      </c>
    </row>
    <row r="223" spans="1:25" x14ac:dyDescent="0.3">
      <c r="A223">
        <v>1222</v>
      </c>
      <c r="B223" t="s">
        <v>178</v>
      </c>
      <c r="C223" t="s">
        <v>21</v>
      </c>
      <c r="D223">
        <v>26</v>
      </c>
      <c r="E223" t="s">
        <v>91</v>
      </c>
      <c r="F223" t="s">
        <v>101</v>
      </c>
      <c r="G223" t="s">
        <v>64</v>
      </c>
      <c r="H223" t="s">
        <v>293</v>
      </c>
      <c r="I223">
        <v>9</v>
      </c>
      <c r="J223">
        <v>77654</v>
      </c>
      <c r="K223">
        <v>3.7</v>
      </c>
      <c r="L223">
        <v>93</v>
      </c>
      <c r="M223">
        <v>21</v>
      </c>
      <c r="N223">
        <v>23</v>
      </c>
      <c r="O223">
        <v>4572</v>
      </c>
      <c r="P223" t="s">
        <v>41</v>
      </c>
      <c r="Q223" t="s">
        <v>48</v>
      </c>
      <c r="R223" t="s">
        <v>28</v>
      </c>
      <c r="S223" t="s">
        <v>29</v>
      </c>
      <c r="T223" t="s">
        <v>50</v>
      </c>
      <c r="U223">
        <f t="shared" si="15"/>
        <v>82226</v>
      </c>
      <c r="V223" t="str">
        <f t="shared" si="16"/>
        <v>Needs Improvement</v>
      </c>
      <c r="W223" t="str">
        <f t="shared" si="17"/>
        <v>High</v>
      </c>
      <c r="X223" t="str">
        <f t="shared" si="18"/>
        <v>Senior</v>
      </c>
      <c r="Y223" t="str">
        <f t="shared" si="19"/>
        <v>25-34</v>
      </c>
    </row>
    <row r="224" spans="1:25" x14ac:dyDescent="0.3">
      <c r="A224">
        <v>1223</v>
      </c>
      <c r="B224" t="s">
        <v>73</v>
      </c>
      <c r="C224" t="s">
        <v>21</v>
      </c>
      <c r="D224">
        <v>37</v>
      </c>
      <c r="E224" t="s">
        <v>55</v>
      </c>
      <c r="F224" t="s">
        <v>79</v>
      </c>
      <c r="G224" t="s">
        <v>64</v>
      </c>
      <c r="H224" t="s">
        <v>294</v>
      </c>
      <c r="I224">
        <v>7</v>
      </c>
      <c r="J224">
        <v>52976</v>
      </c>
      <c r="K224">
        <v>3.6</v>
      </c>
      <c r="L224">
        <v>83.6</v>
      </c>
      <c r="M224">
        <v>24</v>
      </c>
      <c r="N224">
        <v>8</v>
      </c>
      <c r="O224">
        <v>3702</v>
      </c>
      <c r="P224" t="s">
        <v>41</v>
      </c>
      <c r="Q224" t="s">
        <v>48</v>
      </c>
      <c r="R224" t="s">
        <v>28</v>
      </c>
      <c r="S224" t="s">
        <v>49</v>
      </c>
      <c r="T224" t="s">
        <v>50</v>
      </c>
      <c r="U224">
        <f t="shared" si="15"/>
        <v>56678</v>
      </c>
      <c r="V224" t="str">
        <f t="shared" si="16"/>
        <v>Needs Improvement</v>
      </c>
      <c r="W224" t="str">
        <f t="shared" si="17"/>
        <v>High</v>
      </c>
      <c r="X224" t="str">
        <f t="shared" si="18"/>
        <v>Senior</v>
      </c>
      <c r="Y224" t="str">
        <f t="shared" si="19"/>
        <v>35-44</v>
      </c>
    </row>
    <row r="225" spans="1:25" x14ac:dyDescent="0.3">
      <c r="A225">
        <v>1224</v>
      </c>
      <c r="B225" t="s">
        <v>20</v>
      </c>
      <c r="C225" t="s">
        <v>37</v>
      </c>
      <c r="D225">
        <v>43</v>
      </c>
      <c r="E225" t="s">
        <v>22</v>
      </c>
      <c r="F225" t="s">
        <v>23</v>
      </c>
      <c r="G225" t="s">
        <v>45</v>
      </c>
      <c r="H225" t="s">
        <v>295</v>
      </c>
      <c r="I225">
        <v>9</v>
      </c>
      <c r="J225">
        <v>71178</v>
      </c>
      <c r="K225">
        <v>4.5</v>
      </c>
      <c r="L225">
        <v>84</v>
      </c>
      <c r="M225">
        <v>14</v>
      </c>
      <c r="N225">
        <v>11</v>
      </c>
      <c r="O225">
        <v>4971</v>
      </c>
      <c r="P225" t="s">
        <v>33</v>
      </c>
      <c r="Q225" t="s">
        <v>48</v>
      </c>
      <c r="R225" t="s">
        <v>70</v>
      </c>
      <c r="S225" t="s">
        <v>29</v>
      </c>
      <c r="T225" t="s">
        <v>50</v>
      </c>
      <c r="U225">
        <f t="shared" si="15"/>
        <v>76149</v>
      </c>
      <c r="V225" t="str">
        <f t="shared" si="16"/>
        <v>Needs Improvement</v>
      </c>
      <c r="W225" t="str">
        <f t="shared" si="17"/>
        <v>Normal</v>
      </c>
      <c r="X225" t="str">
        <f t="shared" si="18"/>
        <v>Senior</v>
      </c>
      <c r="Y225" t="str">
        <f t="shared" si="19"/>
        <v>35-44</v>
      </c>
    </row>
    <row r="226" spans="1:25" x14ac:dyDescent="0.3">
      <c r="A226">
        <v>1225</v>
      </c>
      <c r="B226" t="s">
        <v>178</v>
      </c>
      <c r="C226" t="s">
        <v>21</v>
      </c>
      <c r="D226">
        <v>41</v>
      </c>
      <c r="E226" t="s">
        <v>62</v>
      </c>
      <c r="F226" t="s">
        <v>97</v>
      </c>
      <c r="G226" t="s">
        <v>24</v>
      </c>
      <c r="H226" t="s">
        <v>296</v>
      </c>
      <c r="I226">
        <v>10</v>
      </c>
      <c r="J226">
        <v>79440</v>
      </c>
      <c r="K226">
        <v>4.8</v>
      </c>
      <c r="L226">
        <v>85.7</v>
      </c>
      <c r="M226">
        <v>25</v>
      </c>
      <c r="N226">
        <v>51</v>
      </c>
      <c r="O226">
        <v>4136</v>
      </c>
      <c r="P226" t="s">
        <v>41</v>
      </c>
      <c r="Q226" t="s">
        <v>27</v>
      </c>
      <c r="R226" t="s">
        <v>70</v>
      </c>
      <c r="S226" t="s">
        <v>29</v>
      </c>
      <c r="T226" t="s">
        <v>50</v>
      </c>
      <c r="U226">
        <f t="shared" si="15"/>
        <v>83576</v>
      </c>
      <c r="V226" t="str">
        <f t="shared" si="16"/>
        <v>Needs Improvement</v>
      </c>
      <c r="W226" t="str">
        <f t="shared" si="17"/>
        <v>High</v>
      </c>
      <c r="X226" t="str">
        <f t="shared" si="18"/>
        <v>Senior</v>
      </c>
      <c r="Y226" t="str">
        <f t="shared" si="19"/>
        <v>35-44</v>
      </c>
    </row>
    <row r="227" spans="1:25" x14ac:dyDescent="0.3">
      <c r="A227">
        <v>1226</v>
      </c>
      <c r="B227" t="s">
        <v>68</v>
      </c>
      <c r="C227" t="s">
        <v>21</v>
      </c>
      <c r="D227">
        <v>29</v>
      </c>
      <c r="E227" t="s">
        <v>38</v>
      </c>
      <c r="F227" t="s">
        <v>44</v>
      </c>
      <c r="G227" t="s">
        <v>51</v>
      </c>
      <c r="H227" t="s">
        <v>297</v>
      </c>
      <c r="I227">
        <v>10</v>
      </c>
      <c r="J227">
        <v>73047</v>
      </c>
      <c r="K227">
        <v>2.8</v>
      </c>
      <c r="L227">
        <v>94.7</v>
      </c>
      <c r="M227">
        <v>17</v>
      </c>
      <c r="N227">
        <v>11</v>
      </c>
      <c r="O227">
        <v>1549</v>
      </c>
      <c r="P227" t="s">
        <v>47</v>
      </c>
      <c r="Q227" t="s">
        <v>27</v>
      </c>
      <c r="R227" t="s">
        <v>42</v>
      </c>
      <c r="S227" t="s">
        <v>29</v>
      </c>
      <c r="T227" t="s">
        <v>50</v>
      </c>
      <c r="U227">
        <f t="shared" si="15"/>
        <v>74596</v>
      </c>
      <c r="V227" t="str">
        <f t="shared" si="16"/>
        <v>Needs Improvement</v>
      </c>
      <c r="W227" t="str">
        <f t="shared" si="17"/>
        <v>Normal</v>
      </c>
      <c r="X227" t="str">
        <f t="shared" si="18"/>
        <v>Senior</v>
      </c>
      <c r="Y227" t="str">
        <f t="shared" si="19"/>
        <v>25-34</v>
      </c>
    </row>
    <row r="228" spans="1:25" x14ac:dyDescent="0.3">
      <c r="A228">
        <v>1227</v>
      </c>
      <c r="B228" t="s">
        <v>99</v>
      </c>
      <c r="C228" t="s">
        <v>21</v>
      </c>
      <c r="D228">
        <v>29</v>
      </c>
      <c r="E228" t="s">
        <v>22</v>
      </c>
      <c r="F228" t="s">
        <v>66</v>
      </c>
      <c r="G228" t="s">
        <v>51</v>
      </c>
      <c r="H228" t="s">
        <v>89</v>
      </c>
      <c r="I228">
        <v>7</v>
      </c>
      <c r="J228">
        <v>76563</v>
      </c>
      <c r="K228">
        <v>4.9000000000000004</v>
      </c>
      <c r="L228">
        <v>85.1</v>
      </c>
      <c r="M228">
        <v>7</v>
      </c>
      <c r="N228">
        <v>58</v>
      </c>
      <c r="O228">
        <v>13949</v>
      </c>
      <c r="P228" t="s">
        <v>41</v>
      </c>
      <c r="Q228" t="s">
        <v>27</v>
      </c>
      <c r="R228" t="s">
        <v>70</v>
      </c>
      <c r="S228" t="s">
        <v>29</v>
      </c>
      <c r="T228" t="s">
        <v>50</v>
      </c>
      <c r="U228">
        <f t="shared" si="15"/>
        <v>90512</v>
      </c>
      <c r="V228" t="str">
        <f t="shared" si="16"/>
        <v>Needs Improvement</v>
      </c>
      <c r="W228" t="str">
        <f t="shared" si="17"/>
        <v>Normal</v>
      </c>
      <c r="X228" t="str">
        <f t="shared" si="18"/>
        <v>Senior</v>
      </c>
      <c r="Y228" t="str">
        <f t="shared" si="19"/>
        <v>25-34</v>
      </c>
    </row>
    <row r="229" spans="1:25" x14ac:dyDescent="0.3">
      <c r="A229">
        <v>1228</v>
      </c>
      <c r="B229" t="s">
        <v>88</v>
      </c>
      <c r="C229" t="s">
        <v>21</v>
      </c>
      <c r="D229">
        <v>42</v>
      </c>
      <c r="E229" t="s">
        <v>62</v>
      </c>
      <c r="F229" t="s">
        <v>63</v>
      </c>
      <c r="G229" t="s">
        <v>51</v>
      </c>
      <c r="H229" t="s">
        <v>298</v>
      </c>
      <c r="I229">
        <v>4</v>
      </c>
      <c r="J229">
        <v>62053</v>
      </c>
      <c r="K229">
        <v>2.8</v>
      </c>
      <c r="L229">
        <v>99.9</v>
      </c>
      <c r="M229">
        <v>6</v>
      </c>
      <c r="N229">
        <v>54</v>
      </c>
      <c r="O229">
        <v>5690</v>
      </c>
      <c r="P229" t="s">
        <v>53</v>
      </c>
      <c r="Q229" t="s">
        <v>48</v>
      </c>
      <c r="R229" t="s">
        <v>42</v>
      </c>
      <c r="S229" t="s">
        <v>49</v>
      </c>
      <c r="T229" t="s">
        <v>35</v>
      </c>
      <c r="U229">
        <f t="shared" si="15"/>
        <v>67743</v>
      </c>
      <c r="V229" t="str">
        <f t="shared" si="16"/>
        <v>Excellent</v>
      </c>
      <c r="W229" t="str">
        <f t="shared" si="17"/>
        <v>Normal</v>
      </c>
      <c r="X229" t="str">
        <f t="shared" si="18"/>
        <v>Mid</v>
      </c>
      <c r="Y229" t="str">
        <f t="shared" si="19"/>
        <v>35-44</v>
      </c>
    </row>
    <row r="230" spans="1:25" x14ac:dyDescent="0.3">
      <c r="A230">
        <v>1229</v>
      </c>
      <c r="B230" t="s">
        <v>68</v>
      </c>
      <c r="C230" t="s">
        <v>21</v>
      </c>
      <c r="D230">
        <v>29</v>
      </c>
      <c r="E230" t="s">
        <v>62</v>
      </c>
      <c r="F230" t="s">
        <v>97</v>
      </c>
      <c r="G230" t="s">
        <v>64</v>
      </c>
      <c r="H230" t="s">
        <v>299</v>
      </c>
      <c r="I230">
        <v>4</v>
      </c>
      <c r="J230">
        <v>60661</v>
      </c>
      <c r="K230">
        <v>2.7</v>
      </c>
      <c r="L230">
        <v>95.9</v>
      </c>
      <c r="M230">
        <v>2</v>
      </c>
      <c r="N230">
        <v>42</v>
      </c>
      <c r="O230">
        <v>5004</v>
      </c>
      <c r="P230" t="s">
        <v>26</v>
      </c>
      <c r="Q230" t="s">
        <v>27</v>
      </c>
      <c r="R230" t="s">
        <v>42</v>
      </c>
      <c r="S230" t="s">
        <v>49</v>
      </c>
      <c r="T230" t="s">
        <v>35</v>
      </c>
      <c r="U230">
        <f t="shared" si="15"/>
        <v>65665</v>
      </c>
      <c r="V230" t="str">
        <f t="shared" si="16"/>
        <v>Excellent</v>
      </c>
      <c r="W230" t="str">
        <f t="shared" si="17"/>
        <v>Normal</v>
      </c>
      <c r="X230" t="str">
        <f t="shared" si="18"/>
        <v>Mid</v>
      </c>
      <c r="Y230" t="str">
        <f t="shared" si="19"/>
        <v>25-34</v>
      </c>
    </row>
    <row r="231" spans="1:25" x14ac:dyDescent="0.3">
      <c r="A231">
        <v>1230</v>
      </c>
      <c r="B231" t="s">
        <v>148</v>
      </c>
      <c r="C231" t="s">
        <v>37</v>
      </c>
      <c r="D231">
        <v>43</v>
      </c>
      <c r="E231" t="s">
        <v>38</v>
      </c>
      <c r="F231" t="s">
        <v>39</v>
      </c>
      <c r="G231" t="s">
        <v>64</v>
      </c>
      <c r="H231" t="s">
        <v>300</v>
      </c>
      <c r="I231">
        <v>6</v>
      </c>
      <c r="J231">
        <v>86962</v>
      </c>
      <c r="K231">
        <v>4.4000000000000004</v>
      </c>
      <c r="L231">
        <v>99.8</v>
      </c>
      <c r="M231">
        <v>10</v>
      </c>
      <c r="N231">
        <v>47</v>
      </c>
      <c r="O231">
        <v>2306</v>
      </c>
      <c r="P231" t="s">
        <v>53</v>
      </c>
      <c r="Q231" t="s">
        <v>48</v>
      </c>
      <c r="R231" t="s">
        <v>58</v>
      </c>
      <c r="S231" t="s">
        <v>29</v>
      </c>
      <c r="T231" t="s">
        <v>50</v>
      </c>
      <c r="U231">
        <f t="shared" si="15"/>
        <v>89268</v>
      </c>
      <c r="V231" t="str">
        <f t="shared" si="16"/>
        <v>Excellent</v>
      </c>
      <c r="W231" t="str">
        <f t="shared" si="17"/>
        <v>Normal</v>
      </c>
      <c r="X231" t="str">
        <f t="shared" si="18"/>
        <v>Mid</v>
      </c>
      <c r="Y231" t="str">
        <f t="shared" si="19"/>
        <v>35-44</v>
      </c>
    </row>
    <row r="232" spans="1:25" x14ac:dyDescent="0.3">
      <c r="A232">
        <v>1231</v>
      </c>
      <c r="B232" t="s">
        <v>61</v>
      </c>
      <c r="C232" t="s">
        <v>37</v>
      </c>
      <c r="D232">
        <v>35</v>
      </c>
      <c r="E232" t="s">
        <v>22</v>
      </c>
      <c r="F232" t="s">
        <v>23</v>
      </c>
      <c r="G232" t="s">
        <v>64</v>
      </c>
      <c r="H232" t="s">
        <v>301</v>
      </c>
      <c r="I232">
        <v>5</v>
      </c>
      <c r="J232">
        <v>40662</v>
      </c>
      <c r="K232">
        <v>4</v>
      </c>
      <c r="L232">
        <v>82.6</v>
      </c>
      <c r="M232">
        <v>23</v>
      </c>
      <c r="N232">
        <v>6</v>
      </c>
      <c r="O232">
        <v>9938</v>
      </c>
      <c r="P232" t="s">
        <v>47</v>
      </c>
      <c r="Q232" t="s">
        <v>48</v>
      </c>
      <c r="R232" t="s">
        <v>58</v>
      </c>
      <c r="S232" t="s">
        <v>34</v>
      </c>
      <c r="T232" t="s">
        <v>35</v>
      </c>
      <c r="U232">
        <f t="shared" si="15"/>
        <v>50600</v>
      </c>
      <c r="V232" t="str">
        <f t="shared" si="16"/>
        <v>Needs Improvement</v>
      </c>
      <c r="W232" t="str">
        <f t="shared" si="17"/>
        <v>High</v>
      </c>
      <c r="X232" t="str">
        <f t="shared" si="18"/>
        <v>Mid</v>
      </c>
      <c r="Y232" t="str">
        <f t="shared" si="19"/>
        <v>35-44</v>
      </c>
    </row>
    <row r="233" spans="1:25" x14ac:dyDescent="0.3">
      <c r="A233">
        <v>1232</v>
      </c>
      <c r="B233" t="s">
        <v>20</v>
      </c>
      <c r="C233" t="s">
        <v>37</v>
      </c>
      <c r="D233">
        <v>22</v>
      </c>
      <c r="E233" t="s">
        <v>22</v>
      </c>
      <c r="F233" t="s">
        <v>66</v>
      </c>
      <c r="G233" t="s">
        <v>51</v>
      </c>
      <c r="H233" t="s">
        <v>302</v>
      </c>
      <c r="I233">
        <v>7</v>
      </c>
      <c r="J233">
        <v>60472</v>
      </c>
      <c r="K233">
        <v>2.8</v>
      </c>
      <c r="L233">
        <v>93.6</v>
      </c>
      <c r="M233">
        <v>16</v>
      </c>
      <c r="N233">
        <v>8</v>
      </c>
      <c r="O233">
        <v>1837</v>
      </c>
      <c r="P233" t="s">
        <v>53</v>
      </c>
      <c r="Q233" t="s">
        <v>48</v>
      </c>
      <c r="R233" t="s">
        <v>42</v>
      </c>
      <c r="S233" t="s">
        <v>49</v>
      </c>
      <c r="T233" t="s">
        <v>50</v>
      </c>
      <c r="U233">
        <f t="shared" si="15"/>
        <v>62309</v>
      </c>
      <c r="V233" t="str">
        <f t="shared" si="16"/>
        <v>Needs Improvement</v>
      </c>
      <c r="W233" t="str">
        <f t="shared" si="17"/>
        <v>Normal</v>
      </c>
      <c r="X233" t="str">
        <f t="shared" si="18"/>
        <v>Senior</v>
      </c>
      <c r="Y233" t="str">
        <f t="shared" si="19"/>
        <v>20-24</v>
      </c>
    </row>
    <row r="234" spans="1:25" x14ac:dyDescent="0.3">
      <c r="A234">
        <v>1233</v>
      </c>
      <c r="B234" t="s">
        <v>75</v>
      </c>
      <c r="C234" t="s">
        <v>37</v>
      </c>
      <c r="D234">
        <v>33</v>
      </c>
      <c r="E234" t="s">
        <v>55</v>
      </c>
      <c r="F234" t="s">
        <v>79</v>
      </c>
      <c r="G234" t="s">
        <v>24</v>
      </c>
      <c r="H234" t="s">
        <v>303</v>
      </c>
      <c r="I234">
        <v>7</v>
      </c>
      <c r="J234">
        <v>38301</v>
      </c>
      <c r="K234">
        <v>4.5999999999999996</v>
      </c>
      <c r="L234">
        <v>82.8</v>
      </c>
      <c r="M234">
        <v>4</v>
      </c>
      <c r="N234">
        <v>7</v>
      </c>
      <c r="O234">
        <v>6047</v>
      </c>
      <c r="P234" t="s">
        <v>33</v>
      </c>
      <c r="Q234" t="s">
        <v>27</v>
      </c>
      <c r="R234" t="s">
        <v>70</v>
      </c>
      <c r="S234" t="s">
        <v>34</v>
      </c>
      <c r="T234" t="s">
        <v>50</v>
      </c>
      <c r="U234">
        <f t="shared" si="15"/>
        <v>44348</v>
      </c>
      <c r="V234" t="str">
        <f t="shared" si="16"/>
        <v>Needs Improvement</v>
      </c>
      <c r="W234" t="str">
        <f t="shared" si="17"/>
        <v>Normal</v>
      </c>
      <c r="X234" t="str">
        <f t="shared" si="18"/>
        <v>Senior</v>
      </c>
      <c r="Y234" t="str">
        <f t="shared" si="19"/>
        <v>25-34</v>
      </c>
    </row>
    <row r="235" spans="1:25" x14ac:dyDescent="0.3">
      <c r="A235">
        <v>1234</v>
      </c>
      <c r="B235" t="s">
        <v>148</v>
      </c>
      <c r="C235" t="s">
        <v>21</v>
      </c>
      <c r="D235">
        <v>42</v>
      </c>
      <c r="E235" t="s">
        <v>22</v>
      </c>
      <c r="F235" t="s">
        <v>66</v>
      </c>
      <c r="G235" t="s">
        <v>51</v>
      </c>
      <c r="H235" t="s">
        <v>304</v>
      </c>
      <c r="I235">
        <v>2</v>
      </c>
      <c r="J235">
        <v>78348</v>
      </c>
      <c r="K235">
        <v>3.8</v>
      </c>
      <c r="L235">
        <v>94.5</v>
      </c>
      <c r="M235">
        <v>9</v>
      </c>
      <c r="N235">
        <v>37</v>
      </c>
      <c r="O235">
        <v>10366</v>
      </c>
      <c r="P235" t="s">
        <v>53</v>
      </c>
      <c r="Q235" t="s">
        <v>27</v>
      </c>
      <c r="R235" t="s">
        <v>28</v>
      </c>
      <c r="S235" t="s">
        <v>29</v>
      </c>
      <c r="T235" t="s">
        <v>30</v>
      </c>
      <c r="U235">
        <f t="shared" si="15"/>
        <v>88714</v>
      </c>
      <c r="V235" t="str">
        <f t="shared" si="16"/>
        <v>Needs Improvement</v>
      </c>
      <c r="W235" t="str">
        <f t="shared" si="17"/>
        <v>Normal</v>
      </c>
      <c r="X235" t="str">
        <f t="shared" si="18"/>
        <v>Junior</v>
      </c>
      <c r="Y235" t="str">
        <f t="shared" si="19"/>
        <v>35-44</v>
      </c>
    </row>
    <row r="236" spans="1:25" x14ac:dyDescent="0.3">
      <c r="A236">
        <v>1235</v>
      </c>
      <c r="B236" t="s">
        <v>71</v>
      </c>
      <c r="C236" t="s">
        <v>21</v>
      </c>
      <c r="D236">
        <v>22</v>
      </c>
      <c r="E236" t="s">
        <v>38</v>
      </c>
      <c r="F236" t="s">
        <v>39</v>
      </c>
      <c r="G236" t="s">
        <v>59</v>
      </c>
      <c r="H236" t="s">
        <v>305</v>
      </c>
      <c r="I236">
        <v>1</v>
      </c>
      <c r="J236">
        <v>46250</v>
      </c>
      <c r="K236">
        <v>2.7</v>
      </c>
      <c r="L236">
        <v>83</v>
      </c>
      <c r="M236">
        <v>23</v>
      </c>
      <c r="N236">
        <v>37</v>
      </c>
      <c r="O236">
        <v>10854</v>
      </c>
      <c r="P236" t="s">
        <v>33</v>
      </c>
      <c r="Q236" t="s">
        <v>48</v>
      </c>
      <c r="R236" t="s">
        <v>42</v>
      </c>
      <c r="S236" t="s">
        <v>34</v>
      </c>
      <c r="T236" t="s">
        <v>30</v>
      </c>
      <c r="U236">
        <f t="shared" si="15"/>
        <v>57104</v>
      </c>
      <c r="V236" t="str">
        <f t="shared" si="16"/>
        <v>Needs Improvement</v>
      </c>
      <c r="W236" t="str">
        <f t="shared" si="17"/>
        <v>High</v>
      </c>
      <c r="X236" t="str">
        <f t="shared" si="18"/>
        <v>Junior</v>
      </c>
      <c r="Y236" t="str">
        <f t="shared" si="19"/>
        <v>20-24</v>
      </c>
    </row>
    <row r="237" spans="1:25" x14ac:dyDescent="0.3">
      <c r="A237">
        <v>1236</v>
      </c>
      <c r="B237" t="s">
        <v>121</v>
      </c>
      <c r="C237" t="s">
        <v>21</v>
      </c>
      <c r="D237">
        <v>26</v>
      </c>
      <c r="E237" t="s">
        <v>22</v>
      </c>
      <c r="F237" t="s">
        <v>23</v>
      </c>
      <c r="G237" t="s">
        <v>59</v>
      </c>
      <c r="H237" t="s">
        <v>306</v>
      </c>
      <c r="I237">
        <v>7</v>
      </c>
      <c r="J237">
        <v>29536</v>
      </c>
      <c r="K237">
        <v>4.3</v>
      </c>
      <c r="L237">
        <v>94.6</v>
      </c>
      <c r="M237">
        <v>17</v>
      </c>
      <c r="N237">
        <v>60</v>
      </c>
      <c r="O237">
        <v>1595</v>
      </c>
      <c r="P237" t="s">
        <v>33</v>
      </c>
      <c r="Q237" t="s">
        <v>48</v>
      </c>
      <c r="R237" t="s">
        <v>58</v>
      </c>
      <c r="S237" t="s">
        <v>34</v>
      </c>
      <c r="T237" t="s">
        <v>50</v>
      </c>
      <c r="U237">
        <f t="shared" si="15"/>
        <v>31131</v>
      </c>
      <c r="V237" t="str">
        <f t="shared" si="16"/>
        <v>Needs Improvement</v>
      </c>
      <c r="W237" t="str">
        <f t="shared" si="17"/>
        <v>Normal</v>
      </c>
      <c r="X237" t="str">
        <f t="shared" si="18"/>
        <v>Senior</v>
      </c>
      <c r="Y237" t="str">
        <f t="shared" si="19"/>
        <v>25-34</v>
      </c>
    </row>
    <row r="238" spans="1:25" x14ac:dyDescent="0.3">
      <c r="A238">
        <v>1237</v>
      </c>
      <c r="B238" t="s">
        <v>178</v>
      </c>
      <c r="C238" t="s">
        <v>37</v>
      </c>
      <c r="D238">
        <v>39</v>
      </c>
      <c r="E238" t="s">
        <v>55</v>
      </c>
      <c r="F238" t="s">
        <v>56</v>
      </c>
      <c r="G238" t="s">
        <v>45</v>
      </c>
      <c r="H238" t="s">
        <v>307</v>
      </c>
      <c r="I238">
        <v>8</v>
      </c>
      <c r="J238">
        <v>37763</v>
      </c>
      <c r="K238">
        <v>2.6</v>
      </c>
      <c r="L238">
        <v>84.6</v>
      </c>
      <c r="M238">
        <v>6</v>
      </c>
      <c r="N238">
        <v>48</v>
      </c>
      <c r="O238">
        <v>11110</v>
      </c>
      <c r="P238" t="s">
        <v>53</v>
      </c>
      <c r="Q238" t="s">
        <v>48</v>
      </c>
      <c r="R238" t="s">
        <v>42</v>
      </c>
      <c r="S238" t="s">
        <v>34</v>
      </c>
      <c r="T238" t="s">
        <v>50</v>
      </c>
      <c r="U238">
        <f t="shared" si="15"/>
        <v>48873</v>
      </c>
      <c r="V238" t="str">
        <f t="shared" si="16"/>
        <v>Needs Improvement</v>
      </c>
      <c r="W238" t="str">
        <f t="shared" si="17"/>
        <v>Normal</v>
      </c>
      <c r="X238" t="str">
        <f t="shared" si="18"/>
        <v>Senior</v>
      </c>
      <c r="Y238" t="str">
        <f t="shared" si="19"/>
        <v>35-44</v>
      </c>
    </row>
    <row r="239" spans="1:25" x14ac:dyDescent="0.3">
      <c r="A239">
        <v>1238</v>
      </c>
      <c r="B239" t="s">
        <v>20</v>
      </c>
      <c r="C239" t="s">
        <v>37</v>
      </c>
      <c r="D239">
        <v>25</v>
      </c>
      <c r="E239" t="s">
        <v>91</v>
      </c>
      <c r="F239" t="s">
        <v>92</v>
      </c>
      <c r="G239" t="s">
        <v>51</v>
      </c>
      <c r="H239" t="s">
        <v>308</v>
      </c>
      <c r="I239">
        <v>0</v>
      </c>
      <c r="J239">
        <v>26721</v>
      </c>
      <c r="K239">
        <v>2.5</v>
      </c>
      <c r="L239">
        <v>83.3</v>
      </c>
      <c r="M239">
        <v>0</v>
      </c>
      <c r="N239">
        <v>20</v>
      </c>
      <c r="O239">
        <v>7609</v>
      </c>
      <c r="P239" t="s">
        <v>41</v>
      </c>
      <c r="Q239" t="s">
        <v>48</v>
      </c>
      <c r="R239" t="s">
        <v>42</v>
      </c>
      <c r="S239" t="s">
        <v>34</v>
      </c>
      <c r="T239" t="s">
        <v>30</v>
      </c>
      <c r="U239">
        <f t="shared" si="15"/>
        <v>34330</v>
      </c>
      <c r="V239" t="str">
        <f t="shared" si="16"/>
        <v>Needs Improvement</v>
      </c>
      <c r="W239" t="str">
        <f t="shared" si="17"/>
        <v>Normal</v>
      </c>
      <c r="X239" t="str">
        <f t="shared" si="18"/>
        <v>Junior</v>
      </c>
      <c r="Y239" t="str">
        <f t="shared" si="19"/>
        <v>25-34</v>
      </c>
    </row>
    <row r="240" spans="1:25" x14ac:dyDescent="0.3">
      <c r="A240">
        <v>1239</v>
      </c>
      <c r="B240" t="s">
        <v>121</v>
      </c>
      <c r="C240" t="s">
        <v>37</v>
      </c>
      <c r="D240">
        <v>31</v>
      </c>
      <c r="E240" t="s">
        <v>55</v>
      </c>
      <c r="F240" t="s">
        <v>79</v>
      </c>
      <c r="G240" t="s">
        <v>64</v>
      </c>
      <c r="H240" t="s">
        <v>309</v>
      </c>
      <c r="I240">
        <v>0</v>
      </c>
      <c r="J240">
        <v>83215</v>
      </c>
      <c r="K240">
        <v>3.5</v>
      </c>
      <c r="L240">
        <v>90.1</v>
      </c>
      <c r="M240">
        <v>16</v>
      </c>
      <c r="N240">
        <v>42</v>
      </c>
      <c r="O240">
        <v>13939</v>
      </c>
      <c r="P240" t="s">
        <v>26</v>
      </c>
      <c r="Q240" t="s">
        <v>27</v>
      </c>
      <c r="R240" t="s">
        <v>28</v>
      </c>
      <c r="S240" t="s">
        <v>29</v>
      </c>
      <c r="T240" t="s">
        <v>30</v>
      </c>
      <c r="U240">
        <f t="shared" si="15"/>
        <v>97154</v>
      </c>
      <c r="V240" t="str">
        <f t="shared" si="16"/>
        <v>Needs Improvement</v>
      </c>
      <c r="W240" t="str">
        <f t="shared" si="17"/>
        <v>Normal</v>
      </c>
      <c r="X240" t="str">
        <f t="shared" si="18"/>
        <v>Junior</v>
      </c>
      <c r="Y240" t="str">
        <f t="shared" si="19"/>
        <v>25-34</v>
      </c>
    </row>
    <row r="241" spans="1:25" x14ac:dyDescent="0.3">
      <c r="A241">
        <v>1240</v>
      </c>
      <c r="B241" t="s">
        <v>111</v>
      </c>
      <c r="C241" t="s">
        <v>37</v>
      </c>
      <c r="D241">
        <v>36</v>
      </c>
      <c r="E241" t="s">
        <v>91</v>
      </c>
      <c r="F241" t="s">
        <v>101</v>
      </c>
      <c r="G241" t="s">
        <v>51</v>
      </c>
      <c r="H241" t="s">
        <v>77</v>
      </c>
      <c r="I241">
        <v>2</v>
      </c>
      <c r="J241">
        <v>55454</v>
      </c>
      <c r="K241">
        <v>4</v>
      </c>
      <c r="L241">
        <v>85.2</v>
      </c>
      <c r="M241">
        <v>11</v>
      </c>
      <c r="N241">
        <v>47</v>
      </c>
      <c r="O241">
        <v>7132</v>
      </c>
      <c r="P241" t="s">
        <v>53</v>
      </c>
      <c r="Q241" t="s">
        <v>48</v>
      </c>
      <c r="R241" t="s">
        <v>58</v>
      </c>
      <c r="S241" t="s">
        <v>49</v>
      </c>
      <c r="T241" t="s">
        <v>30</v>
      </c>
      <c r="U241">
        <f t="shared" si="15"/>
        <v>62586</v>
      </c>
      <c r="V241" t="str">
        <f t="shared" si="16"/>
        <v>Needs Improvement</v>
      </c>
      <c r="W241" t="str">
        <f t="shared" si="17"/>
        <v>Normal</v>
      </c>
      <c r="X241" t="str">
        <f t="shared" si="18"/>
        <v>Junior</v>
      </c>
      <c r="Y241" t="str">
        <f t="shared" si="19"/>
        <v>35-44</v>
      </c>
    </row>
    <row r="242" spans="1:25" x14ac:dyDescent="0.3">
      <c r="A242">
        <v>1241</v>
      </c>
      <c r="B242" t="s">
        <v>20</v>
      </c>
      <c r="C242" t="s">
        <v>21</v>
      </c>
      <c r="D242">
        <v>31</v>
      </c>
      <c r="E242" t="s">
        <v>38</v>
      </c>
      <c r="F242" t="s">
        <v>44</v>
      </c>
      <c r="G242" t="s">
        <v>45</v>
      </c>
      <c r="H242" t="s">
        <v>310</v>
      </c>
      <c r="I242">
        <v>0</v>
      </c>
      <c r="J242">
        <v>86775</v>
      </c>
      <c r="K242">
        <v>3.2</v>
      </c>
      <c r="L242">
        <v>90.3</v>
      </c>
      <c r="M242">
        <v>24</v>
      </c>
      <c r="N242">
        <v>30</v>
      </c>
      <c r="O242">
        <v>8685</v>
      </c>
      <c r="P242" t="s">
        <v>33</v>
      </c>
      <c r="Q242" t="s">
        <v>48</v>
      </c>
      <c r="R242" t="s">
        <v>28</v>
      </c>
      <c r="S242" t="s">
        <v>29</v>
      </c>
      <c r="T242" t="s">
        <v>30</v>
      </c>
      <c r="U242">
        <f t="shared" si="15"/>
        <v>95460</v>
      </c>
      <c r="V242" t="str">
        <f t="shared" si="16"/>
        <v>Needs Improvement</v>
      </c>
      <c r="W242" t="str">
        <f t="shared" si="17"/>
        <v>High</v>
      </c>
      <c r="X242" t="str">
        <f t="shared" si="18"/>
        <v>Junior</v>
      </c>
      <c r="Y242" t="str">
        <f t="shared" si="19"/>
        <v>25-34</v>
      </c>
    </row>
    <row r="243" spans="1:25" x14ac:dyDescent="0.3">
      <c r="A243">
        <v>1242</v>
      </c>
      <c r="B243" t="s">
        <v>73</v>
      </c>
      <c r="C243" t="s">
        <v>21</v>
      </c>
      <c r="D243">
        <v>44</v>
      </c>
      <c r="E243" t="s">
        <v>62</v>
      </c>
      <c r="F243" t="s">
        <v>63</v>
      </c>
      <c r="G243" t="s">
        <v>59</v>
      </c>
      <c r="H243" t="s">
        <v>311</v>
      </c>
      <c r="I243">
        <v>10</v>
      </c>
      <c r="J243">
        <v>93928</v>
      </c>
      <c r="K243">
        <v>4.4000000000000004</v>
      </c>
      <c r="L243">
        <v>85.7</v>
      </c>
      <c r="M243">
        <v>22</v>
      </c>
      <c r="N243">
        <v>37</v>
      </c>
      <c r="O243">
        <v>14155</v>
      </c>
      <c r="P243" t="s">
        <v>26</v>
      </c>
      <c r="Q243" t="s">
        <v>48</v>
      </c>
      <c r="R243" t="s">
        <v>58</v>
      </c>
      <c r="S243" t="s">
        <v>29</v>
      </c>
      <c r="T243" t="s">
        <v>50</v>
      </c>
      <c r="U243">
        <f t="shared" si="15"/>
        <v>108083</v>
      </c>
      <c r="V243" t="str">
        <f t="shared" si="16"/>
        <v>Needs Improvement</v>
      </c>
      <c r="W243" t="str">
        <f t="shared" si="17"/>
        <v>High</v>
      </c>
      <c r="X243" t="str">
        <f t="shared" si="18"/>
        <v>Senior</v>
      </c>
      <c r="Y243" t="str">
        <f t="shared" si="19"/>
        <v>35-44</v>
      </c>
    </row>
    <row r="244" spans="1:25" x14ac:dyDescent="0.3">
      <c r="A244">
        <v>1243</v>
      </c>
      <c r="B244" t="s">
        <v>68</v>
      </c>
      <c r="C244" t="s">
        <v>37</v>
      </c>
      <c r="D244">
        <v>34</v>
      </c>
      <c r="E244" t="s">
        <v>91</v>
      </c>
      <c r="F244" t="s">
        <v>92</v>
      </c>
      <c r="G244" t="s">
        <v>24</v>
      </c>
      <c r="H244" t="s">
        <v>312</v>
      </c>
      <c r="I244">
        <v>3</v>
      </c>
      <c r="J244">
        <v>62534</v>
      </c>
      <c r="K244">
        <v>4.2</v>
      </c>
      <c r="L244">
        <v>89.7</v>
      </c>
      <c r="M244">
        <v>19</v>
      </c>
      <c r="N244">
        <v>27</v>
      </c>
      <c r="O244">
        <v>2102</v>
      </c>
      <c r="P244" t="s">
        <v>26</v>
      </c>
      <c r="Q244" t="s">
        <v>27</v>
      </c>
      <c r="R244" t="s">
        <v>58</v>
      </c>
      <c r="S244" t="s">
        <v>49</v>
      </c>
      <c r="T244" t="s">
        <v>35</v>
      </c>
      <c r="U244">
        <f t="shared" si="15"/>
        <v>64636</v>
      </c>
      <c r="V244" t="str">
        <f t="shared" si="16"/>
        <v>Needs Improvement</v>
      </c>
      <c r="W244" t="str">
        <f t="shared" si="17"/>
        <v>Normal</v>
      </c>
      <c r="X244" t="str">
        <f t="shared" si="18"/>
        <v>Mid</v>
      </c>
      <c r="Y244" t="str">
        <f t="shared" si="19"/>
        <v>25-34</v>
      </c>
    </row>
    <row r="245" spans="1:25" x14ac:dyDescent="0.3">
      <c r="A245">
        <v>1244</v>
      </c>
      <c r="B245" t="s">
        <v>124</v>
      </c>
      <c r="C245" t="s">
        <v>21</v>
      </c>
      <c r="D245">
        <v>25</v>
      </c>
      <c r="E245" t="s">
        <v>55</v>
      </c>
      <c r="F245" t="s">
        <v>56</v>
      </c>
      <c r="G245" t="s">
        <v>45</v>
      </c>
      <c r="H245" t="s">
        <v>313</v>
      </c>
      <c r="I245">
        <v>10</v>
      </c>
      <c r="J245">
        <v>31574</v>
      </c>
      <c r="K245">
        <v>4.3</v>
      </c>
      <c r="L245">
        <v>93.2</v>
      </c>
      <c r="M245">
        <v>5</v>
      </c>
      <c r="N245">
        <v>29</v>
      </c>
      <c r="O245">
        <v>4238</v>
      </c>
      <c r="P245" t="s">
        <v>53</v>
      </c>
      <c r="Q245" t="s">
        <v>27</v>
      </c>
      <c r="R245" t="s">
        <v>58</v>
      </c>
      <c r="S245" t="s">
        <v>34</v>
      </c>
      <c r="T245" t="s">
        <v>50</v>
      </c>
      <c r="U245">
        <f t="shared" si="15"/>
        <v>35812</v>
      </c>
      <c r="V245" t="str">
        <f t="shared" si="16"/>
        <v>Needs Improvement</v>
      </c>
      <c r="W245" t="str">
        <f t="shared" si="17"/>
        <v>Normal</v>
      </c>
      <c r="X245" t="str">
        <f t="shared" si="18"/>
        <v>Senior</v>
      </c>
      <c r="Y245" t="str">
        <f t="shared" si="19"/>
        <v>25-34</v>
      </c>
    </row>
    <row r="246" spans="1:25" x14ac:dyDescent="0.3">
      <c r="A246">
        <v>1245</v>
      </c>
      <c r="B246" t="s">
        <v>73</v>
      </c>
      <c r="C246" t="s">
        <v>37</v>
      </c>
      <c r="D246">
        <v>33</v>
      </c>
      <c r="E246" t="s">
        <v>38</v>
      </c>
      <c r="F246" t="s">
        <v>44</v>
      </c>
      <c r="G246" t="s">
        <v>45</v>
      </c>
      <c r="H246" t="s">
        <v>314</v>
      </c>
      <c r="I246">
        <v>0</v>
      </c>
      <c r="J246">
        <v>31525</v>
      </c>
      <c r="K246">
        <v>3.1</v>
      </c>
      <c r="L246">
        <v>96</v>
      </c>
      <c r="M246">
        <v>21</v>
      </c>
      <c r="N246">
        <v>45</v>
      </c>
      <c r="O246">
        <v>3040</v>
      </c>
      <c r="P246" t="s">
        <v>47</v>
      </c>
      <c r="Q246" t="s">
        <v>48</v>
      </c>
      <c r="R246" t="s">
        <v>28</v>
      </c>
      <c r="S246" t="s">
        <v>34</v>
      </c>
      <c r="T246" t="s">
        <v>30</v>
      </c>
      <c r="U246">
        <f t="shared" si="15"/>
        <v>34565</v>
      </c>
      <c r="V246" t="str">
        <f t="shared" si="16"/>
        <v>Excellent</v>
      </c>
      <c r="W246" t="str">
        <f t="shared" si="17"/>
        <v>High</v>
      </c>
      <c r="X246" t="str">
        <f t="shared" si="18"/>
        <v>Junior</v>
      </c>
      <c r="Y246" t="str">
        <f t="shared" si="19"/>
        <v>25-34</v>
      </c>
    </row>
    <row r="247" spans="1:25" x14ac:dyDescent="0.3">
      <c r="A247">
        <v>1246</v>
      </c>
      <c r="B247" t="s">
        <v>111</v>
      </c>
      <c r="C247" t="s">
        <v>37</v>
      </c>
      <c r="D247">
        <v>44</v>
      </c>
      <c r="E247" t="s">
        <v>62</v>
      </c>
      <c r="F247" t="s">
        <v>97</v>
      </c>
      <c r="G247" t="s">
        <v>64</v>
      </c>
      <c r="H247" t="s">
        <v>315</v>
      </c>
      <c r="I247">
        <v>10</v>
      </c>
      <c r="J247">
        <v>87188</v>
      </c>
      <c r="K247">
        <v>3.8</v>
      </c>
      <c r="L247">
        <v>83</v>
      </c>
      <c r="M247">
        <v>17</v>
      </c>
      <c r="N247">
        <v>24</v>
      </c>
      <c r="O247">
        <v>12992</v>
      </c>
      <c r="P247" t="s">
        <v>41</v>
      </c>
      <c r="Q247" t="s">
        <v>27</v>
      </c>
      <c r="R247" t="s">
        <v>28</v>
      </c>
      <c r="S247" t="s">
        <v>29</v>
      </c>
      <c r="T247" t="s">
        <v>50</v>
      </c>
      <c r="U247">
        <f t="shared" si="15"/>
        <v>100180</v>
      </c>
      <c r="V247" t="str">
        <f t="shared" si="16"/>
        <v>Needs Improvement</v>
      </c>
      <c r="W247" t="str">
        <f t="shared" si="17"/>
        <v>Normal</v>
      </c>
      <c r="X247" t="str">
        <f t="shared" si="18"/>
        <v>Senior</v>
      </c>
      <c r="Y247" t="str">
        <f t="shared" si="19"/>
        <v>35-44</v>
      </c>
    </row>
    <row r="248" spans="1:25" x14ac:dyDescent="0.3">
      <c r="A248">
        <v>1247</v>
      </c>
      <c r="B248" t="s">
        <v>36</v>
      </c>
      <c r="C248" t="s">
        <v>37</v>
      </c>
      <c r="D248">
        <v>36</v>
      </c>
      <c r="E248" t="s">
        <v>22</v>
      </c>
      <c r="F248" t="s">
        <v>66</v>
      </c>
      <c r="G248" t="s">
        <v>64</v>
      </c>
      <c r="H248" t="s">
        <v>316</v>
      </c>
      <c r="I248">
        <v>3</v>
      </c>
      <c r="J248">
        <v>37483</v>
      </c>
      <c r="K248">
        <v>4.2</v>
      </c>
      <c r="L248">
        <v>86.5</v>
      </c>
      <c r="M248">
        <v>10</v>
      </c>
      <c r="N248">
        <v>31</v>
      </c>
      <c r="O248">
        <v>1299</v>
      </c>
      <c r="P248" t="s">
        <v>47</v>
      </c>
      <c r="Q248" t="s">
        <v>48</v>
      </c>
      <c r="R248" t="s">
        <v>58</v>
      </c>
      <c r="S248" t="s">
        <v>34</v>
      </c>
      <c r="T248" t="s">
        <v>35</v>
      </c>
      <c r="U248">
        <f t="shared" si="15"/>
        <v>38782</v>
      </c>
      <c r="V248" t="str">
        <f t="shared" si="16"/>
        <v>Needs Improvement</v>
      </c>
      <c r="W248" t="str">
        <f t="shared" si="17"/>
        <v>Normal</v>
      </c>
      <c r="X248" t="str">
        <f t="shared" si="18"/>
        <v>Mid</v>
      </c>
      <c r="Y248" t="str">
        <f t="shared" si="19"/>
        <v>35-44</v>
      </c>
    </row>
    <row r="249" spans="1:25" x14ac:dyDescent="0.3">
      <c r="A249">
        <v>1248</v>
      </c>
      <c r="B249" t="s">
        <v>36</v>
      </c>
      <c r="C249" t="s">
        <v>21</v>
      </c>
      <c r="D249">
        <v>30</v>
      </c>
      <c r="E249" t="s">
        <v>38</v>
      </c>
      <c r="F249" t="s">
        <v>44</v>
      </c>
      <c r="G249" t="s">
        <v>45</v>
      </c>
      <c r="H249" t="s">
        <v>317</v>
      </c>
      <c r="I249">
        <v>5</v>
      </c>
      <c r="J249">
        <v>41374</v>
      </c>
      <c r="K249">
        <v>3.7</v>
      </c>
      <c r="L249">
        <v>96.3</v>
      </c>
      <c r="M249">
        <v>19</v>
      </c>
      <c r="N249">
        <v>59</v>
      </c>
      <c r="O249">
        <v>7434</v>
      </c>
      <c r="P249" t="s">
        <v>41</v>
      </c>
      <c r="Q249" t="s">
        <v>27</v>
      </c>
      <c r="R249" t="s">
        <v>28</v>
      </c>
      <c r="S249" t="s">
        <v>34</v>
      </c>
      <c r="T249" t="s">
        <v>35</v>
      </c>
      <c r="U249">
        <f t="shared" si="15"/>
        <v>48808</v>
      </c>
      <c r="V249" t="str">
        <f t="shared" si="16"/>
        <v>Excellent</v>
      </c>
      <c r="W249" t="str">
        <f t="shared" si="17"/>
        <v>Normal</v>
      </c>
      <c r="X249" t="str">
        <f t="shared" si="18"/>
        <v>Mid</v>
      </c>
      <c r="Y249" t="str">
        <f t="shared" si="19"/>
        <v>25-34</v>
      </c>
    </row>
    <row r="250" spans="1:25" x14ac:dyDescent="0.3">
      <c r="A250">
        <v>1249</v>
      </c>
      <c r="B250" t="s">
        <v>83</v>
      </c>
      <c r="C250" t="s">
        <v>37</v>
      </c>
      <c r="D250">
        <v>28</v>
      </c>
      <c r="E250" t="s">
        <v>91</v>
      </c>
      <c r="F250" t="s">
        <v>101</v>
      </c>
      <c r="G250" t="s">
        <v>45</v>
      </c>
      <c r="H250" t="s">
        <v>318</v>
      </c>
      <c r="I250">
        <v>7</v>
      </c>
      <c r="J250">
        <v>37590</v>
      </c>
      <c r="K250">
        <v>2.8</v>
      </c>
      <c r="L250">
        <v>91.8</v>
      </c>
      <c r="M250">
        <v>22</v>
      </c>
      <c r="N250">
        <v>11</v>
      </c>
      <c r="O250">
        <v>7286</v>
      </c>
      <c r="P250" t="s">
        <v>41</v>
      </c>
      <c r="Q250" t="s">
        <v>48</v>
      </c>
      <c r="R250" t="s">
        <v>42</v>
      </c>
      <c r="S250" t="s">
        <v>34</v>
      </c>
      <c r="T250" t="s">
        <v>50</v>
      </c>
      <c r="U250">
        <f t="shared" si="15"/>
        <v>44876</v>
      </c>
      <c r="V250" t="str">
        <f t="shared" si="16"/>
        <v>Needs Improvement</v>
      </c>
      <c r="W250" t="str">
        <f t="shared" si="17"/>
        <v>High</v>
      </c>
      <c r="X250" t="str">
        <f t="shared" si="18"/>
        <v>Senior</v>
      </c>
      <c r="Y250" t="str">
        <f t="shared" si="19"/>
        <v>25-34</v>
      </c>
    </row>
    <row r="251" spans="1:25" x14ac:dyDescent="0.3">
      <c r="A251">
        <v>1250</v>
      </c>
      <c r="B251" t="s">
        <v>78</v>
      </c>
      <c r="C251" t="s">
        <v>37</v>
      </c>
      <c r="D251">
        <v>45</v>
      </c>
      <c r="E251" t="s">
        <v>38</v>
      </c>
      <c r="F251" t="s">
        <v>44</v>
      </c>
      <c r="G251" t="s">
        <v>64</v>
      </c>
      <c r="H251" t="s">
        <v>319</v>
      </c>
      <c r="I251">
        <v>4</v>
      </c>
      <c r="J251">
        <v>38934</v>
      </c>
      <c r="K251">
        <v>3.5</v>
      </c>
      <c r="L251">
        <v>88.4</v>
      </c>
      <c r="M251">
        <v>14</v>
      </c>
      <c r="N251">
        <v>38</v>
      </c>
      <c r="O251">
        <v>2157</v>
      </c>
      <c r="P251" t="s">
        <v>47</v>
      </c>
      <c r="Q251" t="s">
        <v>27</v>
      </c>
      <c r="R251" t="s">
        <v>28</v>
      </c>
      <c r="S251" t="s">
        <v>34</v>
      </c>
      <c r="T251" t="s">
        <v>35</v>
      </c>
      <c r="U251">
        <f t="shared" si="15"/>
        <v>41091</v>
      </c>
      <c r="V251" t="str">
        <f t="shared" si="16"/>
        <v>Needs Improvement</v>
      </c>
      <c r="W251" t="str">
        <f t="shared" si="17"/>
        <v>Normal</v>
      </c>
      <c r="X251" t="str">
        <f t="shared" si="18"/>
        <v>Mid</v>
      </c>
      <c r="Y251" t="str">
        <f t="shared" si="19"/>
        <v>45+</v>
      </c>
    </row>
    <row r="252" spans="1:25" x14ac:dyDescent="0.3">
      <c r="A252">
        <v>1251</v>
      </c>
      <c r="B252" t="s">
        <v>75</v>
      </c>
      <c r="C252" t="s">
        <v>21</v>
      </c>
      <c r="D252">
        <v>42</v>
      </c>
      <c r="E252" t="s">
        <v>55</v>
      </c>
      <c r="F252" t="s">
        <v>79</v>
      </c>
      <c r="G252" t="s">
        <v>24</v>
      </c>
      <c r="H252" t="s">
        <v>320</v>
      </c>
      <c r="I252">
        <v>5</v>
      </c>
      <c r="J252">
        <v>65689</v>
      </c>
      <c r="K252">
        <v>4.0999999999999996</v>
      </c>
      <c r="L252">
        <v>84.7</v>
      </c>
      <c r="M252">
        <v>18</v>
      </c>
      <c r="N252">
        <v>15</v>
      </c>
      <c r="O252">
        <v>7993</v>
      </c>
      <c r="P252" t="s">
        <v>26</v>
      </c>
      <c r="Q252" t="s">
        <v>48</v>
      </c>
      <c r="R252" t="s">
        <v>58</v>
      </c>
      <c r="S252" t="s">
        <v>49</v>
      </c>
      <c r="T252" t="s">
        <v>35</v>
      </c>
      <c r="U252">
        <f t="shared" si="15"/>
        <v>73682</v>
      </c>
      <c r="V252" t="str">
        <f t="shared" si="16"/>
        <v>Needs Improvement</v>
      </c>
      <c r="W252" t="str">
        <f t="shared" si="17"/>
        <v>Normal</v>
      </c>
      <c r="X252" t="str">
        <f t="shared" si="18"/>
        <v>Mid</v>
      </c>
      <c r="Y252" t="str">
        <f t="shared" si="19"/>
        <v>35-44</v>
      </c>
    </row>
    <row r="253" spans="1:25" x14ac:dyDescent="0.3">
      <c r="A253">
        <v>1252</v>
      </c>
      <c r="B253" t="s">
        <v>68</v>
      </c>
      <c r="C253" t="s">
        <v>21</v>
      </c>
      <c r="D253">
        <v>32</v>
      </c>
      <c r="E253" t="s">
        <v>62</v>
      </c>
      <c r="F253" t="s">
        <v>63</v>
      </c>
      <c r="G253" t="s">
        <v>64</v>
      </c>
      <c r="H253" t="s">
        <v>321</v>
      </c>
      <c r="I253">
        <v>5</v>
      </c>
      <c r="J253">
        <v>31804</v>
      </c>
      <c r="K253">
        <v>4.3</v>
      </c>
      <c r="L253">
        <v>85.5</v>
      </c>
      <c r="M253">
        <v>21</v>
      </c>
      <c r="N253">
        <v>43</v>
      </c>
      <c r="O253">
        <v>4633</v>
      </c>
      <c r="P253" t="s">
        <v>53</v>
      </c>
      <c r="Q253" t="s">
        <v>48</v>
      </c>
      <c r="R253" t="s">
        <v>58</v>
      </c>
      <c r="S253" t="s">
        <v>34</v>
      </c>
      <c r="T253" t="s">
        <v>35</v>
      </c>
      <c r="U253">
        <f t="shared" si="15"/>
        <v>36437</v>
      </c>
      <c r="V253" t="str">
        <f t="shared" si="16"/>
        <v>Needs Improvement</v>
      </c>
      <c r="W253" t="str">
        <f t="shared" si="17"/>
        <v>High</v>
      </c>
      <c r="X253" t="str">
        <f t="shared" si="18"/>
        <v>Mid</v>
      </c>
      <c r="Y253" t="str">
        <f t="shared" si="19"/>
        <v>25-34</v>
      </c>
    </row>
    <row r="254" spans="1:25" x14ac:dyDescent="0.3">
      <c r="A254">
        <v>1253</v>
      </c>
      <c r="B254" t="s">
        <v>111</v>
      </c>
      <c r="C254" t="s">
        <v>37</v>
      </c>
      <c r="D254">
        <v>31</v>
      </c>
      <c r="E254" t="s">
        <v>62</v>
      </c>
      <c r="F254" t="s">
        <v>97</v>
      </c>
      <c r="G254" t="s">
        <v>64</v>
      </c>
      <c r="H254" t="s">
        <v>322</v>
      </c>
      <c r="I254">
        <v>7</v>
      </c>
      <c r="J254">
        <v>62337</v>
      </c>
      <c r="K254">
        <v>4</v>
      </c>
      <c r="L254">
        <v>95</v>
      </c>
      <c r="M254">
        <v>10</v>
      </c>
      <c r="N254">
        <v>36</v>
      </c>
      <c r="O254">
        <v>4994</v>
      </c>
      <c r="P254" t="s">
        <v>53</v>
      </c>
      <c r="Q254" t="s">
        <v>27</v>
      </c>
      <c r="R254" t="s">
        <v>58</v>
      </c>
      <c r="S254" t="s">
        <v>49</v>
      </c>
      <c r="T254" t="s">
        <v>50</v>
      </c>
      <c r="U254">
        <f t="shared" si="15"/>
        <v>67331</v>
      </c>
      <c r="V254" t="str">
        <f t="shared" si="16"/>
        <v>Excellent</v>
      </c>
      <c r="W254" t="str">
        <f t="shared" si="17"/>
        <v>Normal</v>
      </c>
      <c r="X254" t="str">
        <f t="shared" si="18"/>
        <v>Senior</v>
      </c>
      <c r="Y254" t="str">
        <f t="shared" si="19"/>
        <v>25-34</v>
      </c>
    </row>
    <row r="255" spans="1:25" x14ac:dyDescent="0.3">
      <c r="A255">
        <v>1254</v>
      </c>
      <c r="B255" t="s">
        <v>61</v>
      </c>
      <c r="C255" t="s">
        <v>21</v>
      </c>
      <c r="D255">
        <v>23</v>
      </c>
      <c r="E255" t="s">
        <v>38</v>
      </c>
      <c r="F255" t="s">
        <v>39</v>
      </c>
      <c r="G255" t="s">
        <v>64</v>
      </c>
      <c r="H255" t="s">
        <v>323</v>
      </c>
      <c r="I255">
        <v>4</v>
      </c>
      <c r="J255">
        <v>27009</v>
      </c>
      <c r="K255">
        <v>3.3</v>
      </c>
      <c r="L255">
        <v>95.1</v>
      </c>
      <c r="M255">
        <v>2</v>
      </c>
      <c r="N255">
        <v>14</v>
      </c>
      <c r="O255">
        <v>11858</v>
      </c>
      <c r="P255" t="s">
        <v>47</v>
      </c>
      <c r="Q255" t="s">
        <v>27</v>
      </c>
      <c r="R255" t="s">
        <v>28</v>
      </c>
      <c r="S255" t="s">
        <v>34</v>
      </c>
      <c r="T255" t="s">
        <v>35</v>
      </c>
      <c r="U255">
        <f t="shared" si="15"/>
        <v>38867</v>
      </c>
      <c r="V255" t="str">
        <f t="shared" si="16"/>
        <v>Excellent</v>
      </c>
      <c r="W255" t="str">
        <f t="shared" si="17"/>
        <v>Normal</v>
      </c>
      <c r="X255" t="str">
        <f t="shared" si="18"/>
        <v>Mid</v>
      </c>
      <c r="Y255" t="str">
        <f t="shared" si="19"/>
        <v>20-24</v>
      </c>
    </row>
    <row r="256" spans="1:25" x14ac:dyDescent="0.3">
      <c r="A256">
        <v>1255</v>
      </c>
      <c r="B256" t="s">
        <v>20</v>
      </c>
      <c r="C256" t="s">
        <v>21</v>
      </c>
      <c r="D256">
        <v>23</v>
      </c>
      <c r="E256" t="s">
        <v>22</v>
      </c>
      <c r="F256" t="s">
        <v>66</v>
      </c>
      <c r="G256" t="s">
        <v>51</v>
      </c>
      <c r="H256" t="s">
        <v>324</v>
      </c>
      <c r="I256">
        <v>6</v>
      </c>
      <c r="J256">
        <v>80867</v>
      </c>
      <c r="K256">
        <v>2.9</v>
      </c>
      <c r="L256">
        <v>91.9</v>
      </c>
      <c r="M256">
        <v>8</v>
      </c>
      <c r="N256">
        <v>11</v>
      </c>
      <c r="O256">
        <v>10105</v>
      </c>
      <c r="P256" t="s">
        <v>41</v>
      </c>
      <c r="Q256" t="s">
        <v>48</v>
      </c>
      <c r="R256" t="s">
        <v>42</v>
      </c>
      <c r="S256" t="s">
        <v>29</v>
      </c>
      <c r="T256" t="s">
        <v>50</v>
      </c>
      <c r="U256">
        <f t="shared" si="15"/>
        <v>90972</v>
      </c>
      <c r="V256" t="str">
        <f t="shared" si="16"/>
        <v>Needs Improvement</v>
      </c>
      <c r="W256" t="str">
        <f t="shared" si="17"/>
        <v>Normal</v>
      </c>
      <c r="X256" t="str">
        <f t="shared" si="18"/>
        <v>Mid</v>
      </c>
      <c r="Y256" t="str">
        <f t="shared" si="19"/>
        <v>20-24</v>
      </c>
    </row>
    <row r="257" spans="1:25" x14ac:dyDescent="0.3">
      <c r="A257">
        <v>1256</v>
      </c>
      <c r="B257" t="s">
        <v>99</v>
      </c>
      <c r="C257" t="s">
        <v>37</v>
      </c>
      <c r="D257">
        <v>37</v>
      </c>
      <c r="E257" t="s">
        <v>38</v>
      </c>
      <c r="F257" t="s">
        <v>44</v>
      </c>
      <c r="G257" t="s">
        <v>51</v>
      </c>
      <c r="H257" t="s">
        <v>325</v>
      </c>
      <c r="I257">
        <v>2</v>
      </c>
      <c r="J257">
        <v>37424</v>
      </c>
      <c r="K257">
        <v>2.6</v>
      </c>
      <c r="L257">
        <v>90.7</v>
      </c>
      <c r="M257">
        <v>20</v>
      </c>
      <c r="N257">
        <v>56</v>
      </c>
      <c r="O257">
        <v>6805</v>
      </c>
      <c r="P257" t="s">
        <v>26</v>
      </c>
      <c r="Q257" t="s">
        <v>27</v>
      </c>
      <c r="R257" t="s">
        <v>42</v>
      </c>
      <c r="S257" t="s">
        <v>34</v>
      </c>
      <c r="T257" t="s">
        <v>30</v>
      </c>
      <c r="U257">
        <f t="shared" si="15"/>
        <v>44229</v>
      </c>
      <c r="V257" t="str">
        <f t="shared" si="16"/>
        <v>Needs Improvement</v>
      </c>
      <c r="W257" t="str">
        <f t="shared" si="17"/>
        <v>Normal</v>
      </c>
      <c r="X257" t="str">
        <f t="shared" si="18"/>
        <v>Junior</v>
      </c>
      <c r="Y257" t="str">
        <f t="shared" si="19"/>
        <v>35-44</v>
      </c>
    </row>
    <row r="258" spans="1:25" x14ac:dyDescent="0.3">
      <c r="A258">
        <v>1257</v>
      </c>
      <c r="B258" t="s">
        <v>73</v>
      </c>
      <c r="C258" t="s">
        <v>37</v>
      </c>
      <c r="D258">
        <v>34</v>
      </c>
      <c r="E258" t="s">
        <v>91</v>
      </c>
      <c r="F258" t="s">
        <v>92</v>
      </c>
      <c r="G258" t="s">
        <v>64</v>
      </c>
      <c r="H258" t="s">
        <v>326</v>
      </c>
      <c r="I258">
        <v>9</v>
      </c>
      <c r="J258">
        <v>26388</v>
      </c>
      <c r="K258">
        <v>3.5</v>
      </c>
      <c r="L258">
        <v>96.1</v>
      </c>
      <c r="M258">
        <v>20</v>
      </c>
      <c r="N258">
        <v>11</v>
      </c>
      <c r="O258">
        <v>6472</v>
      </c>
      <c r="P258" t="s">
        <v>47</v>
      </c>
      <c r="Q258" t="s">
        <v>27</v>
      </c>
      <c r="R258" t="s">
        <v>28</v>
      </c>
      <c r="S258" t="s">
        <v>34</v>
      </c>
      <c r="T258" t="s">
        <v>50</v>
      </c>
      <c r="U258">
        <f t="shared" si="15"/>
        <v>32860</v>
      </c>
      <c r="V258" t="str">
        <f t="shared" si="16"/>
        <v>Excellent</v>
      </c>
      <c r="W258" t="str">
        <f t="shared" si="17"/>
        <v>Normal</v>
      </c>
      <c r="X258" t="str">
        <f t="shared" si="18"/>
        <v>Senior</v>
      </c>
      <c r="Y258" t="str">
        <f t="shared" si="19"/>
        <v>25-34</v>
      </c>
    </row>
    <row r="259" spans="1:25" x14ac:dyDescent="0.3">
      <c r="A259">
        <v>1258</v>
      </c>
      <c r="B259" t="s">
        <v>71</v>
      </c>
      <c r="C259" t="s">
        <v>21</v>
      </c>
      <c r="D259">
        <v>44</v>
      </c>
      <c r="E259" t="s">
        <v>91</v>
      </c>
      <c r="F259" t="s">
        <v>92</v>
      </c>
      <c r="G259" t="s">
        <v>24</v>
      </c>
      <c r="H259" t="s">
        <v>327</v>
      </c>
      <c r="I259">
        <v>4</v>
      </c>
      <c r="J259">
        <v>80016</v>
      </c>
      <c r="K259">
        <v>4.5999999999999996</v>
      </c>
      <c r="L259">
        <v>95.1</v>
      </c>
      <c r="M259">
        <v>7</v>
      </c>
      <c r="N259">
        <v>44</v>
      </c>
      <c r="O259">
        <v>10904</v>
      </c>
      <c r="P259" t="s">
        <v>26</v>
      </c>
      <c r="Q259" t="s">
        <v>27</v>
      </c>
      <c r="R259" t="s">
        <v>70</v>
      </c>
      <c r="S259" t="s">
        <v>29</v>
      </c>
      <c r="T259" t="s">
        <v>35</v>
      </c>
      <c r="U259">
        <f t="shared" ref="U259:U322" si="20">J259+O259</f>
        <v>90920</v>
      </c>
      <c r="V259" t="str">
        <f t="shared" ref="V259:V322" si="21">IF(L259&gt;=95,"Excellent","Needs Improvement")</f>
        <v>Excellent</v>
      </c>
      <c r="W259" t="str">
        <f t="shared" ref="W259:W322" si="22">IF(M259&gt;20,"High","Normal")</f>
        <v>Normal</v>
      </c>
      <c r="X259" t="str">
        <f t="shared" ref="X259:X322" si="23">IF(I259&lt;3,"Junior",IF(I259&lt;7,"Mid","Senior"))</f>
        <v>Mid</v>
      </c>
      <c r="Y259" t="str">
        <f t="shared" ref="Y259:Y322" si="24">IF(D259&lt;25,"20-24",IF(D259&lt;35,"25-34",IF(D259&lt;45,"35-44","45+")))</f>
        <v>35-44</v>
      </c>
    </row>
    <row r="260" spans="1:25" x14ac:dyDescent="0.3">
      <c r="A260">
        <v>1259</v>
      </c>
      <c r="B260" t="s">
        <v>73</v>
      </c>
      <c r="C260" t="s">
        <v>37</v>
      </c>
      <c r="D260">
        <v>24</v>
      </c>
      <c r="E260" t="s">
        <v>91</v>
      </c>
      <c r="F260" t="s">
        <v>92</v>
      </c>
      <c r="G260" t="s">
        <v>45</v>
      </c>
      <c r="H260" t="s">
        <v>328</v>
      </c>
      <c r="I260">
        <v>2</v>
      </c>
      <c r="J260">
        <v>47038</v>
      </c>
      <c r="K260">
        <v>3.9</v>
      </c>
      <c r="L260">
        <v>90.1</v>
      </c>
      <c r="M260">
        <v>9</v>
      </c>
      <c r="N260">
        <v>10</v>
      </c>
      <c r="O260">
        <v>10756</v>
      </c>
      <c r="P260" t="s">
        <v>26</v>
      </c>
      <c r="Q260" t="s">
        <v>27</v>
      </c>
      <c r="R260" t="s">
        <v>28</v>
      </c>
      <c r="S260" t="s">
        <v>34</v>
      </c>
      <c r="T260" t="s">
        <v>30</v>
      </c>
      <c r="U260">
        <f t="shared" si="20"/>
        <v>57794</v>
      </c>
      <c r="V260" t="str">
        <f t="shared" si="21"/>
        <v>Needs Improvement</v>
      </c>
      <c r="W260" t="str">
        <f t="shared" si="22"/>
        <v>Normal</v>
      </c>
      <c r="X260" t="str">
        <f t="shared" si="23"/>
        <v>Junior</v>
      </c>
      <c r="Y260" t="str">
        <f t="shared" si="24"/>
        <v>20-24</v>
      </c>
    </row>
    <row r="261" spans="1:25" x14ac:dyDescent="0.3">
      <c r="A261">
        <v>1260</v>
      </c>
      <c r="B261" t="s">
        <v>178</v>
      </c>
      <c r="C261" t="s">
        <v>21</v>
      </c>
      <c r="D261">
        <v>23</v>
      </c>
      <c r="E261" t="s">
        <v>55</v>
      </c>
      <c r="F261" t="s">
        <v>79</v>
      </c>
      <c r="G261" t="s">
        <v>59</v>
      </c>
      <c r="H261" t="s">
        <v>329</v>
      </c>
      <c r="I261">
        <v>3</v>
      </c>
      <c r="J261">
        <v>51415</v>
      </c>
      <c r="K261">
        <v>3.5</v>
      </c>
      <c r="L261">
        <v>82.7</v>
      </c>
      <c r="M261">
        <v>4</v>
      </c>
      <c r="N261">
        <v>50</v>
      </c>
      <c r="O261">
        <v>14876</v>
      </c>
      <c r="P261" t="s">
        <v>53</v>
      </c>
      <c r="Q261" t="s">
        <v>48</v>
      </c>
      <c r="R261" t="s">
        <v>28</v>
      </c>
      <c r="S261" t="s">
        <v>49</v>
      </c>
      <c r="T261" t="s">
        <v>35</v>
      </c>
      <c r="U261">
        <f t="shared" si="20"/>
        <v>66291</v>
      </c>
      <c r="V261" t="str">
        <f t="shared" si="21"/>
        <v>Needs Improvement</v>
      </c>
      <c r="W261" t="str">
        <f t="shared" si="22"/>
        <v>Normal</v>
      </c>
      <c r="X261" t="str">
        <f t="shared" si="23"/>
        <v>Mid</v>
      </c>
      <c r="Y261" t="str">
        <f t="shared" si="24"/>
        <v>20-24</v>
      </c>
    </row>
    <row r="262" spans="1:25" x14ac:dyDescent="0.3">
      <c r="A262">
        <v>1261</v>
      </c>
      <c r="B262" t="s">
        <v>99</v>
      </c>
      <c r="C262" t="s">
        <v>21</v>
      </c>
      <c r="D262">
        <v>25</v>
      </c>
      <c r="E262" t="s">
        <v>91</v>
      </c>
      <c r="F262" t="s">
        <v>92</v>
      </c>
      <c r="G262" t="s">
        <v>59</v>
      </c>
      <c r="H262" t="s">
        <v>330</v>
      </c>
      <c r="I262">
        <v>5</v>
      </c>
      <c r="J262">
        <v>94300</v>
      </c>
      <c r="K262">
        <v>2.5</v>
      </c>
      <c r="L262">
        <v>89.4</v>
      </c>
      <c r="M262">
        <v>10</v>
      </c>
      <c r="N262">
        <v>26</v>
      </c>
      <c r="O262">
        <v>8436</v>
      </c>
      <c r="P262" t="s">
        <v>33</v>
      </c>
      <c r="Q262" t="s">
        <v>48</v>
      </c>
      <c r="R262" t="s">
        <v>42</v>
      </c>
      <c r="S262" t="s">
        <v>29</v>
      </c>
      <c r="T262" t="s">
        <v>35</v>
      </c>
      <c r="U262">
        <f t="shared" si="20"/>
        <v>102736</v>
      </c>
      <c r="V262" t="str">
        <f t="shared" si="21"/>
        <v>Needs Improvement</v>
      </c>
      <c r="W262" t="str">
        <f t="shared" si="22"/>
        <v>Normal</v>
      </c>
      <c r="X262" t="str">
        <f t="shared" si="23"/>
        <v>Mid</v>
      </c>
      <c r="Y262" t="str">
        <f t="shared" si="24"/>
        <v>25-34</v>
      </c>
    </row>
    <row r="263" spans="1:25" x14ac:dyDescent="0.3">
      <c r="A263">
        <v>1262</v>
      </c>
      <c r="B263" t="s">
        <v>124</v>
      </c>
      <c r="C263" t="s">
        <v>37</v>
      </c>
      <c r="D263">
        <v>45</v>
      </c>
      <c r="E263" t="s">
        <v>55</v>
      </c>
      <c r="F263" t="s">
        <v>79</v>
      </c>
      <c r="G263" t="s">
        <v>64</v>
      </c>
      <c r="H263" t="s">
        <v>331</v>
      </c>
      <c r="I263">
        <v>5</v>
      </c>
      <c r="J263">
        <v>94469</v>
      </c>
      <c r="K263">
        <v>4.9000000000000004</v>
      </c>
      <c r="L263">
        <v>85.3</v>
      </c>
      <c r="M263">
        <v>4</v>
      </c>
      <c r="N263">
        <v>23</v>
      </c>
      <c r="O263">
        <v>1112</v>
      </c>
      <c r="P263" t="s">
        <v>53</v>
      </c>
      <c r="Q263" t="s">
        <v>48</v>
      </c>
      <c r="R263" t="s">
        <v>70</v>
      </c>
      <c r="S263" t="s">
        <v>29</v>
      </c>
      <c r="T263" t="s">
        <v>35</v>
      </c>
      <c r="U263">
        <f t="shared" si="20"/>
        <v>95581</v>
      </c>
      <c r="V263" t="str">
        <f t="shared" si="21"/>
        <v>Needs Improvement</v>
      </c>
      <c r="W263" t="str">
        <f t="shared" si="22"/>
        <v>Normal</v>
      </c>
      <c r="X263" t="str">
        <f t="shared" si="23"/>
        <v>Mid</v>
      </c>
      <c r="Y263" t="str">
        <f t="shared" si="24"/>
        <v>45+</v>
      </c>
    </row>
    <row r="264" spans="1:25" x14ac:dyDescent="0.3">
      <c r="A264">
        <v>1263</v>
      </c>
      <c r="B264" t="s">
        <v>31</v>
      </c>
      <c r="C264" t="s">
        <v>21</v>
      </c>
      <c r="D264">
        <v>28</v>
      </c>
      <c r="E264" t="s">
        <v>22</v>
      </c>
      <c r="F264" t="s">
        <v>23</v>
      </c>
      <c r="G264" t="s">
        <v>64</v>
      </c>
      <c r="H264" t="s">
        <v>332</v>
      </c>
      <c r="I264">
        <v>6</v>
      </c>
      <c r="J264">
        <v>29348</v>
      </c>
      <c r="K264">
        <v>4.0999999999999996</v>
      </c>
      <c r="L264">
        <v>86</v>
      </c>
      <c r="M264">
        <v>5</v>
      </c>
      <c r="N264">
        <v>6</v>
      </c>
      <c r="O264">
        <v>14541</v>
      </c>
      <c r="P264" t="s">
        <v>33</v>
      </c>
      <c r="Q264" t="s">
        <v>27</v>
      </c>
      <c r="R264" t="s">
        <v>58</v>
      </c>
      <c r="S264" t="s">
        <v>34</v>
      </c>
      <c r="T264" t="s">
        <v>50</v>
      </c>
      <c r="U264">
        <f t="shared" si="20"/>
        <v>43889</v>
      </c>
      <c r="V264" t="str">
        <f t="shared" si="21"/>
        <v>Needs Improvement</v>
      </c>
      <c r="W264" t="str">
        <f t="shared" si="22"/>
        <v>Normal</v>
      </c>
      <c r="X264" t="str">
        <f t="shared" si="23"/>
        <v>Mid</v>
      </c>
      <c r="Y264" t="str">
        <f t="shared" si="24"/>
        <v>25-34</v>
      </c>
    </row>
    <row r="265" spans="1:25" x14ac:dyDescent="0.3">
      <c r="A265">
        <v>1264</v>
      </c>
      <c r="B265" t="s">
        <v>78</v>
      </c>
      <c r="C265" t="s">
        <v>21</v>
      </c>
      <c r="D265">
        <v>25</v>
      </c>
      <c r="E265" t="s">
        <v>62</v>
      </c>
      <c r="F265" t="s">
        <v>63</v>
      </c>
      <c r="G265" t="s">
        <v>24</v>
      </c>
      <c r="H265" t="s">
        <v>333</v>
      </c>
      <c r="I265">
        <v>4</v>
      </c>
      <c r="J265">
        <v>57961</v>
      </c>
      <c r="K265">
        <v>3.3</v>
      </c>
      <c r="L265">
        <v>90.3</v>
      </c>
      <c r="M265">
        <v>3</v>
      </c>
      <c r="N265">
        <v>17</v>
      </c>
      <c r="O265">
        <v>11284</v>
      </c>
      <c r="P265" t="s">
        <v>41</v>
      </c>
      <c r="Q265" t="s">
        <v>27</v>
      </c>
      <c r="R265" t="s">
        <v>28</v>
      </c>
      <c r="S265" t="s">
        <v>49</v>
      </c>
      <c r="T265" t="s">
        <v>35</v>
      </c>
      <c r="U265">
        <f t="shared" si="20"/>
        <v>69245</v>
      </c>
      <c r="V265" t="str">
        <f t="shared" si="21"/>
        <v>Needs Improvement</v>
      </c>
      <c r="W265" t="str">
        <f t="shared" si="22"/>
        <v>Normal</v>
      </c>
      <c r="X265" t="str">
        <f t="shared" si="23"/>
        <v>Mid</v>
      </c>
      <c r="Y265" t="str">
        <f t="shared" si="24"/>
        <v>25-34</v>
      </c>
    </row>
    <row r="266" spans="1:25" x14ac:dyDescent="0.3">
      <c r="A266">
        <v>1265</v>
      </c>
      <c r="B266" t="s">
        <v>148</v>
      </c>
      <c r="C266" t="s">
        <v>37</v>
      </c>
      <c r="D266">
        <v>26</v>
      </c>
      <c r="E266" t="s">
        <v>91</v>
      </c>
      <c r="F266" t="s">
        <v>92</v>
      </c>
      <c r="G266" t="s">
        <v>64</v>
      </c>
      <c r="H266" t="s">
        <v>334</v>
      </c>
      <c r="I266">
        <v>2</v>
      </c>
      <c r="J266">
        <v>52863</v>
      </c>
      <c r="K266">
        <v>3.5</v>
      </c>
      <c r="L266">
        <v>87.4</v>
      </c>
      <c r="M266">
        <v>6</v>
      </c>
      <c r="N266">
        <v>9</v>
      </c>
      <c r="O266">
        <v>6821</v>
      </c>
      <c r="P266" t="s">
        <v>41</v>
      </c>
      <c r="Q266" t="s">
        <v>27</v>
      </c>
      <c r="R266" t="s">
        <v>28</v>
      </c>
      <c r="S266" t="s">
        <v>49</v>
      </c>
      <c r="T266" t="s">
        <v>30</v>
      </c>
      <c r="U266">
        <f t="shared" si="20"/>
        <v>59684</v>
      </c>
      <c r="V266" t="str">
        <f t="shared" si="21"/>
        <v>Needs Improvement</v>
      </c>
      <c r="W266" t="str">
        <f t="shared" si="22"/>
        <v>Normal</v>
      </c>
      <c r="X266" t="str">
        <f t="shared" si="23"/>
        <v>Junior</v>
      </c>
      <c r="Y266" t="str">
        <f t="shared" si="24"/>
        <v>25-34</v>
      </c>
    </row>
    <row r="267" spans="1:25" x14ac:dyDescent="0.3">
      <c r="A267">
        <v>1266</v>
      </c>
      <c r="B267" t="s">
        <v>43</v>
      </c>
      <c r="C267" t="s">
        <v>37</v>
      </c>
      <c r="D267">
        <v>28</v>
      </c>
      <c r="E267" t="s">
        <v>91</v>
      </c>
      <c r="F267" t="s">
        <v>92</v>
      </c>
      <c r="G267" t="s">
        <v>24</v>
      </c>
      <c r="H267" t="s">
        <v>335</v>
      </c>
      <c r="I267">
        <v>1</v>
      </c>
      <c r="J267">
        <v>93931</v>
      </c>
      <c r="K267">
        <v>4</v>
      </c>
      <c r="L267">
        <v>97.4</v>
      </c>
      <c r="M267">
        <v>13</v>
      </c>
      <c r="N267">
        <v>24</v>
      </c>
      <c r="O267">
        <v>6010</v>
      </c>
      <c r="P267" t="s">
        <v>47</v>
      </c>
      <c r="Q267" t="s">
        <v>48</v>
      </c>
      <c r="R267" t="s">
        <v>58</v>
      </c>
      <c r="S267" t="s">
        <v>29</v>
      </c>
      <c r="T267" t="s">
        <v>30</v>
      </c>
      <c r="U267">
        <f t="shared" si="20"/>
        <v>99941</v>
      </c>
      <c r="V267" t="str">
        <f t="shared" si="21"/>
        <v>Excellent</v>
      </c>
      <c r="W267" t="str">
        <f t="shared" si="22"/>
        <v>Normal</v>
      </c>
      <c r="X267" t="str">
        <f t="shared" si="23"/>
        <v>Junior</v>
      </c>
      <c r="Y267" t="str">
        <f t="shared" si="24"/>
        <v>25-34</v>
      </c>
    </row>
    <row r="268" spans="1:25" x14ac:dyDescent="0.3">
      <c r="A268">
        <v>1267</v>
      </c>
      <c r="B268" t="s">
        <v>43</v>
      </c>
      <c r="C268" t="s">
        <v>21</v>
      </c>
      <c r="D268">
        <v>41</v>
      </c>
      <c r="E268" t="s">
        <v>55</v>
      </c>
      <c r="F268" t="s">
        <v>56</v>
      </c>
      <c r="G268" t="s">
        <v>59</v>
      </c>
      <c r="H268" t="s">
        <v>336</v>
      </c>
      <c r="I268">
        <v>2</v>
      </c>
      <c r="J268">
        <v>90731</v>
      </c>
      <c r="K268">
        <v>3.8</v>
      </c>
      <c r="L268">
        <v>98.6</v>
      </c>
      <c r="M268">
        <v>25</v>
      </c>
      <c r="N268">
        <v>40</v>
      </c>
      <c r="O268">
        <v>6263</v>
      </c>
      <c r="P268" t="s">
        <v>41</v>
      </c>
      <c r="Q268" t="s">
        <v>48</v>
      </c>
      <c r="R268" t="s">
        <v>28</v>
      </c>
      <c r="S268" t="s">
        <v>29</v>
      </c>
      <c r="T268" t="s">
        <v>30</v>
      </c>
      <c r="U268">
        <f t="shared" si="20"/>
        <v>96994</v>
      </c>
      <c r="V268" t="str">
        <f t="shared" si="21"/>
        <v>Excellent</v>
      </c>
      <c r="W268" t="str">
        <f t="shared" si="22"/>
        <v>High</v>
      </c>
      <c r="X268" t="str">
        <f t="shared" si="23"/>
        <v>Junior</v>
      </c>
      <c r="Y268" t="str">
        <f t="shared" si="24"/>
        <v>35-44</v>
      </c>
    </row>
    <row r="269" spans="1:25" x14ac:dyDescent="0.3">
      <c r="A269">
        <v>1268</v>
      </c>
      <c r="B269" t="s">
        <v>43</v>
      </c>
      <c r="C269" t="s">
        <v>37</v>
      </c>
      <c r="D269">
        <v>27</v>
      </c>
      <c r="E269" t="s">
        <v>55</v>
      </c>
      <c r="F269" t="s">
        <v>79</v>
      </c>
      <c r="G269" t="s">
        <v>45</v>
      </c>
      <c r="H269" t="s">
        <v>337</v>
      </c>
      <c r="I269">
        <v>8</v>
      </c>
      <c r="J269">
        <v>25589</v>
      </c>
      <c r="K269">
        <v>4.2</v>
      </c>
      <c r="L269">
        <v>90.7</v>
      </c>
      <c r="M269">
        <v>12</v>
      </c>
      <c r="N269">
        <v>28</v>
      </c>
      <c r="O269">
        <v>4256</v>
      </c>
      <c r="P269" t="s">
        <v>26</v>
      </c>
      <c r="Q269" t="s">
        <v>48</v>
      </c>
      <c r="R269" t="s">
        <v>58</v>
      </c>
      <c r="S269" t="s">
        <v>34</v>
      </c>
      <c r="T269" t="s">
        <v>50</v>
      </c>
      <c r="U269">
        <f t="shared" si="20"/>
        <v>29845</v>
      </c>
      <c r="V269" t="str">
        <f t="shared" si="21"/>
        <v>Needs Improvement</v>
      </c>
      <c r="W269" t="str">
        <f t="shared" si="22"/>
        <v>Normal</v>
      </c>
      <c r="X269" t="str">
        <f t="shared" si="23"/>
        <v>Senior</v>
      </c>
      <c r="Y269" t="str">
        <f t="shared" si="24"/>
        <v>25-34</v>
      </c>
    </row>
    <row r="270" spans="1:25" x14ac:dyDescent="0.3">
      <c r="A270">
        <v>1269</v>
      </c>
      <c r="B270" t="s">
        <v>20</v>
      </c>
      <c r="C270" t="s">
        <v>37</v>
      </c>
      <c r="D270">
        <v>31</v>
      </c>
      <c r="E270" t="s">
        <v>22</v>
      </c>
      <c r="F270" t="s">
        <v>23</v>
      </c>
      <c r="G270" t="s">
        <v>64</v>
      </c>
      <c r="H270" t="s">
        <v>338</v>
      </c>
      <c r="I270">
        <v>3</v>
      </c>
      <c r="J270">
        <v>45439</v>
      </c>
      <c r="K270">
        <v>4.7</v>
      </c>
      <c r="L270">
        <v>92.7</v>
      </c>
      <c r="M270">
        <v>6</v>
      </c>
      <c r="N270">
        <v>47</v>
      </c>
      <c r="O270">
        <v>11340</v>
      </c>
      <c r="P270" t="s">
        <v>47</v>
      </c>
      <c r="Q270" t="s">
        <v>27</v>
      </c>
      <c r="R270" t="s">
        <v>70</v>
      </c>
      <c r="S270" t="s">
        <v>34</v>
      </c>
      <c r="T270" t="s">
        <v>35</v>
      </c>
      <c r="U270">
        <f t="shared" si="20"/>
        <v>56779</v>
      </c>
      <c r="V270" t="str">
        <f t="shared" si="21"/>
        <v>Needs Improvement</v>
      </c>
      <c r="W270" t="str">
        <f t="shared" si="22"/>
        <v>Normal</v>
      </c>
      <c r="X270" t="str">
        <f t="shared" si="23"/>
        <v>Mid</v>
      </c>
      <c r="Y270" t="str">
        <f t="shared" si="24"/>
        <v>25-34</v>
      </c>
    </row>
    <row r="271" spans="1:25" x14ac:dyDescent="0.3">
      <c r="A271">
        <v>1270</v>
      </c>
      <c r="B271" t="s">
        <v>43</v>
      </c>
      <c r="C271" t="s">
        <v>21</v>
      </c>
      <c r="D271">
        <v>31</v>
      </c>
      <c r="E271" t="s">
        <v>38</v>
      </c>
      <c r="F271" t="s">
        <v>39</v>
      </c>
      <c r="G271" t="s">
        <v>24</v>
      </c>
      <c r="H271" t="s">
        <v>261</v>
      </c>
      <c r="I271">
        <v>6</v>
      </c>
      <c r="J271">
        <v>30899</v>
      </c>
      <c r="K271">
        <v>4</v>
      </c>
      <c r="L271">
        <v>98.1</v>
      </c>
      <c r="M271">
        <v>1</v>
      </c>
      <c r="N271">
        <v>52</v>
      </c>
      <c r="O271">
        <v>14594</v>
      </c>
      <c r="P271" t="s">
        <v>41</v>
      </c>
      <c r="Q271" t="s">
        <v>48</v>
      </c>
      <c r="R271" t="s">
        <v>58</v>
      </c>
      <c r="S271" t="s">
        <v>34</v>
      </c>
      <c r="T271" t="s">
        <v>50</v>
      </c>
      <c r="U271">
        <f t="shared" si="20"/>
        <v>45493</v>
      </c>
      <c r="V271" t="str">
        <f t="shared" si="21"/>
        <v>Excellent</v>
      </c>
      <c r="W271" t="str">
        <f t="shared" si="22"/>
        <v>Normal</v>
      </c>
      <c r="X271" t="str">
        <f t="shared" si="23"/>
        <v>Mid</v>
      </c>
      <c r="Y271" t="str">
        <f t="shared" si="24"/>
        <v>25-34</v>
      </c>
    </row>
    <row r="272" spans="1:25" x14ac:dyDescent="0.3">
      <c r="A272">
        <v>1271</v>
      </c>
      <c r="B272" t="s">
        <v>71</v>
      </c>
      <c r="C272" t="s">
        <v>21</v>
      </c>
      <c r="D272">
        <v>30</v>
      </c>
      <c r="E272" t="s">
        <v>62</v>
      </c>
      <c r="F272" t="s">
        <v>63</v>
      </c>
      <c r="G272" t="s">
        <v>45</v>
      </c>
      <c r="H272" t="s">
        <v>339</v>
      </c>
      <c r="I272">
        <v>3</v>
      </c>
      <c r="J272">
        <v>58157</v>
      </c>
      <c r="K272">
        <v>4.2</v>
      </c>
      <c r="L272">
        <v>96.4</v>
      </c>
      <c r="M272">
        <v>9</v>
      </c>
      <c r="N272">
        <v>7</v>
      </c>
      <c r="O272">
        <v>9069</v>
      </c>
      <c r="P272" t="s">
        <v>41</v>
      </c>
      <c r="Q272" t="s">
        <v>27</v>
      </c>
      <c r="R272" t="s">
        <v>58</v>
      </c>
      <c r="S272" t="s">
        <v>49</v>
      </c>
      <c r="T272" t="s">
        <v>35</v>
      </c>
      <c r="U272">
        <f t="shared" si="20"/>
        <v>67226</v>
      </c>
      <c r="V272" t="str">
        <f t="shared" si="21"/>
        <v>Excellent</v>
      </c>
      <c r="W272" t="str">
        <f t="shared" si="22"/>
        <v>Normal</v>
      </c>
      <c r="X272" t="str">
        <f t="shared" si="23"/>
        <v>Mid</v>
      </c>
      <c r="Y272" t="str">
        <f t="shared" si="24"/>
        <v>25-34</v>
      </c>
    </row>
    <row r="273" spans="1:25" x14ac:dyDescent="0.3">
      <c r="A273">
        <v>1272</v>
      </c>
      <c r="B273" t="s">
        <v>83</v>
      </c>
      <c r="C273" t="s">
        <v>37</v>
      </c>
      <c r="D273">
        <v>28</v>
      </c>
      <c r="E273" t="s">
        <v>38</v>
      </c>
      <c r="F273" t="s">
        <v>44</v>
      </c>
      <c r="G273" t="s">
        <v>24</v>
      </c>
      <c r="H273" t="s">
        <v>340</v>
      </c>
      <c r="I273">
        <v>5</v>
      </c>
      <c r="J273">
        <v>51875</v>
      </c>
      <c r="K273">
        <v>2.7</v>
      </c>
      <c r="L273">
        <v>92.3</v>
      </c>
      <c r="M273">
        <v>19</v>
      </c>
      <c r="N273">
        <v>27</v>
      </c>
      <c r="O273">
        <v>11185</v>
      </c>
      <c r="P273" t="s">
        <v>47</v>
      </c>
      <c r="Q273" t="s">
        <v>48</v>
      </c>
      <c r="R273" t="s">
        <v>42</v>
      </c>
      <c r="S273" t="s">
        <v>49</v>
      </c>
      <c r="T273" t="s">
        <v>35</v>
      </c>
      <c r="U273">
        <f t="shared" si="20"/>
        <v>63060</v>
      </c>
      <c r="V273" t="str">
        <f t="shared" si="21"/>
        <v>Needs Improvement</v>
      </c>
      <c r="W273" t="str">
        <f t="shared" si="22"/>
        <v>Normal</v>
      </c>
      <c r="X273" t="str">
        <f t="shared" si="23"/>
        <v>Mid</v>
      </c>
      <c r="Y273" t="str">
        <f t="shared" si="24"/>
        <v>25-34</v>
      </c>
    </row>
    <row r="274" spans="1:25" x14ac:dyDescent="0.3">
      <c r="A274">
        <v>1273</v>
      </c>
      <c r="B274" t="s">
        <v>178</v>
      </c>
      <c r="C274" t="s">
        <v>37</v>
      </c>
      <c r="D274">
        <v>29</v>
      </c>
      <c r="E274" t="s">
        <v>22</v>
      </c>
      <c r="F274" t="s">
        <v>23</v>
      </c>
      <c r="G274" t="s">
        <v>24</v>
      </c>
      <c r="H274" t="s">
        <v>341</v>
      </c>
      <c r="I274">
        <v>6</v>
      </c>
      <c r="J274">
        <v>94973</v>
      </c>
      <c r="K274">
        <v>4.5</v>
      </c>
      <c r="L274">
        <v>89.6</v>
      </c>
      <c r="M274">
        <v>8</v>
      </c>
      <c r="N274">
        <v>57</v>
      </c>
      <c r="O274">
        <v>12870</v>
      </c>
      <c r="P274" t="s">
        <v>41</v>
      </c>
      <c r="Q274" t="s">
        <v>27</v>
      </c>
      <c r="R274" t="s">
        <v>70</v>
      </c>
      <c r="S274" t="s">
        <v>29</v>
      </c>
      <c r="T274" t="s">
        <v>50</v>
      </c>
      <c r="U274">
        <f t="shared" si="20"/>
        <v>107843</v>
      </c>
      <c r="V274" t="str">
        <f t="shared" si="21"/>
        <v>Needs Improvement</v>
      </c>
      <c r="W274" t="str">
        <f t="shared" si="22"/>
        <v>Normal</v>
      </c>
      <c r="X274" t="str">
        <f t="shared" si="23"/>
        <v>Mid</v>
      </c>
      <c r="Y274" t="str">
        <f t="shared" si="24"/>
        <v>25-34</v>
      </c>
    </row>
    <row r="275" spans="1:25" x14ac:dyDescent="0.3">
      <c r="A275">
        <v>1274</v>
      </c>
      <c r="B275" t="s">
        <v>43</v>
      </c>
      <c r="C275" t="s">
        <v>37</v>
      </c>
      <c r="D275">
        <v>28</v>
      </c>
      <c r="E275" t="s">
        <v>22</v>
      </c>
      <c r="F275" t="s">
        <v>66</v>
      </c>
      <c r="G275" t="s">
        <v>45</v>
      </c>
      <c r="H275" t="s">
        <v>342</v>
      </c>
      <c r="I275">
        <v>6</v>
      </c>
      <c r="J275">
        <v>92433</v>
      </c>
      <c r="K275">
        <v>3.6</v>
      </c>
      <c r="L275">
        <v>89.1</v>
      </c>
      <c r="M275">
        <v>25</v>
      </c>
      <c r="N275">
        <v>5</v>
      </c>
      <c r="O275">
        <v>5508</v>
      </c>
      <c r="P275" t="s">
        <v>47</v>
      </c>
      <c r="Q275" t="s">
        <v>27</v>
      </c>
      <c r="R275" t="s">
        <v>28</v>
      </c>
      <c r="S275" t="s">
        <v>29</v>
      </c>
      <c r="T275" t="s">
        <v>50</v>
      </c>
      <c r="U275">
        <f t="shared" si="20"/>
        <v>97941</v>
      </c>
      <c r="V275" t="str">
        <f t="shared" si="21"/>
        <v>Needs Improvement</v>
      </c>
      <c r="W275" t="str">
        <f t="shared" si="22"/>
        <v>High</v>
      </c>
      <c r="X275" t="str">
        <f t="shared" si="23"/>
        <v>Mid</v>
      </c>
      <c r="Y275" t="str">
        <f t="shared" si="24"/>
        <v>25-34</v>
      </c>
    </row>
    <row r="276" spans="1:25" x14ac:dyDescent="0.3">
      <c r="A276">
        <v>1275</v>
      </c>
      <c r="B276" t="s">
        <v>121</v>
      </c>
      <c r="C276" t="s">
        <v>21</v>
      </c>
      <c r="D276">
        <v>26</v>
      </c>
      <c r="E276" t="s">
        <v>55</v>
      </c>
      <c r="F276" t="s">
        <v>143</v>
      </c>
      <c r="G276" t="s">
        <v>64</v>
      </c>
      <c r="H276" t="s">
        <v>343</v>
      </c>
      <c r="I276">
        <v>7</v>
      </c>
      <c r="J276">
        <v>80191</v>
      </c>
      <c r="K276">
        <v>4.7</v>
      </c>
      <c r="L276">
        <v>98.6</v>
      </c>
      <c r="M276">
        <v>2</v>
      </c>
      <c r="N276">
        <v>7</v>
      </c>
      <c r="O276">
        <v>5937</v>
      </c>
      <c r="P276" t="s">
        <v>33</v>
      </c>
      <c r="Q276" t="s">
        <v>48</v>
      </c>
      <c r="R276" t="s">
        <v>70</v>
      </c>
      <c r="S276" t="s">
        <v>29</v>
      </c>
      <c r="T276" t="s">
        <v>50</v>
      </c>
      <c r="U276">
        <f t="shared" si="20"/>
        <v>86128</v>
      </c>
      <c r="V276" t="str">
        <f t="shared" si="21"/>
        <v>Excellent</v>
      </c>
      <c r="W276" t="str">
        <f t="shared" si="22"/>
        <v>Normal</v>
      </c>
      <c r="X276" t="str">
        <f t="shared" si="23"/>
        <v>Senior</v>
      </c>
      <c r="Y276" t="str">
        <f t="shared" si="24"/>
        <v>25-34</v>
      </c>
    </row>
    <row r="277" spans="1:25" x14ac:dyDescent="0.3">
      <c r="A277">
        <v>1276</v>
      </c>
      <c r="B277" t="s">
        <v>85</v>
      </c>
      <c r="C277" t="s">
        <v>21</v>
      </c>
      <c r="D277">
        <v>41</v>
      </c>
      <c r="E277" t="s">
        <v>22</v>
      </c>
      <c r="F277" t="s">
        <v>23</v>
      </c>
      <c r="G277" t="s">
        <v>24</v>
      </c>
      <c r="H277" t="s">
        <v>344</v>
      </c>
      <c r="I277">
        <v>9</v>
      </c>
      <c r="J277">
        <v>73377</v>
      </c>
      <c r="K277">
        <v>2.9</v>
      </c>
      <c r="L277">
        <v>85.7</v>
      </c>
      <c r="M277">
        <v>0</v>
      </c>
      <c r="N277">
        <v>15</v>
      </c>
      <c r="O277">
        <v>3349</v>
      </c>
      <c r="P277" t="s">
        <v>47</v>
      </c>
      <c r="Q277" t="s">
        <v>48</v>
      </c>
      <c r="R277" t="s">
        <v>42</v>
      </c>
      <c r="S277" t="s">
        <v>29</v>
      </c>
      <c r="T277" t="s">
        <v>50</v>
      </c>
      <c r="U277">
        <f t="shared" si="20"/>
        <v>76726</v>
      </c>
      <c r="V277" t="str">
        <f t="shared" si="21"/>
        <v>Needs Improvement</v>
      </c>
      <c r="W277" t="str">
        <f t="shared" si="22"/>
        <v>Normal</v>
      </c>
      <c r="X277" t="str">
        <f t="shared" si="23"/>
        <v>Senior</v>
      </c>
      <c r="Y277" t="str">
        <f t="shared" si="24"/>
        <v>35-44</v>
      </c>
    </row>
    <row r="278" spans="1:25" x14ac:dyDescent="0.3">
      <c r="A278">
        <v>1277</v>
      </c>
      <c r="B278" t="s">
        <v>85</v>
      </c>
      <c r="C278" t="s">
        <v>21</v>
      </c>
      <c r="D278">
        <v>38</v>
      </c>
      <c r="E278" t="s">
        <v>55</v>
      </c>
      <c r="F278" t="s">
        <v>143</v>
      </c>
      <c r="G278" t="s">
        <v>64</v>
      </c>
      <c r="H278" t="s">
        <v>345</v>
      </c>
      <c r="I278">
        <v>9</v>
      </c>
      <c r="J278">
        <v>80628</v>
      </c>
      <c r="K278">
        <v>3.4</v>
      </c>
      <c r="L278">
        <v>93.5</v>
      </c>
      <c r="M278">
        <v>15</v>
      </c>
      <c r="N278">
        <v>53</v>
      </c>
      <c r="O278">
        <v>5271</v>
      </c>
      <c r="P278" t="s">
        <v>33</v>
      </c>
      <c r="Q278" t="s">
        <v>48</v>
      </c>
      <c r="R278" t="s">
        <v>28</v>
      </c>
      <c r="S278" t="s">
        <v>29</v>
      </c>
      <c r="T278" t="s">
        <v>50</v>
      </c>
      <c r="U278">
        <f t="shared" si="20"/>
        <v>85899</v>
      </c>
      <c r="V278" t="str">
        <f t="shared" si="21"/>
        <v>Needs Improvement</v>
      </c>
      <c r="W278" t="str">
        <f t="shared" si="22"/>
        <v>Normal</v>
      </c>
      <c r="X278" t="str">
        <f t="shared" si="23"/>
        <v>Senior</v>
      </c>
      <c r="Y278" t="str">
        <f t="shared" si="24"/>
        <v>35-44</v>
      </c>
    </row>
    <row r="279" spans="1:25" x14ac:dyDescent="0.3">
      <c r="A279">
        <v>1278</v>
      </c>
      <c r="B279" t="s">
        <v>54</v>
      </c>
      <c r="C279" t="s">
        <v>21</v>
      </c>
      <c r="D279">
        <v>30</v>
      </c>
      <c r="E279" t="s">
        <v>55</v>
      </c>
      <c r="F279" t="s">
        <v>79</v>
      </c>
      <c r="G279" t="s">
        <v>45</v>
      </c>
      <c r="H279" t="s">
        <v>346</v>
      </c>
      <c r="I279">
        <v>6</v>
      </c>
      <c r="J279">
        <v>44871</v>
      </c>
      <c r="K279">
        <v>2.9</v>
      </c>
      <c r="L279">
        <v>83.6</v>
      </c>
      <c r="M279">
        <v>6</v>
      </c>
      <c r="N279">
        <v>20</v>
      </c>
      <c r="O279">
        <v>7734</v>
      </c>
      <c r="P279" t="s">
        <v>53</v>
      </c>
      <c r="Q279" t="s">
        <v>48</v>
      </c>
      <c r="R279" t="s">
        <v>42</v>
      </c>
      <c r="S279" t="s">
        <v>34</v>
      </c>
      <c r="T279" t="s">
        <v>50</v>
      </c>
      <c r="U279">
        <f t="shared" si="20"/>
        <v>52605</v>
      </c>
      <c r="V279" t="str">
        <f t="shared" si="21"/>
        <v>Needs Improvement</v>
      </c>
      <c r="W279" t="str">
        <f t="shared" si="22"/>
        <v>Normal</v>
      </c>
      <c r="X279" t="str">
        <f t="shared" si="23"/>
        <v>Mid</v>
      </c>
      <c r="Y279" t="str">
        <f t="shared" si="24"/>
        <v>25-34</v>
      </c>
    </row>
    <row r="280" spans="1:25" x14ac:dyDescent="0.3">
      <c r="A280">
        <v>1279</v>
      </c>
      <c r="B280" t="s">
        <v>99</v>
      </c>
      <c r="C280" t="s">
        <v>21</v>
      </c>
      <c r="D280">
        <v>39</v>
      </c>
      <c r="E280" t="s">
        <v>62</v>
      </c>
      <c r="F280" t="s">
        <v>97</v>
      </c>
      <c r="G280" t="s">
        <v>45</v>
      </c>
      <c r="H280" t="s">
        <v>347</v>
      </c>
      <c r="I280">
        <v>5</v>
      </c>
      <c r="J280">
        <v>83687</v>
      </c>
      <c r="K280">
        <v>4.5</v>
      </c>
      <c r="L280">
        <v>96.7</v>
      </c>
      <c r="M280">
        <v>0</v>
      </c>
      <c r="N280">
        <v>32</v>
      </c>
      <c r="O280">
        <v>3292</v>
      </c>
      <c r="P280" t="s">
        <v>47</v>
      </c>
      <c r="Q280" t="s">
        <v>48</v>
      </c>
      <c r="R280" t="s">
        <v>70</v>
      </c>
      <c r="S280" t="s">
        <v>29</v>
      </c>
      <c r="T280" t="s">
        <v>35</v>
      </c>
      <c r="U280">
        <f t="shared" si="20"/>
        <v>86979</v>
      </c>
      <c r="V280" t="str">
        <f t="shared" si="21"/>
        <v>Excellent</v>
      </c>
      <c r="W280" t="str">
        <f t="shared" si="22"/>
        <v>Normal</v>
      </c>
      <c r="X280" t="str">
        <f t="shared" si="23"/>
        <v>Mid</v>
      </c>
      <c r="Y280" t="str">
        <f t="shared" si="24"/>
        <v>35-44</v>
      </c>
    </row>
    <row r="281" spans="1:25" x14ac:dyDescent="0.3">
      <c r="A281">
        <v>1280</v>
      </c>
      <c r="B281" t="s">
        <v>36</v>
      </c>
      <c r="C281" t="s">
        <v>37</v>
      </c>
      <c r="D281">
        <v>36</v>
      </c>
      <c r="E281" t="s">
        <v>62</v>
      </c>
      <c r="F281" t="s">
        <v>63</v>
      </c>
      <c r="G281" t="s">
        <v>59</v>
      </c>
      <c r="H281" t="s">
        <v>348</v>
      </c>
      <c r="I281">
        <v>5</v>
      </c>
      <c r="J281">
        <v>91887</v>
      </c>
      <c r="K281">
        <v>4.0999999999999996</v>
      </c>
      <c r="L281">
        <v>87.5</v>
      </c>
      <c r="M281">
        <v>1</v>
      </c>
      <c r="N281">
        <v>31</v>
      </c>
      <c r="O281">
        <v>8904</v>
      </c>
      <c r="P281" t="s">
        <v>41</v>
      </c>
      <c r="Q281" t="s">
        <v>48</v>
      </c>
      <c r="R281" t="s">
        <v>58</v>
      </c>
      <c r="S281" t="s">
        <v>29</v>
      </c>
      <c r="T281" t="s">
        <v>35</v>
      </c>
      <c r="U281">
        <f t="shared" si="20"/>
        <v>100791</v>
      </c>
      <c r="V281" t="str">
        <f t="shared" si="21"/>
        <v>Needs Improvement</v>
      </c>
      <c r="W281" t="str">
        <f t="shared" si="22"/>
        <v>Normal</v>
      </c>
      <c r="X281" t="str">
        <f t="shared" si="23"/>
        <v>Mid</v>
      </c>
      <c r="Y281" t="str">
        <f t="shared" si="24"/>
        <v>35-44</v>
      </c>
    </row>
    <row r="282" spans="1:25" x14ac:dyDescent="0.3">
      <c r="A282">
        <v>1281</v>
      </c>
      <c r="B282" t="s">
        <v>31</v>
      </c>
      <c r="C282" t="s">
        <v>21</v>
      </c>
      <c r="D282">
        <v>28</v>
      </c>
      <c r="E282" t="s">
        <v>38</v>
      </c>
      <c r="F282" t="s">
        <v>39</v>
      </c>
      <c r="G282" t="s">
        <v>24</v>
      </c>
      <c r="H282" t="s">
        <v>349</v>
      </c>
      <c r="I282">
        <v>7</v>
      </c>
      <c r="J282">
        <v>37920</v>
      </c>
      <c r="K282">
        <v>4.2</v>
      </c>
      <c r="L282">
        <v>83.3</v>
      </c>
      <c r="M282">
        <v>20</v>
      </c>
      <c r="N282">
        <v>5</v>
      </c>
      <c r="O282">
        <v>7642</v>
      </c>
      <c r="P282" t="s">
        <v>53</v>
      </c>
      <c r="Q282" t="s">
        <v>27</v>
      </c>
      <c r="R282" t="s">
        <v>58</v>
      </c>
      <c r="S282" t="s">
        <v>34</v>
      </c>
      <c r="T282" t="s">
        <v>50</v>
      </c>
      <c r="U282">
        <f t="shared" si="20"/>
        <v>45562</v>
      </c>
      <c r="V282" t="str">
        <f t="shared" si="21"/>
        <v>Needs Improvement</v>
      </c>
      <c r="W282" t="str">
        <f t="shared" si="22"/>
        <v>Normal</v>
      </c>
      <c r="X282" t="str">
        <f t="shared" si="23"/>
        <v>Senior</v>
      </c>
      <c r="Y282" t="str">
        <f t="shared" si="24"/>
        <v>25-34</v>
      </c>
    </row>
    <row r="283" spans="1:25" x14ac:dyDescent="0.3">
      <c r="A283">
        <v>1282</v>
      </c>
      <c r="B283" t="s">
        <v>88</v>
      </c>
      <c r="C283" t="s">
        <v>37</v>
      </c>
      <c r="D283">
        <v>42</v>
      </c>
      <c r="E283" t="s">
        <v>22</v>
      </c>
      <c r="F283" t="s">
        <v>66</v>
      </c>
      <c r="G283" t="s">
        <v>64</v>
      </c>
      <c r="H283" t="s">
        <v>350</v>
      </c>
      <c r="I283">
        <v>9</v>
      </c>
      <c r="J283">
        <v>70125</v>
      </c>
      <c r="K283">
        <v>4</v>
      </c>
      <c r="L283">
        <v>95.9</v>
      </c>
      <c r="M283">
        <v>17</v>
      </c>
      <c r="N283">
        <v>39</v>
      </c>
      <c r="O283">
        <v>12648</v>
      </c>
      <c r="P283" t="s">
        <v>33</v>
      </c>
      <c r="Q283" t="s">
        <v>27</v>
      </c>
      <c r="R283" t="s">
        <v>58</v>
      </c>
      <c r="S283" t="s">
        <v>29</v>
      </c>
      <c r="T283" t="s">
        <v>50</v>
      </c>
      <c r="U283">
        <f t="shared" si="20"/>
        <v>82773</v>
      </c>
      <c r="V283" t="str">
        <f t="shared" si="21"/>
        <v>Excellent</v>
      </c>
      <c r="W283" t="str">
        <f t="shared" si="22"/>
        <v>Normal</v>
      </c>
      <c r="X283" t="str">
        <f t="shared" si="23"/>
        <v>Senior</v>
      </c>
      <c r="Y283" t="str">
        <f t="shared" si="24"/>
        <v>35-44</v>
      </c>
    </row>
    <row r="284" spans="1:25" x14ac:dyDescent="0.3">
      <c r="A284">
        <v>1283</v>
      </c>
      <c r="B284" t="s">
        <v>83</v>
      </c>
      <c r="C284" t="s">
        <v>21</v>
      </c>
      <c r="D284">
        <v>26</v>
      </c>
      <c r="E284" t="s">
        <v>22</v>
      </c>
      <c r="F284" t="s">
        <v>23</v>
      </c>
      <c r="G284" t="s">
        <v>64</v>
      </c>
      <c r="H284" t="s">
        <v>351</v>
      </c>
      <c r="I284">
        <v>4</v>
      </c>
      <c r="J284">
        <v>44318</v>
      </c>
      <c r="K284">
        <v>3.6</v>
      </c>
      <c r="L284">
        <v>85.5</v>
      </c>
      <c r="M284">
        <v>18</v>
      </c>
      <c r="N284">
        <v>53</v>
      </c>
      <c r="O284">
        <v>10176</v>
      </c>
      <c r="P284" t="s">
        <v>47</v>
      </c>
      <c r="Q284" t="s">
        <v>27</v>
      </c>
      <c r="R284" t="s">
        <v>28</v>
      </c>
      <c r="S284" t="s">
        <v>34</v>
      </c>
      <c r="T284" t="s">
        <v>35</v>
      </c>
      <c r="U284">
        <f t="shared" si="20"/>
        <v>54494</v>
      </c>
      <c r="V284" t="str">
        <f t="shared" si="21"/>
        <v>Needs Improvement</v>
      </c>
      <c r="W284" t="str">
        <f t="shared" si="22"/>
        <v>Normal</v>
      </c>
      <c r="X284" t="str">
        <f t="shared" si="23"/>
        <v>Mid</v>
      </c>
      <c r="Y284" t="str">
        <f t="shared" si="24"/>
        <v>25-34</v>
      </c>
    </row>
    <row r="285" spans="1:25" x14ac:dyDescent="0.3">
      <c r="A285">
        <v>1284</v>
      </c>
      <c r="B285" t="s">
        <v>75</v>
      </c>
      <c r="C285" t="s">
        <v>21</v>
      </c>
      <c r="D285">
        <v>38</v>
      </c>
      <c r="E285" t="s">
        <v>55</v>
      </c>
      <c r="F285" t="s">
        <v>79</v>
      </c>
      <c r="G285" t="s">
        <v>59</v>
      </c>
      <c r="H285" t="s">
        <v>352</v>
      </c>
      <c r="I285">
        <v>6</v>
      </c>
      <c r="J285">
        <v>54707</v>
      </c>
      <c r="K285">
        <v>2.9</v>
      </c>
      <c r="L285">
        <v>82.1</v>
      </c>
      <c r="M285">
        <v>17</v>
      </c>
      <c r="N285">
        <v>24</v>
      </c>
      <c r="O285">
        <v>1135</v>
      </c>
      <c r="P285" t="s">
        <v>53</v>
      </c>
      <c r="Q285" t="s">
        <v>48</v>
      </c>
      <c r="R285" t="s">
        <v>42</v>
      </c>
      <c r="S285" t="s">
        <v>49</v>
      </c>
      <c r="T285" t="s">
        <v>50</v>
      </c>
      <c r="U285">
        <f t="shared" si="20"/>
        <v>55842</v>
      </c>
      <c r="V285" t="str">
        <f t="shared" si="21"/>
        <v>Needs Improvement</v>
      </c>
      <c r="W285" t="str">
        <f t="shared" si="22"/>
        <v>Normal</v>
      </c>
      <c r="X285" t="str">
        <f t="shared" si="23"/>
        <v>Mid</v>
      </c>
      <c r="Y285" t="str">
        <f t="shared" si="24"/>
        <v>35-44</v>
      </c>
    </row>
    <row r="286" spans="1:25" x14ac:dyDescent="0.3">
      <c r="A286">
        <v>1285</v>
      </c>
      <c r="B286" t="s">
        <v>88</v>
      </c>
      <c r="C286" t="s">
        <v>21</v>
      </c>
      <c r="D286">
        <v>37</v>
      </c>
      <c r="E286" t="s">
        <v>38</v>
      </c>
      <c r="F286" t="s">
        <v>44</v>
      </c>
      <c r="G286" t="s">
        <v>64</v>
      </c>
      <c r="H286" t="s">
        <v>353</v>
      </c>
      <c r="I286">
        <v>8</v>
      </c>
      <c r="J286">
        <v>93574</v>
      </c>
      <c r="K286">
        <v>3.8</v>
      </c>
      <c r="L286">
        <v>87.3</v>
      </c>
      <c r="M286">
        <v>0</v>
      </c>
      <c r="N286">
        <v>43</v>
      </c>
      <c r="O286">
        <v>5220</v>
      </c>
      <c r="P286" t="s">
        <v>41</v>
      </c>
      <c r="Q286" t="s">
        <v>27</v>
      </c>
      <c r="R286" t="s">
        <v>28</v>
      </c>
      <c r="S286" t="s">
        <v>29</v>
      </c>
      <c r="T286" t="s">
        <v>50</v>
      </c>
      <c r="U286">
        <f t="shared" si="20"/>
        <v>98794</v>
      </c>
      <c r="V286" t="str">
        <f t="shared" si="21"/>
        <v>Needs Improvement</v>
      </c>
      <c r="W286" t="str">
        <f t="shared" si="22"/>
        <v>Normal</v>
      </c>
      <c r="X286" t="str">
        <f t="shared" si="23"/>
        <v>Senior</v>
      </c>
      <c r="Y286" t="str">
        <f t="shared" si="24"/>
        <v>35-44</v>
      </c>
    </row>
    <row r="287" spans="1:25" x14ac:dyDescent="0.3">
      <c r="A287">
        <v>1286</v>
      </c>
      <c r="B287" t="s">
        <v>36</v>
      </c>
      <c r="C287" t="s">
        <v>37</v>
      </c>
      <c r="D287">
        <v>27</v>
      </c>
      <c r="E287" t="s">
        <v>62</v>
      </c>
      <c r="F287" t="s">
        <v>63</v>
      </c>
      <c r="G287" t="s">
        <v>24</v>
      </c>
      <c r="H287" t="s">
        <v>354</v>
      </c>
      <c r="I287">
        <v>5</v>
      </c>
      <c r="J287">
        <v>54140</v>
      </c>
      <c r="K287">
        <v>5</v>
      </c>
      <c r="L287">
        <v>99.2</v>
      </c>
      <c r="M287">
        <v>19</v>
      </c>
      <c r="N287">
        <v>6</v>
      </c>
      <c r="O287">
        <v>2196</v>
      </c>
      <c r="P287" t="s">
        <v>53</v>
      </c>
      <c r="Q287" t="s">
        <v>27</v>
      </c>
      <c r="R287" t="s">
        <v>70</v>
      </c>
      <c r="S287" t="s">
        <v>49</v>
      </c>
      <c r="T287" t="s">
        <v>35</v>
      </c>
      <c r="U287">
        <f t="shared" si="20"/>
        <v>56336</v>
      </c>
      <c r="V287" t="str">
        <f t="shared" si="21"/>
        <v>Excellent</v>
      </c>
      <c r="W287" t="str">
        <f t="shared" si="22"/>
        <v>Normal</v>
      </c>
      <c r="X287" t="str">
        <f t="shared" si="23"/>
        <v>Mid</v>
      </c>
      <c r="Y287" t="str">
        <f t="shared" si="24"/>
        <v>25-34</v>
      </c>
    </row>
    <row r="288" spans="1:25" x14ac:dyDescent="0.3">
      <c r="A288">
        <v>1287</v>
      </c>
      <c r="B288" t="s">
        <v>88</v>
      </c>
      <c r="C288" t="s">
        <v>37</v>
      </c>
      <c r="D288">
        <v>40</v>
      </c>
      <c r="E288" t="s">
        <v>91</v>
      </c>
      <c r="F288" t="s">
        <v>92</v>
      </c>
      <c r="G288" t="s">
        <v>24</v>
      </c>
      <c r="H288" t="s">
        <v>355</v>
      </c>
      <c r="I288">
        <v>9</v>
      </c>
      <c r="J288">
        <v>25396</v>
      </c>
      <c r="K288">
        <v>2.5</v>
      </c>
      <c r="L288">
        <v>96.8</v>
      </c>
      <c r="M288">
        <v>8</v>
      </c>
      <c r="N288">
        <v>36</v>
      </c>
      <c r="O288">
        <v>11691</v>
      </c>
      <c r="P288" t="s">
        <v>26</v>
      </c>
      <c r="Q288" t="s">
        <v>27</v>
      </c>
      <c r="R288" t="s">
        <v>42</v>
      </c>
      <c r="S288" t="s">
        <v>34</v>
      </c>
      <c r="T288" t="s">
        <v>50</v>
      </c>
      <c r="U288">
        <f t="shared" si="20"/>
        <v>37087</v>
      </c>
      <c r="V288" t="str">
        <f t="shared" si="21"/>
        <v>Excellent</v>
      </c>
      <c r="W288" t="str">
        <f t="shared" si="22"/>
        <v>Normal</v>
      </c>
      <c r="X288" t="str">
        <f t="shared" si="23"/>
        <v>Senior</v>
      </c>
      <c r="Y288" t="str">
        <f t="shared" si="24"/>
        <v>35-44</v>
      </c>
    </row>
    <row r="289" spans="1:25" x14ac:dyDescent="0.3">
      <c r="A289">
        <v>1288</v>
      </c>
      <c r="B289" t="s">
        <v>54</v>
      </c>
      <c r="C289" t="s">
        <v>21</v>
      </c>
      <c r="D289">
        <v>31</v>
      </c>
      <c r="E289" t="s">
        <v>55</v>
      </c>
      <c r="F289" t="s">
        <v>79</v>
      </c>
      <c r="G289" t="s">
        <v>59</v>
      </c>
      <c r="H289" t="s">
        <v>356</v>
      </c>
      <c r="I289">
        <v>5</v>
      </c>
      <c r="J289">
        <v>28661</v>
      </c>
      <c r="K289">
        <v>3.2</v>
      </c>
      <c r="L289">
        <v>94.7</v>
      </c>
      <c r="M289">
        <v>12</v>
      </c>
      <c r="N289">
        <v>35</v>
      </c>
      <c r="O289">
        <v>9190</v>
      </c>
      <c r="P289" t="s">
        <v>33</v>
      </c>
      <c r="Q289" t="s">
        <v>27</v>
      </c>
      <c r="R289" t="s">
        <v>28</v>
      </c>
      <c r="S289" t="s">
        <v>34</v>
      </c>
      <c r="T289" t="s">
        <v>35</v>
      </c>
      <c r="U289">
        <f t="shared" si="20"/>
        <v>37851</v>
      </c>
      <c r="V289" t="str">
        <f t="shared" si="21"/>
        <v>Needs Improvement</v>
      </c>
      <c r="W289" t="str">
        <f t="shared" si="22"/>
        <v>Normal</v>
      </c>
      <c r="X289" t="str">
        <f t="shared" si="23"/>
        <v>Mid</v>
      </c>
      <c r="Y289" t="str">
        <f t="shared" si="24"/>
        <v>25-34</v>
      </c>
    </row>
    <row r="290" spans="1:25" x14ac:dyDescent="0.3">
      <c r="A290">
        <v>1289</v>
      </c>
      <c r="B290" t="s">
        <v>124</v>
      </c>
      <c r="C290" t="s">
        <v>21</v>
      </c>
      <c r="D290">
        <v>41</v>
      </c>
      <c r="E290" t="s">
        <v>91</v>
      </c>
      <c r="F290" t="s">
        <v>101</v>
      </c>
      <c r="G290" t="s">
        <v>59</v>
      </c>
      <c r="H290" t="s">
        <v>357</v>
      </c>
      <c r="I290">
        <v>10</v>
      </c>
      <c r="J290">
        <v>59430</v>
      </c>
      <c r="K290">
        <v>3.1</v>
      </c>
      <c r="L290">
        <v>89.2</v>
      </c>
      <c r="M290">
        <v>13</v>
      </c>
      <c r="N290">
        <v>49</v>
      </c>
      <c r="O290">
        <v>5497</v>
      </c>
      <c r="P290" t="s">
        <v>47</v>
      </c>
      <c r="Q290" t="s">
        <v>48</v>
      </c>
      <c r="R290" t="s">
        <v>28</v>
      </c>
      <c r="S290" t="s">
        <v>49</v>
      </c>
      <c r="T290" t="s">
        <v>50</v>
      </c>
      <c r="U290">
        <f t="shared" si="20"/>
        <v>64927</v>
      </c>
      <c r="V290" t="str">
        <f t="shared" si="21"/>
        <v>Needs Improvement</v>
      </c>
      <c r="W290" t="str">
        <f t="shared" si="22"/>
        <v>Normal</v>
      </c>
      <c r="X290" t="str">
        <f t="shared" si="23"/>
        <v>Senior</v>
      </c>
      <c r="Y290" t="str">
        <f t="shared" si="24"/>
        <v>35-44</v>
      </c>
    </row>
    <row r="291" spans="1:25" x14ac:dyDescent="0.3">
      <c r="A291">
        <v>1290</v>
      </c>
      <c r="B291" t="s">
        <v>83</v>
      </c>
      <c r="C291" t="s">
        <v>37</v>
      </c>
      <c r="D291">
        <v>39</v>
      </c>
      <c r="E291" t="s">
        <v>22</v>
      </c>
      <c r="F291" t="s">
        <v>23</v>
      </c>
      <c r="G291" t="s">
        <v>24</v>
      </c>
      <c r="H291" t="s">
        <v>358</v>
      </c>
      <c r="I291">
        <v>2</v>
      </c>
      <c r="J291">
        <v>49660</v>
      </c>
      <c r="K291">
        <v>2.9</v>
      </c>
      <c r="L291">
        <v>91.2</v>
      </c>
      <c r="M291">
        <v>22</v>
      </c>
      <c r="N291">
        <v>19</v>
      </c>
      <c r="O291">
        <v>3275</v>
      </c>
      <c r="P291" t="s">
        <v>41</v>
      </c>
      <c r="Q291" t="s">
        <v>27</v>
      </c>
      <c r="R291" t="s">
        <v>42</v>
      </c>
      <c r="S291" t="s">
        <v>34</v>
      </c>
      <c r="T291" t="s">
        <v>30</v>
      </c>
      <c r="U291">
        <f t="shared" si="20"/>
        <v>52935</v>
      </c>
      <c r="V291" t="str">
        <f t="shared" si="21"/>
        <v>Needs Improvement</v>
      </c>
      <c r="W291" t="str">
        <f t="shared" si="22"/>
        <v>High</v>
      </c>
      <c r="X291" t="str">
        <f t="shared" si="23"/>
        <v>Junior</v>
      </c>
      <c r="Y291" t="str">
        <f t="shared" si="24"/>
        <v>35-44</v>
      </c>
    </row>
    <row r="292" spans="1:25" x14ac:dyDescent="0.3">
      <c r="A292">
        <v>1291</v>
      </c>
      <c r="B292" t="s">
        <v>43</v>
      </c>
      <c r="C292" t="s">
        <v>21</v>
      </c>
      <c r="D292">
        <v>43</v>
      </c>
      <c r="E292" t="s">
        <v>22</v>
      </c>
      <c r="F292" t="s">
        <v>23</v>
      </c>
      <c r="G292" t="s">
        <v>24</v>
      </c>
      <c r="H292" t="s">
        <v>359</v>
      </c>
      <c r="I292">
        <v>5</v>
      </c>
      <c r="J292">
        <v>28645</v>
      </c>
      <c r="K292">
        <v>3.2</v>
      </c>
      <c r="L292">
        <v>89.9</v>
      </c>
      <c r="M292">
        <v>23</v>
      </c>
      <c r="N292">
        <v>9</v>
      </c>
      <c r="O292">
        <v>14922</v>
      </c>
      <c r="P292" t="s">
        <v>26</v>
      </c>
      <c r="Q292" t="s">
        <v>27</v>
      </c>
      <c r="R292" t="s">
        <v>28</v>
      </c>
      <c r="S292" t="s">
        <v>34</v>
      </c>
      <c r="T292" t="s">
        <v>35</v>
      </c>
      <c r="U292">
        <f t="shared" si="20"/>
        <v>43567</v>
      </c>
      <c r="V292" t="str">
        <f t="shared" si="21"/>
        <v>Needs Improvement</v>
      </c>
      <c r="W292" t="str">
        <f t="shared" si="22"/>
        <v>High</v>
      </c>
      <c r="X292" t="str">
        <f t="shared" si="23"/>
        <v>Mid</v>
      </c>
      <c r="Y292" t="str">
        <f t="shared" si="24"/>
        <v>35-44</v>
      </c>
    </row>
    <row r="293" spans="1:25" x14ac:dyDescent="0.3">
      <c r="A293">
        <v>1292</v>
      </c>
      <c r="B293" t="s">
        <v>75</v>
      </c>
      <c r="C293" t="s">
        <v>37</v>
      </c>
      <c r="D293">
        <v>23</v>
      </c>
      <c r="E293" t="s">
        <v>91</v>
      </c>
      <c r="F293" t="s">
        <v>101</v>
      </c>
      <c r="G293" t="s">
        <v>45</v>
      </c>
      <c r="H293" t="s">
        <v>200</v>
      </c>
      <c r="I293">
        <v>10</v>
      </c>
      <c r="J293">
        <v>55252</v>
      </c>
      <c r="K293">
        <v>4.3</v>
      </c>
      <c r="L293">
        <v>89.6</v>
      </c>
      <c r="M293">
        <v>12</v>
      </c>
      <c r="N293">
        <v>37</v>
      </c>
      <c r="O293">
        <v>5420</v>
      </c>
      <c r="P293" t="s">
        <v>47</v>
      </c>
      <c r="Q293" t="s">
        <v>48</v>
      </c>
      <c r="R293" t="s">
        <v>58</v>
      </c>
      <c r="S293" t="s">
        <v>49</v>
      </c>
      <c r="T293" t="s">
        <v>50</v>
      </c>
      <c r="U293">
        <f t="shared" si="20"/>
        <v>60672</v>
      </c>
      <c r="V293" t="str">
        <f t="shared" si="21"/>
        <v>Needs Improvement</v>
      </c>
      <c r="W293" t="str">
        <f t="shared" si="22"/>
        <v>Normal</v>
      </c>
      <c r="X293" t="str">
        <f t="shared" si="23"/>
        <v>Senior</v>
      </c>
      <c r="Y293" t="str">
        <f t="shared" si="24"/>
        <v>20-24</v>
      </c>
    </row>
    <row r="294" spans="1:25" x14ac:dyDescent="0.3">
      <c r="A294">
        <v>1293</v>
      </c>
      <c r="B294" t="s">
        <v>20</v>
      </c>
      <c r="C294" t="s">
        <v>37</v>
      </c>
      <c r="D294">
        <v>38</v>
      </c>
      <c r="E294" t="s">
        <v>22</v>
      </c>
      <c r="F294" t="s">
        <v>66</v>
      </c>
      <c r="G294" t="s">
        <v>51</v>
      </c>
      <c r="H294" t="s">
        <v>360</v>
      </c>
      <c r="I294">
        <v>1</v>
      </c>
      <c r="J294">
        <v>46521</v>
      </c>
      <c r="K294">
        <v>3.7</v>
      </c>
      <c r="L294">
        <v>97.2</v>
      </c>
      <c r="M294">
        <v>15</v>
      </c>
      <c r="N294">
        <v>18</v>
      </c>
      <c r="O294">
        <v>11084</v>
      </c>
      <c r="P294" t="s">
        <v>26</v>
      </c>
      <c r="Q294" t="s">
        <v>48</v>
      </c>
      <c r="R294" t="s">
        <v>28</v>
      </c>
      <c r="S294" t="s">
        <v>34</v>
      </c>
      <c r="T294" t="s">
        <v>30</v>
      </c>
      <c r="U294">
        <f t="shared" si="20"/>
        <v>57605</v>
      </c>
      <c r="V294" t="str">
        <f t="shared" si="21"/>
        <v>Excellent</v>
      </c>
      <c r="W294" t="str">
        <f t="shared" si="22"/>
        <v>Normal</v>
      </c>
      <c r="X294" t="str">
        <f t="shared" si="23"/>
        <v>Junior</v>
      </c>
      <c r="Y294" t="str">
        <f t="shared" si="24"/>
        <v>35-44</v>
      </c>
    </row>
    <row r="295" spans="1:25" x14ac:dyDescent="0.3">
      <c r="A295">
        <v>1294</v>
      </c>
      <c r="B295" t="s">
        <v>148</v>
      </c>
      <c r="C295" t="s">
        <v>21</v>
      </c>
      <c r="D295">
        <v>43</v>
      </c>
      <c r="E295" t="s">
        <v>91</v>
      </c>
      <c r="F295" t="s">
        <v>101</v>
      </c>
      <c r="G295" t="s">
        <v>59</v>
      </c>
      <c r="H295" t="s">
        <v>168</v>
      </c>
      <c r="I295">
        <v>9</v>
      </c>
      <c r="J295">
        <v>61062</v>
      </c>
      <c r="K295">
        <v>3</v>
      </c>
      <c r="L295">
        <v>94.7</v>
      </c>
      <c r="M295">
        <v>22</v>
      </c>
      <c r="N295">
        <v>34</v>
      </c>
      <c r="O295">
        <v>5266</v>
      </c>
      <c r="P295" t="s">
        <v>47</v>
      </c>
      <c r="Q295" t="s">
        <v>48</v>
      </c>
      <c r="R295" t="s">
        <v>28</v>
      </c>
      <c r="S295" t="s">
        <v>49</v>
      </c>
      <c r="T295" t="s">
        <v>50</v>
      </c>
      <c r="U295">
        <f t="shared" si="20"/>
        <v>66328</v>
      </c>
      <c r="V295" t="str">
        <f t="shared" si="21"/>
        <v>Needs Improvement</v>
      </c>
      <c r="W295" t="str">
        <f t="shared" si="22"/>
        <v>High</v>
      </c>
      <c r="X295" t="str">
        <f t="shared" si="23"/>
        <v>Senior</v>
      </c>
      <c r="Y295" t="str">
        <f t="shared" si="24"/>
        <v>35-44</v>
      </c>
    </row>
    <row r="296" spans="1:25" x14ac:dyDescent="0.3">
      <c r="A296">
        <v>1295</v>
      </c>
      <c r="B296" t="s">
        <v>75</v>
      </c>
      <c r="C296" t="s">
        <v>21</v>
      </c>
      <c r="D296">
        <v>37</v>
      </c>
      <c r="E296" t="s">
        <v>62</v>
      </c>
      <c r="F296" t="s">
        <v>63</v>
      </c>
      <c r="G296" t="s">
        <v>45</v>
      </c>
      <c r="H296" t="s">
        <v>361</v>
      </c>
      <c r="I296">
        <v>6</v>
      </c>
      <c r="J296">
        <v>80689</v>
      </c>
      <c r="K296">
        <v>3.3</v>
      </c>
      <c r="L296">
        <v>87.2</v>
      </c>
      <c r="M296">
        <v>16</v>
      </c>
      <c r="N296">
        <v>28</v>
      </c>
      <c r="O296">
        <v>8631</v>
      </c>
      <c r="P296" t="s">
        <v>53</v>
      </c>
      <c r="Q296" t="s">
        <v>48</v>
      </c>
      <c r="R296" t="s">
        <v>28</v>
      </c>
      <c r="S296" t="s">
        <v>29</v>
      </c>
      <c r="T296" t="s">
        <v>50</v>
      </c>
      <c r="U296">
        <f t="shared" si="20"/>
        <v>89320</v>
      </c>
      <c r="V296" t="str">
        <f t="shared" si="21"/>
        <v>Needs Improvement</v>
      </c>
      <c r="W296" t="str">
        <f t="shared" si="22"/>
        <v>Normal</v>
      </c>
      <c r="X296" t="str">
        <f t="shared" si="23"/>
        <v>Mid</v>
      </c>
      <c r="Y296" t="str">
        <f t="shared" si="24"/>
        <v>35-44</v>
      </c>
    </row>
    <row r="297" spans="1:25" x14ac:dyDescent="0.3">
      <c r="A297">
        <v>1296</v>
      </c>
      <c r="B297" t="s">
        <v>68</v>
      </c>
      <c r="C297" t="s">
        <v>37</v>
      </c>
      <c r="D297">
        <v>40</v>
      </c>
      <c r="E297" t="s">
        <v>91</v>
      </c>
      <c r="F297" t="s">
        <v>92</v>
      </c>
      <c r="G297" t="s">
        <v>45</v>
      </c>
      <c r="H297" t="s">
        <v>362</v>
      </c>
      <c r="I297">
        <v>3</v>
      </c>
      <c r="J297">
        <v>83204</v>
      </c>
      <c r="K297">
        <v>4</v>
      </c>
      <c r="L297">
        <v>86</v>
      </c>
      <c r="M297">
        <v>15</v>
      </c>
      <c r="N297">
        <v>21</v>
      </c>
      <c r="O297">
        <v>5568</v>
      </c>
      <c r="P297" t="s">
        <v>33</v>
      </c>
      <c r="Q297" t="s">
        <v>48</v>
      </c>
      <c r="R297" t="s">
        <v>58</v>
      </c>
      <c r="S297" t="s">
        <v>29</v>
      </c>
      <c r="T297" t="s">
        <v>35</v>
      </c>
      <c r="U297">
        <f t="shared" si="20"/>
        <v>88772</v>
      </c>
      <c r="V297" t="str">
        <f t="shared" si="21"/>
        <v>Needs Improvement</v>
      </c>
      <c r="W297" t="str">
        <f t="shared" si="22"/>
        <v>Normal</v>
      </c>
      <c r="X297" t="str">
        <f t="shared" si="23"/>
        <v>Mid</v>
      </c>
      <c r="Y297" t="str">
        <f t="shared" si="24"/>
        <v>35-44</v>
      </c>
    </row>
    <row r="298" spans="1:25" x14ac:dyDescent="0.3">
      <c r="A298">
        <v>1297</v>
      </c>
      <c r="B298" t="s">
        <v>54</v>
      </c>
      <c r="C298" t="s">
        <v>37</v>
      </c>
      <c r="D298">
        <v>29</v>
      </c>
      <c r="E298" t="s">
        <v>55</v>
      </c>
      <c r="F298" t="s">
        <v>79</v>
      </c>
      <c r="G298" t="s">
        <v>59</v>
      </c>
      <c r="H298" t="s">
        <v>363</v>
      </c>
      <c r="I298">
        <v>1</v>
      </c>
      <c r="J298">
        <v>77658</v>
      </c>
      <c r="K298">
        <v>3.8</v>
      </c>
      <c r="L298">
        <v>96.1</v>
      </c>
      <c r="M298">
        <v>6</v>
      </c>
      <c r="N298">
        <v>33</v>
      </c>
      <c r="O298">
        <v>8369</v>
      </c>
      <c r="P298" t="s">
        <v>53</v>
      </c>
      <c r="Q298" t="s">
        <v>48</v>
      </c>
      <c r="R298" t="s">
        <v>28</v>
      </c>
      <c r="S298" t="s">
        <v>29</v>
      </c>
      <c r="T298" t="s">
        <v>30</v>
      </c>
      <c r="U298">
        <f t="shared" si="20"/>
        <v>86027</v>
      </c>
      <c r="V298" t="str">
        <f t="shared" si="21"/>
        <v>Excellent</v>
      </c>
      <c r="W298" t="str">
        <f t="shared" si="22"/>
        <v>Normal</v>
      </c>
      <c r="X298" t="str">
        <f t="shared" si="23"/>
        <v>Junior</v>
      </c>
      <c r="Y298" t="str">
        <f t="shared" si="24"/>
        <v>25-34</v>
      </c>
    </row>
    <row r="299" spans="1:25" x14ac:dyDescent="0.3">
      <c r="A299">
        <v>1298</v>
      </c>
      <c r="B299" t="s">
        <v>61</v>
      </c>
      <c r="C299" t="s">
        <v>37</v>
      </c>
      <c r="D299">
        <v>34</v>
      </c>
      <c r="E299" t="s">
        <v>55</v>
      </c>
      <c r="F299" t="s">
        <v>56</v>
      </c>
      <c r="G299" t="s">
        <v>45</v>
      </c>
      <c r="H299" t="s">
        <v>364</v>
      </c>
      <c r="I299">
        <v>9</v>
      </c>
      <c r="J299">
        <v>52586</v>
      </c>
      <c r="K299">
        <v>4.2</v>
      </c>
      <c r="L299">
        <v>87.8</v>
      </c>
      <c r="M299">
        <v>20</v>
      </c>
      <c r="N299">
        <v>36</v>
      </c>
      <c r="O299">
        <v>11831</v>
      </c>
      <c r="P299" t="s">
        <v>26</v>
      </c>
      <c r="Q299" t="s">
        <v>27</v>
      </c>
      <c r="R299" t="s">
        <v>58</v>
      </c>
      <c r="S299" t="s">
        <v>49</v>
      </c>
      <c r="T299" t="s">
        <v>50</v>
      </c>
      <c r="U299">
        <f t="shared" si="20"/>
        <v>64417</v>
      </c>
      <c r="V299" t="str">
        <f t="shared" si="21"/>
        <v>Needs Improvement</v>
      </c>
      <c r="W299" t="str">
        <f t="shared" si="22"/>
        <v>Normal</v>
      </c>
      <c r="X299" t="str">
        <f t="shared" si="23"/>
        <v>Senior</v>
      </c>
      <c r="Y299" t="str">
        <f t="shared" si="24"/>
        <v>25-34</v>
      </c>
    </row>
    <row r="300" spans="1:25" x14ac:dyDescent="0.3">
      <c r="A300">
        <v>1299</v>
      </c>
      <c r="B300" t="s">
        <v>20</v>
      </c>
      <c r="C300" t="s">
        <v>21</v>
      </c>
      <c r="D300">
        <v>44</v>
      </c>
      <c r="E300" t="s">
        <v>38</v>
      </c>
      <c r="F300" t="s">
        <v>44</v>
      </c>
      <c r="G300" t="s">
        <v>45</v>
      </c>
      <c r="H300" t="s">
        <v>365</v>
      </c>
      <c r="I300">
        <v>0</v>
      </c>
      <c r="K300">
        <v>3.6</v>
      </c>
      <c r="L300">
        <v>84.7</v>
      </c>
      <c r="M300">
        <v>0</v>
      </c>
      <c r="N300">
        <v>60</v>
      </c>
      <c r="O300">
        <v>11804</v>
      </c>
      <c r="P300" t="s">
        <v>33</v>
      </c>
      <c r="Q300" t="s">
        <v>48</v>
      </c>
      <c r="R300" t="s">
        <v>28</v>
      </c>
      <c r="S300" t="s">
        <v>49</v>
      </c>
      <c r="T300" t="s">
        <v>30</v>
      </c>
      <c r="U300">
        <f t="shared" si="20"/>
        <v>11804</v>
      </c>
      <c r="V300" t="str">
        <f t="shared" si="21"/>
        <v>Needs Improvement</v>
      </c>
      <c r="W300" t="str">
        <f t="shared" si="22"/>
        <v>Normal</v>
      </c>
      <c r="X300" t="str">
        <f t="shared" si="23"/>
        <v>Junior</v>
      </c>
      <c r="Y300" t="str">
        <f t="shared" si="24"/>
        <v>35-44</v>
      </c>
    </row>
    <row r="301" spans="1:25" x14ac:dyDescent="0.3">
      <c r="A301">
        <v>1300</v>
      </c>
      <c r="B301" t="s">
        <v>61</v>
      </c>
      <c r="C301" t="s">
        <v>37</v>
      </c>
      <c r="D301">
        <v>32</v>
      </c>
      <c r="E301" t="s">
        <v>91</v>
      </c>
      <c r="F301" t="s">
        <v>92</v>
      </c>
      <c r="G301" t="s">
        <v>45</v>
      </c>
      <c r="H301" t="s">
        <v>366</v>
      </c>
      <c r="I301">
        <v>5</v>
      </c>
      <c r="J301">
        <v>56618</v>
      </c>
      <c r="K301">
        <v>3.2</v>
      </c>
      <c r="L301">
        <v>83.8</v>
      </c>
      <c r="M301">
        <v>7</v>
      </c>
      <c r="N301">
        <v>24</v>
      </c>
      <c r="O301">
        <v>6054</v>
      </c>
      <c r="P301" t="s">
        <v>33</v>
      </c>
      <c r="Q301" t="s">
        <v>48</v>
      </c>
      <c r="R301" t="s">
        <v>28</v>
      </c>
      <c r="S301" t="s">
        <v>49</v>
      </c>
      <c r="T301" t="s">
        <v>35</v>
      </c>
      <c r="U301">
        <f t="shared" si="20"/>
        <v>62672</v>
      </c>
      <c r="V301" t="str">
        <f t="shared" si="21"/>
        <v>Needs Improvement</v>
      </c>
      <c r="W301" t="str">
        <f t="shared" si="22"/>
        <v>Normal</v>
      </c>
      <c r="X301" t="str">
        <f t="shared" si="23"/>
        <v>Mid</v>
      </c>
      <c r="Y301" t="str">
        <f t="shared" si="24"/>
        <v>25-34</v>
      </c>
    </row>
    <row r="302" spans="1:25" x14ac:dyDescent="0.3">
      <c r="A302">
        <v>1301</v>
      </c>
      <c r="B302" t="s">
        <v>78</v>
      </c>
      <c r="C302" t="s">
        <v>37</v>
      </c>
      <c r="D302">
        <v>23</v>
      </c>
      <c r="E302" t="s">
        <v>55</v>
      </c>
      <c r="F302" t="s">
        <v>79</v>
      </c>
      <c r="G302" t="s">
        <v>24</v>
      </c>
      <c r="H302" t="s">
        <v>367</v>
      </c>
      <c r="I302">
        <v>6</v>
      </c>
      <c r="J302">
        <v>46704</v>
      </c>
      <c r="K302">
        <v>4.9000000000000004</v>
      </c>
      <c r="L302">
        <v>87.4</v>
      </c>
      <c r="M302">
        <v>15</v>
      </c>
      <c r="N302">
        <v>18</v>
      </c>
      <c r="O302">
        <v>14291</v>
      </c>
      <c r="P302" t="s">
        <v>53</v>
      </c>
      <c r="Q302" t="s">
        <v>48</v>
      </c>
      <c r="R302" t="s">
        <v>70</v>
      </c>
      <c r="S302" t="s">
        <v>34</v>
      </c>
      <c r="T302" t="s">
        <v>50</v>
      </c>
      <c r="U302">
        <f t="shared" si="20"/>
        <v>60995</v>
      </c>
      <c r="V302" t="str">
        <f t="shared" si="21"/>
        <v>Needs Improvement</v>
      </c>
      <c r="W302" t="str">
        <f t="shared" si="22"/>
        <v>Normal</v>
      </c>
      <c r="X302" t="str">
        <f t="shared" si="23"/>
        <v>Mid</v>
      </c>
      <c r="Y302" t="str">
        <f t="shared" si="24"/>
        <v>20-24</v>
      </c>
    </row>
    <row r="303" spans="1:25" x14ac:dyDescent="0.3">
      <c r="A303">
        <v>1302</v>
      </c>
      <c r="B303" t="s">
        <v>83</v>
      </c>
      <c r="C303" t="s">
        <v>37</v>
      </c>
      <c r="D303">
        <v>29</v>
      </c>
      <c r="E303" t="s">
        <v>22</v>
      </c>
      <c r="F303" t="s">
        <v>23</v>
      </c>
      <c r="G303" t="s">
        <v>59</v>
      </c>
      <c r="H303" t="s">
        <v>368</v>
      </c>
      <c r="I303">
        <v>9</v>
      </c>
      <c r="J303">
        <v>50941</v>
      </c>
      <c r="K303">
        <v>2.9</v>
      </c>
      <c r="L303">
        <v>92.5</v>
      </c>
      <c r="M303">
        <v>25</v>
      </c>
      <c r="N303">
        <v>14</v>
      </c>
      <c r="O303">
        <v>10972</v>
      </c>
      <c r="P303" t="s">
        <v>47</v>
      </c>
      <c r="Q303" t="s">
        <v>27</v>
      </c>
      <c r="R303" t="s">
        <v>42</v>
      </c>
      <c r="S303" t="s">
        <v>49</v>
      </c>
      <c r="T303" t="s">
        <v>50</v>
      </c>
      <c r="U303">
        <f t="shared" si="20"/>
        <v>61913</v>
      </c>
      <c r="V303" t="str">
        <f t="shared" si="21"/>
        <v>Needs Improvement</v>
      </c>
      <c r="W303" t="str">
        <f t="shared" si="22"/>
        <v>High</v>
      </c>
      <c r="X303" t="str">
        <f t="shared" si="23"/>
        <v>Senior</v>
      </c>
      <c r="Y303" t="str">
        <f t="shared" si="24"/>
        <v>25-34</v>
      </c>
    </row>
    <row r="304" spans="1:25" x14ac:dyDescent="0.3">
      <c r="A304">
        <v>1303</v>
      </c>
      <c r="B304" t="s">
        <v>54</v>
      </c>
      <c r="C304" t="s">
        <v>37</v>
      </c>
      <c r="D304">
        <v>30</v>
      </c>
      <c r="E304" t="s">
        <v>22</v>
      </c>
      <c r="F304" t="s">
        <v>66</v>
      </c>
      <c r="G304" t="s">
        <v>64</v>
      </c>
      <c r="H304" t="s">
        <v>369</v>
      </c>
      <c r="I304">
        <v>4</v>
      </c>
      <c r="J304">
        <v>64334</v>
      </c>
      <c r="K304">
        <v>3.8</v>
      </c>
      <c r="L304">
        <v>94.8</v>
      </c>
      <c r="M304">
        <v>7</v>
      </c>
      <c r="N304">
        <v>48</v>
      </c>
      <c r="O304">
        <v>4201</v>
      </c>
      <c r="P304" t="s">
        <v>26</v>
      </c>
      <c r="Q304" t="s">
        <v>48</v>
      </c>
      <c r="R304" t="s">
        <v>28</v>
      </c>
      <c r="S304" t="s">
        <v>49</v>
      </c>
      <c r="T304" t="s">
        <v>35</v>
      </c>
      <c r="U304">
        <f t="shared" si="20"/>
        <v>68535</v>
      </c>
      <c r="V304" t="str">
        <f t="shared" si="21"/>
        <v>Needs Improvement</v>
      </c>
      <c r="W304" t="str">
        <f t="shared" si="22"/>
        <v>Normal</v>
      </c>
      <c r="X304" t="str">
        <f t="shared" si="23"/>
        <v>Mid</v>
      </c>
      <c r="Y304" t="str">
        <f t="shared" si="24"/>
        <v>25-34</v>
      </c>
    </row>
    <row r="305" spans="1:25" x14ac:dyDescent="0.3">
      <c r="A305">
        <v>1304</v>
      </c>
      <c r="B305" t="s">
        <v>73</v>
      </c>
      <c r="C305" t="s">
        <v>21</v>
      </c>
      <c r="D305">
        <v>45</v>
      </c>
      <c r="E305" t="s">
        <v>38</v>
      </c>
      <c r="F305" t="s">
        <v>39</v>
      </c>
      <c r="G305" t="s">
        <v>51</v>
      </c>
      <c r="H305" t="s">
        <v>52</v>
      </c>
      <c r="I305">
        <v>9</v>
      </c>
      <c r="J305">
        <v>36402</v>
      </c>
      <c r="K305">
        <v>4.5</v>
      </c>
      <c r="L305">
        <v>82.7</v>
      </c>
      <c r="M305">
        <v>24</v>
      </c>
      <c r="N305">
        <v>7</v>
      </c>
      <c r="O305">
        <v>9099</v>
      </c>
      <c r="P305" t="s">
        <v>41</v>
      </c>
      <c r="Q305" t="s">
        <v>48</v>
      </c>
      <c r="R305" t="s">
        <v>70</v>
      </c>
      <c r="S305" t="s">
        <v>34</v>
      </c>
      <c r="T305" t="s">
        <v>50</v>
      </c>
      <c r="U305">
        <f t="shared" si="20"/>
        <v>45501</v>
      </c>
      <c r="V305" t="str">
        <f t="shared" si="21"/>
        <v>Needs Improvement</v>
      </c>
      <c r="W305" t="str">
        <f t="shared" si="22"/>
        <v>High</v>
      </c>
      <c r="X305" t="str">
        <f t="shared" si="23"/>
        <v>Senior</v>
      </c>
      <c r="Y305" t="str">
        <f t="shared" si="24"/>
        <v>45+</v>
      </c>
    </row>
    <row r="306" spans="1:25" x14ac:dyDescent="0.3">
      <c r="A306">
        <v>1305</v>
      </c>
      <c r="B306" t="s">
        <v>78</v>
      </c>
      <c r="C306" t="s">
        <v>21</v>
      </c>
      <c r="D306">
        <v>31</v>
      </c>
      <c r="E306" t="s">
        <v>22</v>
      </c>
      <c r="F306" t="s">
        <v>23</v>
      </c>
      <c r="G306" t="s">
        <v>64</v>
      </c>
      <c r="H306" t="s">
        <v>370</v>
      </c>
      <c r="I306">
        <v>9</v>
      </c>
      <c r="J306">
        <v>65497</v>
      </c>
      <c r="K306">
        <v>4.7</v>
      </c>
      <c r="L306">
        <v>84.9</v>
      </c>
      <c r="M306">
        <v>16</v>
      </c>
      <c r="N306">
        <v>11</v>
      </c>
      <c r="O306">
        <v>7479</v>
      </c>
      <c r="P306" t="s">
        <v>53</v>
      </c>
      <c r="Q306" t="s">
        <v>48</v>
      </c>
      <c r="R306" t="s">
        <v>70</v>
      </c>
      <c r="S306" t="s">
        <v>49</v>
      </c>
      <c r="T306" t="s">
        <v>50</v>
      </c>
      <c r="U306">
        <f t="shared" si="20"/>
        <v>72976</v>
      </c>
      <c r="V306" t="str">
        <f t="shared" si="21"/>
        <v>Needs Improvement</v>
      </c>
      <c r="W306" t="str">
        <f t="shared" si="22"/>
        <v>Normal</v>
      </c>
      <c r="X306" t="str">
        <f t="shared" si="23"/>
        <v>Senior</v>
      </c>
      <c r="Y306" t="str">
        <f t="shared" si="24"/>
        <v>25-34</v>
      </c>
    </row>
    <row r="307" spans="1:25" x14ac:dyDescent="0.3">
      <c r="A307">
        <v>1306</v>
      </c>
      <c r="B307" t="s">
        <v>148</v>
      </c>
      <c r="C307" t="s">
        <v>21</v>
      </c>
      <c r="D307">
        <v>24</v>
      </c>
      <c r="E307" t="s">
        <v>38</v>
      </c>
      <c r="F307" t="s">
        <v>39</v>
      </c>
      <c r="G307" t="s">
        <v>24</v>
      </c>
      <c r="H307" t="s">
        <v>371</v>
      </c>
      <c r="I307">
        <v>3</v>
      </c>
      <c r="J307">
        <v>85631</v>
      </c>
      <c r="K307">
        <v>4.9000000000000004</v>
      </c>
      <c r="L307">
        <v>95.8</v>
      </c>
      <c r="M307">
        <v>25</v>
      </c>
      <c r="N307">
        <v>18</v>
      </c>
      <c r="O307">
        <v>4449</v>
      </c>
      <c r="P307" t="s">
        <v>33</v>
      </c>
      <c r="Q307" t="s">
        <v>27</v>
      </c>
      <c r="R307" t="s">
        <v>70</v>
      </c>
      <c r="S307" t="s">
        <v>29</v>
      </c>
      <c r="T307" t="s">
        <v>35</v>
      </c>
      <c r="U307">
        <f t="shared" si="20"/>
        <v>90080</v>
      </c>
      <c r="V307" t="str">
        <f t="shared" si="21"/>
        <v>Excellent</v>
      </c>
      <c r="W307" t="str">
        <f t="shared" si="22"/>
        <v>High</v>
      </c>
      <c r="X307" t="str">
        <f t="shared" si="23"/>
        <v>Mid</v>
      </c>
      <c r="Y307" t="str">
        <f t="shared" si="24"/>
        <v>20-24</v>
      </c>
    </row>
    <row r="308" spans="1:25" x14ac:dyDescent="0.3">
      <c r="A308">
        <v>1307</v>
      </c>
      <c r="B308" t="s">
        <v>121</v>
      </c>
      <c r="C308" t="s">
        <v>21</v>
      </c>
      <c r="D308">
        <v>38</v>
      </c>
      <c r="E308" t="s">
        <v>38</v>
      </c>
      <c r="F308" t="s">
        <v>39</v>
      </c>
      <c r="G308" t="s">
        <v>45</v>
      </c>
      <c r="H308" t="s">
        <v>231</v>
      </c>
      <c r="I308">
        <v>4</v>
      </c>
      <c r="J308">
        <v>52909</v>
      </c>
      <c r="K308">
        <v>2.7</v>
      </c>
      <c r="L308">
        <v>93.3</v>
      </c>
      <c r="M308">
        <v>25</v>
      </c>
      <c r="N308">
        <v>24</v>
      </c>
      <c r="O308">
        <v>3282</v>
      </c>
      <c r="P308" t="s">
        <v>53</v>
      </c>
      <c r="Q308" t="s">
        <v>48</v>
      </c>
      <c r="R308" t="s">
        <v>42</v>
      </c>
      <c r="S308" t="s">
        <v>49</v>
      </c>
      <c r="T308" t="s">
        <v>35</v>
      </c>
      <c r="U308">
        <f t="shared" si="20"/>
        <v>56191</v>
      </c>
      <c r="V308" t="str">
        <f t="shared" si="21"/>
        <v>Needs Improvement</v>
      </c>
      <c r="W308" t="str">
        <f t="shared" si="22"/>
        <v>High</v>
      </c>
      <c r="X308" t="str">
        <f t="shared" si="23"/>
        <v>Mid</v>
      </c>
      <c r="Y308" t="str">
        <f t="shared" si="24"/>
        <v>35-44</v>
      </c>
    </row>
    <row r="309" spans="1:25" x14ac:dyDescent="0.3">
      <c r="A309">
        <v>1308</v>
      </c>
      <c r="B309" t="s">
        <v>61</v>
      </c>
      <c r="C309" t="s">
        <v>37</v>
      </c>
      <c r="D309">
        <v>25</v>
      </c>
      <c r="E309" t="s">
        <v>91</v>
      </c>
      <c r="F309" t="s">
        <v>92</v>
      </c>
      <c r="G309" t="s">
        <v>59</v>
      </c>
      <c r="H309" t="s">
        <v>203</v>
      </c>
      <c r="I309">
        <v>10</v>
      </c>
      <c r="J309">
        <v>64985</v>
      </c>
      <c r="K309">
        <v>3.6</v>
      </c>
      <c r="L309">
        <v>88.3</v>
      </c>
      <c r="M309">
        <v>10</v>
      </c>
      <c r="N309">
        <v>17</v>
      </c>
      <c r="O309">
        <v>6388</v>
      </c>
      <c r="P309" t="s">
        <v>41</v>
      </c>
      <c r="Q309" t="s">
        <v>27</v>
      </c>
      <c r="R309" t="s">
        <v>28</v>
      </c>
      <c r="S309" t="s">
        <v>49</v>
      </c>
      <c r="T309" t="s">
        <v>50</v>
      </c>
      <c r="U309">
        <f t="shared" si="20"/>
        <v>71373</v>
      </c>
      <c r="V309" t="str">
        <f t="shared" si="21"/>
        <v>Needs Improvement</v>
      </c>
      <c r="W309" t="str">
        <f t="shared" si="22"/>
        <v>Normal</v>
      </c>
      <c r="X309" t="str">
        <f t="shared" si="23"/>
        <v>Senior</v>
      </c>
      <c r="Y309" t="str">
        <f t="shared" si="24"/>
        <v>25-34</v>
      </c>
    </row>
    <row r="310" spans="1:25" x14ac:dyDescent="0.3">
      <c r="A310">
        <v>1309</v>
      </c>
      <c r="B310" t="s">
        <v>99</v>
      </c>
      <c r="C310" t="s">
        <v>21</v>
      </c>
      <c r="D310">
        <v>33</v>
      </c>
      <c r="E310" t="s">
        <v>38</v>
      </c>
      <c r="F310" t="s">
        <v>44</v>
      </c>
      <c r="G310" t="s">
        <v>64</v>
      </c>
      <c r="H310" t="s">
        <v>40</v>
      </c>
      <c r="I310">
        <v>9</v>
      </c>
      <c r="J310">
        <v>86521</v>
      </c>
      <c r="K310">
        <v>4.8</v>
      </c>
      <c r="L310">
        <v>92.4</v>
      </c>
      <c r="M310">
        <v>6</v>
      </c>
      <c r="N310">
        <v>52</v>
      </c>
      <c r="O310">
        <v>7001</v>
      </c>
      <c r="P310" t="s">
        <v>26</v>
      </c>
      <c r="Q310" t="s">
        <v>48</v>
      </c>
      <c r="R310" t="s">
        <v>70</v>
      </c>
      <c r="S310" t="s">
        <v>29</v>
      </c>
      <c r="T310" t="s">
        <v>50</v>
      </c>
      <c r="U310">
        <f t="shared" si="20"/>
        <v>93522</v>
      </c>
      <c r="V310" t="str">
        <f t="shared" si="21"/>
        <v>Needs Improvement</v>
      </c>
      <c r="W310" t="str">
        <f t="shared" si="22"/>
        <v>Normal</v>
      </c>
      <c r="X310" t="str">
        <f t="shared" si="23"/>
        <v>Senior</v>
      </c>
      <c r="Y310" t="str">
        <f t="shared" si="24"/>
        <v>25-34</v>
      </c>
    </row>
    <row r="311" spans="1:25" x14ac:dyDescent="0.3">
      <c r="A311">
        <v>1310</v>
      </c>
      <c r="B311" t="s">
        <v>148</v>
      </c>
      <c r="C311" t="s">
        <v>37</v>
      </c>
      <c r="D311">
        <v>32</v>
      </c>
      <c r="E311" t="s">
        <v>38</v>
      </c>
      <c r="F311" t="s">
        <v>44</v>
      </c>
      <c r="G311" t="s">
        <v>24</v>
      </c>
      <c r="H311" t="s">
        <v>372</v>
      </c>
      <c r="I311">
        <v>0</v>
      </c>
      <c r="J311">
        <v>41222</v>
      </c>
      <c r="K311">
        <v>2.6</v>
      </c>
      <c r="L311">
        <v>94.6</v>
      </c>
      <c r="M311">
        <v>14</v>
      </c>
      <c r="N311">
        <v>12</v>
      </c>
      <c r="O311">
        <v>8916</v>
      </c>
      <c r="P311" t="s">
        <v>41</v>
      </c>
      <c r="Q311" t="s">
        <v>27</v>
      </c>
      <c r="R311" t="s">
        <v>42</v>
      </c>
      <c r="S311" t="s">
        <v>34</v>
      </c>
      <c r="T311" t="s">
        <v>30</v>
      </c>
      <c r="U311">
        <f t="shared" si="20"/>
        <v>50138</v>
      </c>
      <c r="V311" t="str">
        <f t="shared" si="21"/>
        <v>Needs Improvement</v>
      </c>
      <c r="W311" t="str">
        <f t="shared" si="22"/>
        <v>Normal</v>
      </c>
      <c r="X311" t="str">
        <f t="shared" si="23"/>
        <v>Junior</v>
      </c>
      <c r="Y311" t="str">
        <f t="shared" si="24"/>
        <v>25-34</v>
      </c>
    </row>
    <row r="312" spans="1:25" x14ac:dyDescent="0.3">
      <c r="A312">
        <v>1311</v>
      </c>
      <c r="B312" t="s">
        <v>36</v>
      </c>
      <c r="C312" t="s">
        <v>37</v>
      </c>
      <c r="D312">
        <v>33</v>
      </c>
      <c r="E312" t="s">
        <v>91</v>
      </c>
      <c r="F312" t="s">
        <v>92</v>
      </c>
      <c r="G312" t="s">
        <v>64</v>
      </c>
      <c r="H312" t="s">
        <v>373</v>
      </c>
      <c r="I312">
        <v>5</v>
      </c>
      <c r="J312">
        <v>86847</v>
      </c>
      <c r="K312">
        <v>3.2</v>
      </c>
      <c r="L312">
        <v>88.7</v>
      </c>
      <c r="M312">
        <v>9</v>
      </c>
      <c r="N312">
        <v>51</v>
      </c>
      <c r="O312">
        <v>13004</v>
      </c>
      <c r="P312" t="s">
        <v>26</v>
      </c>
      <c r="Q312" t="s">
        <v>27</v>
      </c>
      <c r="R312" t="s">
        <v>28</v>
      </c>
      <c r="S312" t="s">
        <v>29</v>
      </c>
      <c r="T312" t="s">
        <v>35</v>
      </c>
      <c r="U312">
        <f t="shared" si="20"/>
        <v>99851</v>
      </c>
      <c r="V312" t="str">
        <f t="shared" si="21"/>
        <v>Needs Improvement</v>
      </c>
      <c r="W312" t="str">
        <f t="shared" si="22"/>
        <v>Normal</v>
      </c>
      <c r="X312" t="str">
        <f t="shared" si="23"/>
        <v>Mid</v>
      </c>
      <c r="Y312" t="str">
        <f t="shared" si="24"/>
        <v>25-34</v>
      </c>
    </row>
    <row r="313" spans="1:25" x14ac:dyDescent="0.3">
      <c r="A313">
        <v>1312</v>
      </c>
      <c r="B313" t="s">
        <v>75</v>
      </c>
      <c r="C313" t="s">
        <v>37</v>
      </c>
      <c r="D313">
        <v>32</v>
      </c>
      <c r="E313" t="s">
        <v>38</v>
      </c>
      <c r="F313" t="s">
        <v>44</v>
      </c>
      <c r="G313" t="s">
        <v>24</v>
      </c>
      <c r="H313" t="s">
        <v>374</v>
      </c>
      <c r="I313">
        <v>7</v>
      </c>
      <c r="J313">
        <v>62118</v>
      </c>
      <c r="K313">
        <v>3.1</v>
      </c>
      <c r="L313">
        <v>96.9</v>
      </c>
      <c r="M313">
        <v>16</v>
      </c>
      <c r="N313">
        <v>8</v>
      </c>
      <c r="O313">
        <v>6522</v>
      </c>
      <c r="P313" t="s">
        <v>53</v>
      </c>
      <c r="Q313" t="s">
        <v>27</v>
      </c>
      <c r="R313" t="s">
        <v>28</v>
      </c>
      <c r="S313" t="s">
        <v>49</v>
      </c>
      <c r="T313" t="s">
        <v>50</v>
      </c>
      <c r="U313">
        <f t="shared" si="20"/>
        <v>68640</v>
      </c>
      <c r="V313" t="str">
        <f t="shared" si="21"/>
        <v>Excellent</v>
      </c>
      <c r="W313" t="str">
        <f t="shared" si="22"/>
        <v>Normal</v>
      </c>
      <c r="X313" t="str">
        <f t="shared" si="23"/>
        <v>Senior</v>
      </c>
      <c r="Y313" t="str">
        <f t="shared" si="24"/>
        <v>25-34</v>
      </c>
    </row>
    <row r="314" spans="1:25" x14ac:dyDescent="0.3">
      <c r="A314">
        <v>1313</v>
      </c>
      <c r="B314" t="s">
        <v>83</v>
      </c>
      <c r="C314" t="s">
        <v>21</v>
      </c>
      <c r="D314">
        <v>25</v>
      </c>
      <c r="E314" t="s">
        <v>55</v>
      </c>
      <c r="F314" t="s">
        <v>79</v>
      </c>
      <c r="G314" t="s">
        <v>45</v>
      </c>
      <c r="H314" t="s">
        <v>209</v>
      </c>
      <c r="I314">
        <v>9</v>
      </c>
      <c r="J314">
        <v>62586</v>
      </c>
      <c r="K314">
        <v>2.8</v>
      </c>
      <c r="L314">
        <v>97.3</v>
      </c>
      <c r="M314">
        <v>15</v>
      </c>
      <c r="N314">
        <v>27</v>
      </c>
      <c r="O314">
        <v>8423</v>
      </c>
      <c r="P314" t="s">
        <v>53</v>
      </c>
      <c r="Q314" t="s">
        <v>27</v>
      </c>
      <c r="R314" t="s">
        <v>42</v>
      </c>
      <c r="S314" t="s">
        <v>49</v>
      </c>
      <c r="T314" t="s">
        <v>50</v>
      </c>
      <c r="U314">
        <f t="shared" si="20"/>
        <v>71009</v>
      </c>
      <c r="V314" t="str">
        <f t="shared" si="21"/>
        <v>Excellent</v>
      </c>
      <c r="W314" t="str">
        <f t="shared" si="22"/>
        <v>Normal</v>
      </c>
      <c r="X314" t="str">
        <f t="shared" si="23"/>
        <v>Senior</v>
      </c>
      <c r="Y314" t="str">
        <f t="shared" si="24"/>
        <v>25-34</v>
      </c>
    </row>
    <row r="315" spans="1:25" x14ac:dyDescent="0.3">
      <c r="A315">
        <v>1314</v>
      </c>
      <c r="B315" t="s">
        <v>111</v>
      </c>
      <c r="C315" t="s">
        <v>21</v>
      </c>
      <c r="D315">
        <v>41</v>
      </c>
      <c r="E315" t="s">
        <v>55</v>
      </c>
      <c r="F315" t="s">
        <v>56</v>
      </c>
      <c r="G315" t="s">
        <v>59</v>
      </c>
      <c r="H315" t="s">
        <v>375</v>
      </c>
      <c r="I315">
        <v>0</v>
      </c>
      <c r="J315">
        <v>49848</v>
      </c>
      <c r="K315">
        <v>4</v>
      </c>
      <c r="L315">
        <v>87.1</v>
      </c>
      <c r="M315">
        <v>13</v>
      </c>
      <c r="N315">
        <v>44</v>
      </c>
      <c r="O315">
        <v>9558</v>
      </c>
      <c r="P315" t="s">
        <v>47</v>
      </c>
      <c r="Q315" t="s">
        <v>48</v>
      </c>
      <c r="R315" t="s">
        <v>58</v>
      </c>
      <c r="S315" t="s">
        <v>34</v>
      </c>
      <c r="T315" t="s">
        <v>30</v>
      </c>
      <c r="U315">
        <f t="shared" si="20"/>
        <v>59406</v>
      </c>
      <c r="V315" t="str">
        <f t="shared" si="21"/>
        <v>Needs Improvement</v>
      </c>
      <c r="W315" t="str">
        <f t="shared" si="22"/>
        <v>Normal</v>
      </c>
      <c r="X315" t="str">
        <f t="shared" si="23"/>
        <v>Junior</v>
      </c>
      <c r="Y315" t="str">
        <f t="shared" si="24"/>
        <v>35-44</v>
      </c>
    </row>
    <row r="316" spans="1:25" x14ac:dyDescent="0.3">
      <c r="A316">
        <v>1315</v>
      </c>
      <c r="B316" t="s">
        <v>83</v>
      </c>
      <c r="C316" t="s">
        <v>37</v>
      </c>
      <c r="D316">
        <v>29</v>
      </c>
      <c r="E316" t="s">
        <v>55</v>
      </c>
      <c r="F316" t="s">
        <v>56</v>
      </c>
      <c r="G316" t="s">
        <v>51</v>
      </c>
      <c r="H316" t="s">
        <v>376</v>
      </c>
      <c r="I316">
        <v>10</v>
      </c>
      <c r="J316">
        <v>80700</v>
      </c>
      <c r="K316">
        <v>4.9000000000000004</v>
      </c>
      <c r="L316">
        <v>85.7</v>
      </c>
      <c r="M316">
        <v>3</v>
      </c>
      <c r="N316">
        <v>60</v>
      </c>
      <c r="O316">
        <v>12225</v>
      </c>
      <c r="P316" t="s">
        <v>26</v>
      </c>
      <c r="Q316" t="s">
        <v>27</v>
      </c>
      <c r="R316" t="s">
        <v>70</v>
      </c>
      <c r="S316" t="s">
        <v>29</v>
      </c>
      <c r="T316" t="s">
        <v>50</v>
      </c>
      <c r="U316">
        <f t="shared" si="20"/>
        <v>92925</v>
      </c>
      <c r="V316" t="str">
        <f t="shared" si="21"/>
        <v>Needs Improvement</v>
      </c>
      <c r="W316" t="str">
        <f t="shared" si="22"/>
        <v>Normal</v>
      </c>
      <c r="X316" t="str">
        <f t="shared" si="23"/>
        <v>Senior</v>
      </c>
      <c r="Y316" t="str">
        <f t="shared" si="24"/>
        <v>25-34</v>
      </c>
    </row>
    <row r="317" spans="1:25" x14ac:dyDescent="0.3">
      <c r="A317">
        <v>1316</v>
      </c>
      <c r="B317" t="s">
        <v>73</v>
      </c>
      <c r="C317" t="s">
        <v>21</v>
      </c>
      <c r="D317">
        <v>31</v>
      </c>
      <c r="E317" t="s">
        <v>62</v>
      </c>
      <c r="F317" t="s">
        <v>97</v>
      </c>
      <c r="G317" t="s">
        <v>59</v>
      </c>
      <c r="H317" t="s">
        <v>377</v>
      </c>
      <c r="I317">
        <v>5</v>
      </c>
      <c r="J317">
        <v>86651</v>
      </c>
      <c r="K317">
        <v>2.5</v>
      </c>
      <c r="L317">
        <v>86.6</v>
      </c>
      <c r="M317">
        <v>6</v>
      </c>
      <c r="N317">
        <v>51</v>
      </c>
      <c r="O317">
        <v>7615</v>
      </c>
      <c r="P317" t="s">
        <v>41</v>
      </c>
      <c r="Q317" t="s">
        <v>27</v>
      </c>
      <c r="R317" t="s">
        <v>42</v>
      </c>
      <c r="S317" t="s">
        <v>29</v>
      </c>
      <c r="T317" t="s">
        <v>35</v>
      </c>
      <c r="U317">
        <f t="shared" si="20"/>
        <v>94266</v>
      </c>
      <c r="V317" t="str">
        <f t="shared" si="21"/>
        <v>Needs Improvement</v>
      </c>
      <c r="W317" t="str">
        <f t="shared" si="22"/>
        <v>Normal</v>
      </c>
      <c r="X317" t="str">
        <f t="shared" si="23"/>
        <v>Mid</v>
      </c>
      <c r="Y317" t="str">
        <f t="shared" si="24"/>
        <v>25-34</v>
      </c>
    </row>
    <row r="318" spans="1:25" x14ac:dyDescent="0.3">
      <c r="A318">
        <v>1317</v>
      </c>
      <c r="B318" t="s">
        <v>61</v>
      </c>
      <c r="C318" t="s">
        <v>37</v>
      </c>
      <c r="D318">
        <v>34</v>
      </c>
      <c r="E318" t="s">
        <v>22</v>
      </c>
      <c r="F318" t="s">
        <v>23</v>
      </c>
      <c r="G318" t="s">
        <v>51</v>
      </c>
      <c r="H318" t="s">
        <v>378</v>
      </c>
      <c r="I318">
        <v>10</v>
      </c>
      <c r="J318">
        <v>41806</v>
      </c>
      <c r="K318">
        <v>4.0999999999999996</v>
      </c>
      <c r="L318">
        <v>86.4</v>
      </c>
      <c r="M318">
        <v>14</v>
      </c>
      <c r="N318">
        <v>20</v>
      </c>
      <c r="O318">
        <v>5418</v>
      </c>
      <c r="P318" t="s">
        <v>26</v>
      </c>
      <c r="Q318" t="s">
        <v>27</v>
      </c>
      <c r="R318" t="s">
        <v>58</v>
      </c>
      <c r="S318" t="s">
        <v>34</v>
      </c>
      <c r="T318" t="s">
        <v>50</v>
      </c>
      <c r="U318">
        <f t="shared" si="20"/>
        <v>47224</v>
      </c>
      <c r="V318" t="str">
        <f t="shared" si="21"/>
        <v>Needs Improvement</v>
      </c>
      <c r="W318" t="str">
        <f t="shared" si="22"/>
        <v>Normal</v>
      </c>
      <c r="X318" t="str">
        <f t="shared" si="23"/>
        <v>Senior</v>
      </c>
      <c r="Y318" t="str">
        <f t="shared" si="24"/>
        <v>25-34</v>
      </c>
    </row>
    <row r="319" spans="1:25" x14ac:dyDescent="0.3">
      <c r="A319">
        <v>1318</v>
      </c>
      <c r="B319" t="s">
        <v>85</v>
      </c>
      <c r="C319" t="s">
        <v>37</v>
      </c>
      <c r="D319">
        <v>42</v>
      </c>
      <c r="E319" t="s">
        <v>38</v>
      </c>
      <c r="F319" t="s">
        <v>39</v>
      </c>
      <c r="G319" t="s">
        <v>64</v>
      </c>
      <c r="H319" t="s">
        <v>379</v>
      </c>
      <c r="I319">
        <v>6</v>
      </c>
      <c r="J319">
        <v>62523</v>
      </c>
      <c r="K319">
        <v>4.2</v>
      </c>
      <c r="L319">
        <v>90.8</v>
      </c>
      <c r="M319">
        <v>21</v>
      </c>
      <c r="N319">
        <v>52</v>
      </c>
      <c r="O319">
        <v>5638</v>
      </c>
      <c r="P319" t="s">
        <v>41</v>
      </c>
      <c r="Q319" t="s">
        <v>27</v>
      </c>
      <c r="R319" t="s">
        <v>58</v>
      </c>
      <c r="S319" t="s">
        <v>49</v>
      </c>
      <c r="T319" t="s">
        <v>50</v>
      </c>
      <c r="U319">
        <f t="shared" si="20"/>
        <v>68161</v>
      </c>
      <c r="V319" t="str">
        <f t="shared" si="21"/>
        <v>Needs Improvement</v>
      </c>
      <c r="W319" t="str">
        <f t="shared" si="22"/>
        <v>High</v>
      </c>
      <c r="X319" t="str">
        <f t="shared" si="23"/>
        <v>Mid</v>
      </c>
      <c r="Y319" t="str">
        <f t="shared" si="24"/>
        <v>35-44</v>
      </c>
    </row>
    <row r="320" spans="1:25" x14ac:dyDescent="0.3">
      <c r="A320">
        <v>1319</v>
      </c>
      <c r="B320" t="s">
        <v>148</v>
      </c>
      <c r="C320" t="s">
        <v>21</v>
      </c>
      <c r="D320">
        <v>30</v>
      </c>
      <c r="E320" t="s">
        <v>55</v>
      </c>
      <c r="F320" t="s">
        <v>143</v>
      </c>
      <c r="G320" t="s">
        <v>45</v>
      </c>
      <c r="H320" t="s">
        <v>380</v>
      </c>
      <c r="I320">
        <v>6</v>
      </c>
      <c r="J320">
        <v>41858</v>
      </c>
      <c r="K320">
        <v>3.5</v>
      </c>
      <c r="L320">
        <v>89.9</v>
      </c>
      <c r="M320">
        <v>11</v>
      </c>
      <c r="N320">
        <v>28</v>
      </c>
      <c r="O320">
        <v>4955</v>
      </c>
      <c r="P320" t="s">
        <v>41</v>
      </c>
      <c r="Q320" t="s">
        <v>27</v>
      </c>
      <c r="R320" t="s">
        <v>28</v>
      </c>
      <c r="S320" t="s">
        <v>34</v>
      </c>
      <c r="T320" t="s">
        <v>50</v>
      </c>
      <c r="U320">
        <f t="shared" si="20"/>
        <v>46813</v>
      </c>
      <c r="V320" t="str">
        <f t="shared" si="21"/>
        <v>Needs Improvement</v>
      </c>
      <c r="W320" t="str">
        <f t="shared" si="22"/>
        <v>Normal</v>
      </c>
      <c r="X320" t="str">
        <f t="shared" si="23"/>
        <v>Mid</v>
      </c>
      <c r="Y320" t="str">
        <f t="shared" si="24"/>
        <v>25-34</v>
      </c>
    </row>
    <row r="321" spans="1:25" x14ac:dyDescent="0.3">
      <c r="A321">
        <v>1320</v>
      </c>
      <c r="B321" t="s">
        <v>85</v>
      </c>
      <c r="C321" t="s">
        <v>21</v>
      </c>
      <c r="D321">
        <v>37</v>
      </c>
      <c r="E321" t="s">
        <v>91</v>
      </c>
      <c r="F321" t="s">
        <v>101</v>
      </c>
      <c r="G321" t="s">
        <v>59</v>
      </c>
      <c r="H321" t="s">
        <v>381</v>
      </c>
      <c r="I321">
        <v>0</v>
      </c>
      <c r="J321">
        <v>67145</v>
      </c>
      <c r="K321">
        <v>4</v>
      </c>
      <c r="L321">
        <v>87.1</v>
      </c>
      <c r="M321">
        <v>12</v>
      </c>
      <c r="N321">
        <v>17</v>
      </c>
      <c r="O321">
        <v>8842</v>
      </c>
      <c r="P321" t="s">
        <v>47</v>
      </c>
      <c r="Q321" t="s">
        <v>48</v>
      </c>
      <c r="R321" t="s">
        <v>58</v>
      </c>
      <c r="S321" t="s">
        <v>49</v>
      </c>
      <c r="T321" t="s">
        <v>30</v>
      </c>
      <c r="U321">
        <f t="shared" si="20"/>
        <v>75987</v>
      </c>
      <c r="V321" t="str">
        <f t="shared" si="21"/>
        <v>Needs Improvement</v>
      </c>
      <c r="W321" t="str">
        <f t="shared" si="22"/>
        <v>Normal</v>
      </c>
      <c r="X321" t="str">
        <f t="shared" si="23"/>
        <v>Junior</v>
      </c>
      <c r="Y321" t="str">
        <f t="shared" si="24"/>
        <v>35-44</v>
      </c>
    </row>
    <row r="322" spans="1:25" x14ac:dyDescent="0.3">
      <c r="A322">
        <v>1321</v>
      </c>
      <c r="B322" t="s">
        <v>54</v>
      </c>
      <c r="C322" t="s">
        <v>21</v>
      </c>
      <c r="D322">
        <v>24</v>
      </c>
      <c r="E322" t="s">
        <v>22</v>
      </c>
      <c r="F322" t="s">
        <v>66</v>
      </c>
      <c r="G322" t="s">
        <v>24</v>
      </c>
      <c r="H322" t="s">
        <v>382</v>
      </c>
      <c r="I322">
        <v>0</v>
      </c>
      <c r="J322">
        <v>84086</v>
      </c>
      <c r="K322">
        <v>4.9000000000000004</v>
      </c>
      <c r="L322">
        <v>93.4</v>
      </c>
      <c r="M322">
        <v>3</v>
      </c>
      <c r="N322">
        <v>13</v>
      </c>
      <c r="O322">
        <v>9123</v>
      </c>
      <c r="P322" t="s">
        <v>41</v>
      </c>
      <c r="Q322" t="s">
        <v>48</v>
      </c>
      <c r="R322" t="s">
        <v>70</v>
      </c>
      <c r="S322" t="s">
        <v>29</v>
      </c>
      <c r="T322" t="s">
        <v>30</v>
      </c>
      <c r="U322">
        <f t="shared" si="20"/>
        <v>93209</v>
      </c>
      <c r="V322" t="str">
        <f t="shared" si="21"/>
        <v>Needs Improvement</v>
      </c>
      <c r="W322" t="str">
        <f t="shared" si="22"/>
        <v>Normal</v>
      </c>
      <c r="X322" t="str">
        <f t="shared" si="23"/>
        <v>Junior</v>
      </c>
      <c r="Y322" t="str">
        <f t="shared" si="24"/>
        <v>20-24</v>
      </c>
    </row>
    <row r="323" spans="1:25" x14ac:dyDescent="0.3">
      <c r="A323">
        <v>1322</v>
      </c>
      <c r="B323" t="s">
        <v>178</v>
      </c>
      <c r="C323" t="s">
        <v>21</v>
      </c>
      <c r="D323">
        <v>36</v>
      </c>
      <c r="E323" t="s">
        <v>91</v>
      </c>
      <c r="F323" t="s">
        <v>101</v>
      </c>
      <c r="G323" t="s">
        <v>51</v>
      </c>
      <c r="H323" t="s">
        <v>81</v>
      </c>
      <c r="I323">
        <v>1</v>
      </c>
      <c r="J323">
        <v>60613</v>
      </c>
      <c r="K323">
        <v>3.2</v>
      </c>
      <c r="L323">
        <v>95.7</v>
      </c>
      <c r="M323">
        <v>24</v>
      </c>
      <c r="N323">
        <v>35</v>
      </c>
      <c r="O323">
        <v>5421</v>
      </c>
      <c r="P323" t="s">
        <v>33</v>
      </c>
      <c r="Q323" t="s">
        <v>48</v>
      </c>
      <c r="R323" t="s">
        <v>28</v>
      </c>
      <c r="S323" t="s">
        <v>49</v>
      </c>
      <c r="T323" t="s">
        <v>30</v>
      </c>
      <c r="U323">
        <f t="shared" ref="U323:U386" si="25">J323+O323</f>
        <v>66034</v>
      </c>
      <c r="V323" t="str">
        <f t="shared" ref="V323:V386" si="26">IF(L323&gt;=95,"Excellent","Needs Improvement")</f>
        <v>Excellent</v>
      </c>
      <c r="W323" t="str">
        <f t="shared" ref="W323:W386" si="27">IF(M323&gt;20,"High","Normal")</f>
        <v>High</v>
      </c>
      <c r="X323" t="str">
        <f t="shared" ref="X323:X386" si="28">IF(I323&lt;3,"Junior",IF(I323&lt;7,"Mid","Senior"))</f>
        <v>Junior</v>
      </c>
      <c r="Y323" t="str">
        <f t="shared" ref="Y323:Y386" si="29">IF(D323&lt;25,"20-24",IF(D323&lt;35,"25-34",IF(D323&lt;45,"35-44","45+")))</f>
        <v>35-44</v>
      </c>
    </row>
    <row r="324" spans="1:25" x14ac:dyDescent="0.3">
      <c r="A324">
        <v>1323</v>
      </c>
      <c r="B324" t="s">
        <v>111</v>
      </c>
      <c r="C324" t="s">
        <v>21</v>
      </c>
      <c r="D324">
        <v>35</v>
      </c>
      <c r="E324" t="s">
        <v>38</v>
      </c>
      <c r="F324" t="s">
        <v>44</v>
      </c>
      <c r="G324" t="s">
        <v>45</v>
      </c>
      <c r="H324" t="s">
        <v>324</v>
      </c>
      <c r="I324">
        <v>3</v>
      </c>
      <c r="J324">
        <v>60653</v>
      </c>
      <c r="K324">
        <v>4.5999999999999996</v>
      </c>
      <c r="L324">
        <v>95.3</v>
      </c>
      <c r="M324">
        <v>9</v>
      </c>
      <c r="N324">
        <v>38</v>
      </c>
      <c r="O324">
        <v>4661</v>
      </c>
      <c r="P324" t="s">
        <v>53</v>
      </c>
      <c r="Q324" t="s">
        <v>27</v>
      </c>
      <c r="R324" t="s">
        <v>70</v>
      </c>
      <c r="S324" t="s">
        <v>49</v>
      </c>
      <c r="T324" t="s">
        <v>35</v>
      </c>
      <c r="U324">
        <f t="shared" si="25"/>
        <v>65314</v>
      </c>
      <c r="V324" t="str">
        <f t="shared" si="26"/>
        <v>Excellent</v>
      </c>
      <c r="W324" t="str">
        <f t="shared" si="27"/>
        <v>Normal</v>
      </c>
      <c r="X324" t="str">
        <f t="shared" si="28"/>
        <v>Mid</v>
      </c>
      <c r="Y324" t="str">
        <f t="shared" si="29"/>
        <v>35-44</v>
      </c>
    </row>
    <row r="325" spans="1:25" x14ac:dyDescent="0.3">
      <c r="A325">
        <v>1324</v>
      </c>
      <c r="B325" t="s">
        <v>78</v>
      </c>
      <c r="C325" t="s">
        <v>37</v>
      </c>
      <c r="D325">
        <v>25</v>
      </c>
      <c r="E325" t="s">
        <v>91</v>
      </c>
      <c r="F325" t="s">
        <v>101</v>
      </c>
      <c r="G325" t="s">
        <v>51</v>
      </c>
      <c r="H325" t="s">
        <v>383</v>
      </c>
      <c r="I325">
        <v>6</v>
      </c>
      <c r="J325">
        <v>90933</v>
      </c>
      <c r="K325">
        <v>3</v>
      </c>
      <c r="L325">
        <v>98.1</v>
      </c>
      <c r="M325">
        <v>7</v>
      </c>
      <c r="N325">
        <v>44</v>
      </c>
      <c r="O325">
        <v>14473</v>
      </c>
      <c r="P325" t="s">
        <v>53</v>
      </c>
      <c r="Q325" t="s">
        <v>27</v>
      </c>
      <c r="R325" t="s">
        <v>28</v>
      </c>
      <c r="S325" t="s">
        <v>29</v>
      </c>
      <c r="T325" t="s">
        <v>50</v>
      </c>
      <c r="U325">
        <f t="shared" si="25"/>
        <v>105406</v>
      </c>
      <c r="V325" t="str">
        <f t="shared" si="26"/>
        <v>Excellent</v>
      </c>
      <c r="W325" t="str">
        <f t="shared" si="27"/>
        <v>Normal</v>
      </c>
      <c r="X325" t="str">
        <f t="shared" si="28"/>
        <v>Mid</v>
      </c>
      <c r="Y325" t="str">
        <f t="shared" si="29"/>
        <v>25-34</v>
      </c>
    </row>
    <row r="326" spans="1:25" x14ac:dyDescent="0.3">
      <c r="A326">
        <v>1325</v>
      </c>
      <c r="B326" t="s">
        <v>36</v>
      </c>
      <c r="C326" t="s">
        <v>21</v>
      </c>
      <c r="D326">
        <v>22</v>
      </c>
      <c r="E326" t="s">
        <v>91</v>
      </c>
      <c r="F326" t="s">
        <v>92</v>
      </c>
      <c r="G326" t="s">
        <v>45</v>
      </c>
      <c r="H326" t="s">
        <v>384</v>
      </c>
      <c r="I326">
        <v>6</v>
      </c>
      <c r="J326">
        <v>44033</v>
      </c>
      <c r="K326">
        <v>4.3</v>
      </c>
      <c r="L326">
        <v>83</v>
      </c>
      <c r="M326">
        <v>22</v>
      </c>
      <c r="N326">
        <v>20</v>
      </c>
      <c r="O326">
        <v>14419</v>
      </c>
      <c r="P326" t="s">
        <v>53</v>
      </c>
      <c r="Q326" t="s">
        <v>48</v>
      </c>
      <c r="R326" t="s">
        <v>58</v>
      </c>
      <c r="S326" t="s">
        <v>34</v>
      </c>
      <c r="T326" t="s">
        <v>50</v>
      </c>
      <c r="U326">
        <f t="shared" si="25"/>
        <v>58452</v>
      </c>
      <c r="V326" t="str">
        <f t="shared" si="26"/>
        <v>Needs Improvement</v>
      </c>
      <c r="W326" t="str">
        <f t="shared" si="27"/>
        <v>High</v>
      </c>
      <c r="X326" t="str">
        <f t="shared" si="28"/>
        <v>Mid</v>
      </c>
      <c r="Y326" t="str">
        <f t="shared" si="29"/>
        <v>20-24</v>
      </c>
    </row>
    <row r="327" spans="1:25" x14ac:dyDescent="0.3">
      <c r="A327">
        <v>1326</v>
      </c>
      <c r="B327" t="s">
        <v>43</v>
      </c>
      <c r="C327" t="s">
        <v>21</v>
      </c>
      <c r="D327">
        <v>30</v>
      </c>
      <c r="E327" t="s">
        <v>55</v>
      </c>
      <c r="F327" t="s">
        <v>79</v>
      </c>
      <c r="G327" t="s">
        <v>24</v>
      </c>
      <c r="H327" t="s">
        <v>385</v>
      </c>
      <c r="I327">
        <v>3</v>
      </c>
      <c r="J327">
        <v>83950</v>
      </c>
      <c r="K327">
        <v>2.9</v>
      </c>
      <c r="L327">
        <v>90.4</v>
      </c>
      <c r="M327">
        <v>5</v>
      </c>
      <c r="N327">
        <v>5</v>
      </c>
      <c r="O327">
        <v>4623</v>
      </c>
      <c r="P327" t="s">
        <v>41</v>
      </c>
      <c r="Q327" t="s">
        <v>48</v>
      </c>
      <c r="R327" t="s">
        <v>42</v>
      </c>
      <c r="S327" t="s">
        <v>29</v>
      </c>
      <c r="T327" t="s">
        <v>35</v>
      </c>
      <c r="U327">
        <f t="shared" si="25"/>
        <v>88573</v>
      </c>
      <c r="V327" t="str">
        <f t="shared" si="26"/>
        <v>Needs Improvement</v>
      </c>
      <c r="W327" t="str">
        <f t="shared" si="27"/>
        <v>Normal</v>
      </c>
      <c r="X327" t="str">
        <f t="shared" si="28"/>
        <v>Mid</v>
      </c>
      <c r="Y327" t="str">
        <f t="shared" si="29"/>
        <v>25-34</v>
      </c>
    </row>
    <row r="328" spans="1:25" x14ac:dyDescent="0.3">
      <c r="A328">
        <v>1327</v>
      </c>
      <c r="B328" t="s">
        <v>31</v>
      </c>
      <c r="C328" t="s">
        <v>37</v>
      </c>
      <c r="D328">
        <v>25</v>
      </c>
      <c r="E328" t="s">
        <v>55</v>
      </c>
      <c r="F328" t="s">
        <v>143</v>
      </c>
      <c r="G328" t="s">
        <v>24</v>
      </c>
      <c r="H328" t="s">
        <v>386</v>
      </c>
      <c r="I328">
        <v>10</v>
      </c>
      <c r="J328">
        <v>82766</v>
      </c>
      <c r="K328">
        <v>4.9000000000000004</v>
      </c>
      <c r="L328">
        <v>94.7</v>
      </c>
      <c r="M328">
        <v>23</v>
      </c>
      <c r="N328">
        <v>31</v>
      </c>
      <c r="O328">
        <v>4691</v>
      </c>
      <c r="P328" t="s">
        <v>41</v>
      </c>
      <c r="Q328" t="s">
        <v>27</v>
      </c>
      <c r="R328" t="s">
        <v>70</v>
      </c>
      <c r="S328" t="s">
        <v>29</v>
      </c>
      <c r="T328" t="s">
        <v>50</v>
      </c>
      <c r="U328">
        <f t="shared" si="25"/>
        <v>87457</v>
      </c>
      <c r="V328" t="str">
        <f t="shared" si="26"/>
        <v>Needs Improvement</v>
      </c>
      <c r="W328" t="str">
        <f t="shared" si="27"/>
        <v>High</v>
      </c>
      <c r="X328" t="str">
        <f t="shared" si="28"/>
        <v>Senior</v>
      </c>
      <c r="Y328" t="str">
        <f t="shared" si="29"/>
        <v>25-34</v>
      </c>
    </row>
    <row r="329" spans="1:25" x14ac:dyDescent="0.3">
      <c r="A329">
        <v>1328</v>
      </c>
      <c r="B329" t="s">
        <v>36</v>
      </c>
      <c r="C329" t="s">
        <v>37</v>
      </c>
      <c r="D329">
        <v>41</v>
      </c>
      <c r="E329" t="s">
        <v>22</v>
      </c>
      <c r="F329" t="s">
        <v>66</v>
      </c>
      <c r="G329" t="s">
        <v>51</v>
      </c>
      <c r="H329" t="s">
        <v>387</v>
      </c>
      <c r="I329">
        <v>6</v>
      </c>
      <c r="J329">
        <v>55088</v>
      </c>
      <c r="K329">
        <v>3.4</v>
      </c>
      <c r="L329">
        <v>98.6</v>
      </c>
      <c r="M329">
        <v>8</v>
      </c>
      <c r="N329">
        <v>5</v>
      </c>
      <c r="O329">
        <v>1152</v>
      </c>
      <c r="P329" t="s">
        <v>47</v>
      </c>
      <c r="Q329" t="s">
        <v>48</v>
      </c>
      <c r="R329" t="s">
        <v>28</v>
      </c>
      <c r="S329" t="s">
        <v>49</v>
      </c>
      <c r="T329" t="s">
        <v>50</v>
      </c>
      <c r="U329">
        <f t="shared" si="25"/>
        <v>56240</v>
      </c>
      <c r="V329" t="str">
        <f t="shared" si="26"/>
        <v>Excellent</v>
      </c>
      <c r="W329" t="str">
        <f t="shared" si="27"/>
        <v>Normal</v>
      </c>
      <c r="X329" t="str">
        <f t="shared" si="28"/>
        <v>Mid</v>
      </c>
      <c r="Y329" t="str">
        <f t="shared" si="29"/>
        <v>35-44</v>
      </c>
    </row>
    <row r="330" spans="1:25" x14ac:dyDescent="0.3">
      <c r="A330">
        <v>1329</v>
      </c>
      <c r="B330" t="s">
        <v>121</v>
      </c>
      <c r="C330" t="s">
        <v>21</v>
      </c>
      <c r="D330">
        <v>30</v>
      </c>
      <c r="E330" t="s">
        <v>55</v>
      </c>
      <c r="F330" t="s">
        <v>79</v>
      </c>
      <c r="G330" t="s">
        <v>45</v>
      </c>
      <c r="H330" t="s">
        <v>388</v>
      </c>
      <c r="I330">
        <v>7</v>
      </c>
      <c r="J330">
        <v>83233</v>
      </c>
      <c r="K330">
        <v>4.0999999999999996</v>
      </c>
      <c r="L330">
        <v>92</v>
      </c>
      <c r="M330">
        <v>13</v>
      </c>
      <c r="N330">
        <v>10</v>
      </c>
      <c r="O330">
        <v>4481</v>
      </c>
      <c r="P330" t="s">
        <v>33</v>
      </c>
      <c r="Q330" t="s">
        <v>48</v>
      </c>
      <c r="R330" t="s">
        <v>58</v>
      </c>
      <c r="S330" t="s">
        <v>29</v>
      </c>
      <c r="T330" t="s">
        <v>50</v>
      </c>
      <c r="U330">
        <f t="shared" si="25"/>
        <v>87714</v>
      </c>
      <c r="V330" t="str">
        <f t="shared" si="26"/>
        <v>Needs Improvement</v>
      </c>
      <c r="W330" t="str">
        <f t="shared" si="27"/>
        <v>Normal</v>
      </c>
      <c r="X330" t="str">
        <f t="shared" si="28"/>
        <v>Senior</v>
      </c>
      <c r="Y330" t="str">
        <f t="shared" si="29"/>
        <v>25-34</v>
      </c>
    </row>
    <row r="331" spans="1:25" x14ac:dyDescent="0.3">
      <c r="A331">
        <v>1330</v>
      </c>
      <c r="B331" t="s">
        <v>43</v>
      </c>
      <c r="C331" t="s">
        <v>21</v>
      </c>
      <c r="D331">
        <v>41</v>
      </c>
      <c r="E331" t="s">
        <v>55</v>
      </c>
      <c r="F331" t="s">
        <v>143</v>
      </c>
      <c r="G331" t="s">
        <v>59</v>
      </c>
      <c r="H331" t="s">
        <v>389</v>
      </c>
      <c r="I331">
        <v>2</v>
      </c>
      <c r="J331">
        <v>90391</v>
      </c>
      <c r="K331">
        <v>4.0999999999999996</v>
      </c>
      <c r="L331">
        <v>90.3</v>
      </c>
      <c r="M331">
        <v>12</v>
      </c>
      <c r="N331">
        <v>49</v>
      </c>
      <c r="O331">
        <v>13259</v>
      </c>
      <c r="P331" t="s">
        <v>41</v>
      </c>
      <c r="Q331" t="s">
        <v>27</v>
      </c>
      <c r="R331" t="s">
        <v>58</v>
      </c>
      <c r="S331" t="s">
        <v>29</v>
      </c>
      <c r="T331" t="s">
        <v>30</v>
      </c>
      <c r="U331">
        <f t="shared" si="25"/>
        <v>103650</v>
      </c>
      <c r="V331" t="str">
        <f t="shared" si="26"/>
        <v>Needs Improvement</v>
      </c>
      <c r="W331" t="str">
        <f t="shared" si="27"/>
        <v>Normal</v>
      </c>
      <c r="X331" t="str">
        <f t="shared" si="28"/>
        <v>Junior</v>
      </c>
      <c r="Y331" t="str">
        <f t="shared" si="29"/>
        <v>35-44</v>
      </c>
    </row>
    <row r="332" spans="1:25" x14ac:dyDescent="0.3">
      <c r="A332">
        <v>1331</v>
      </c>
      <c r="B332" t="s">
        <v>54</v>
      </c>
      <c r="C332" t="s">
        <v>21</v>
      </c>
      <c r="D332">
        <v>24</v>
      </c>
      <c r="E332" t="s">
        <v>91</v>
      </c>
      <c r="F332" t="s">
        <v>92</v>
      </c>
      <c r="G332" t="s">
        <v>24</v>
      </c>
      <c r="H332" t="s">
        <v>390</v>
      </c>
      <c r="I332">
        <v>5</v>
      </c>
      <c r="J332">
        <v>89268</v>
      </c>
      <c r="K332">
        <v>3.3</v>
      </c>
      <c r="L332">
        <v>97.1</v>
      </c>
      <c r="M332">
        <v>0</v>
      </c>
      <c r="N332">
        <v>36</v>
      </c>
      <c r="O332">
        <v>3195</v>
      </c>
      <c r="P332" t="s">
        <v>53</v>
      </c>
      <c r="Q332" t="s">
        <v>48</v>
      </c>
      <c r="R332" t="s">
        <v>28</v>
      </c>
      <c r="S332" t="s">
        <v>29</v>
      </c>
      <c r="T332" t="s">
        <v>35</v>
      </c>
      <c r="U332">
        <f t="shared" si="25"/>
        <v>92463</v>
      </c>
      <c r="V332" t="str">
        <f t="shared" si="26"/>
        <v>Excellent</v>
      </c>
      <c r="W332" t="str">
        <f t="shared" si="27"/>
        <v>Normal</v>
      </c>
      <c r="X332" t="str">
        <f t="shared" si="28"/>
        <v>Mid</v>
      </c>
      <c r="Y332" t="str">
        <f t="shared" si="29"/>
        <v>20-24</v>
      </c>
    </row>
    <row r="333" spans="1:25" x14ac:dyDescent="0.3">
      <c r="A333">
        <v>1332</v>
      </c>
      <c r="B333" t="s">
        <v>54</v>
      </c>
      <c r="C333" t="s">
        <v>21</v>
      </c>
      <c r="D333">
        <v>26</v>
      </c>
      <c r="E333" t="s">
        <v>91</v>
      </c>
      <c r="F333" t="s">
        <v>92</v>
      </c>
      <c r="G333" t="s">
        <v>45</v>
      </c>
      <c r="H333" t="s">
        <v>391</v>
      </c>
      <c r="I333">
        <v>9</v>
      </c>
      <c r="J333">
        <v>80938</v>
      </c>
      <c r="K333">
        <v>4.7</v>
      </c>
      <c r="L333">
        <v>91.3</v>
      </c>
      <c r="M333">
        <v>14</v>
      </c>
      <c r="N333">
        <v>60</v>
      </c>
      <c r="O333">
        <v>4621</v>
      </c>
      <c r="P333" t="s">
        <v>53</v>
      </c>
      <c r="Q333" t="s">
        <v>27</v>
      </c>
      <c r="R333" t="s">
        <v>70</v>
      </c>
      <c r="S333" t="s">
        <v>29</v>
      </c>
      <c r="T333" t="s">
        <v>50</v>
      </c>
      <c r="U333">
        <f t="shared" si="25"/>
        <v>85559</v>
      </c>
      <c r="V333" t="str">
        <f t="shared" si="26"/>
        <v>Needs Improvement</v>
      </c>
      <c r="W333" t="str">
        <f t="shared" si="27"/>
        <v>Normal</v>
      </c>
      <c r="X333" t="str">
        <f t="shared" si="28"/>
        <v>Senior</v>
      </c>
      <c r="Y333" t="str">
        <f t="shared" si="29"/>
        <v>25-34</v>
      </c>
    </row>
    <row r="334" spans="1:25" x14ac:dyDescent="0.3">
      <c r="A334">
        <v>1333</v>
      </c>
      <c r="B334" t="s">
        <v>148</v>
      </c>
      <c r="C334" t="s">
        <v>21</v>
      </c>
      <c r="D334">
        <v>41</v>
      </c>
      <c r="E334" t="s">
        <v>22</v>
      </c>
      <c r="F334" t="s">
        <v>66</v>
      </c>
      <c r="G334" t="s">
        <v>64</v>
      </c>
      <c r="H334" t="s">
        <v>392</v>
      </c>
      <c r="I334">
        <v>4</v>
      </c>
      <c r="J334">
        <v>55742</v>
      </c>
      <c r="K334">
        <v>2.6</v>
      </c>
      <c r="L334">
        <v>98.3</v>
      </c>
      <c r="M334">
        <v>19</v>
      </c>
      <c r="N334">
        <v>49</v>
      </c>
      <c r="O334">
        <v>10371</v>
      </c>
      <c r="P334" t="s">
        <v>33</v>
      </c>
      <c r="Q334" t="s">
        <v>48</v>
      </c>
      <c r="R334" t="s">
        <v>42</v>
      </c>
      <c r="S334" t="s">
        <v>49</v>
      </c>
      <c r="T334" t="s">
        <v>35</v>
      </c>
      <c r="U334">
        <f t="shared" si="25"/>
        <v>66113</v>
      </c>
      <c r="V334" t="str">
        <f t="shared" si="26"/>
        <v>Excellent</v>
      </c>
      <c r="W334" t="str">
        <f t="shared" si="27"/>
        <v>Normal</v>
      </c>
      <c r="X334" t="str">
        <f t="shared" si="28"/>
        <v>Mid</v>
      </c>
      <c r="Y334" t="str">
        <f t="shared" si="29"/>
        <v>35-44</v>
      </c>
    </row>
    <row r="335" spans="1:25" x14ac:dyDescent="0.3">
      <c r="A335">
        <v>1334</v>
      </c>
      <c r="B335" t="s">
        <v>71</v>
      </c>
      <c r="C335" t="s">
        <v>21</v>
      </c>
      <c r="D335">
        <v>30</v>
      </c>
      <c r="E335" t="s">
        <v>22</v>
      </c>
      <c r="F335" t="s">
        <v>66</v>
      </c>
      <c r="G335" t="s">
        <v>64</v>
      </c>
      <c r="H335" t="s">
        <v>393</v>
      </c>
      <c r="I335">
        <v>4</v>
      </c>
      <c r="J335">
        <v>75634</v>
      </c>
      <c r="K335">
        <v>2.7</v>
      </c>
      <c r="L335">
        <v>95.3</v>
      </c>
      <c r="M335">
        <v>1</v>
      </c>
      <c r="N335">
        <v>53</v>
      </c>
      <c r="O335">
        <v>8225</v>
      </c>
      <c r="P335" t="s">
        <v>53</v>
      </c>
      <c r="Q335" t="s">
        <v>27</v>
      </c>
      <c r="R335" t="s">
        <v>42</v>
      </c>
      <c r="S335" t="s">
        <v>29</v>
      </c>
      <c r="T335" t="s">
        <v>35</v>
      </c>
      <c r="U335">
        <f t="shared" si="25"/>
        <v>83859</v>
      </c>
      <c r="V335" t="str">
        <f t="shared" si="26"/>
        <v>Excellent</v>
      </c>
      <c r="W335" t="str">
        <f t="shared" si="27"/>
        <v>Normal</v>
      </c>
      <c r="X335" t="str">
        <f t="shared" si="28"/>
        <v>Mid</v>
      </c>
      <c r="Y335" t="str">
        <f t="shared" si="29"/>
        <v>25-34</v>
      </c>
    </row>
    <row r="336" spans="1:25" x14ac:dyDescent="0.3">
      <c r="A336">
        <v>1335</v>
      </c>
      <c r="B336" t="s">
        <v>71</v>
      </c>
      <c r="C336" t="s">
        <v>21</v>
      </c>
      <c r="D336">
        <v>30</v>
      </c>
      <c r="E336" t="s">
        <v>38</v>
      </c>
      <c r="F336" t="s">
        <v>44</v>
      </c>
      <c r="G336" t="s">
        <v>59</v>
      </c>
      <c r="H336" t="s">
        <v>249</v>
      </c>
      <c r="I336">
        <v>10</v>
      </c>
      <c r="J336">
        <v>33791</v>
      </c>
      <c r="K336">
        <v>4.5</v>
      </c>
      <c r="L336">
        <v>98.7</v>
      </c>
      <c r="M336">
        <v>7</v>
      </c>
      <c r="N336">
        <v>42</v>
      </c>
      <c r="O336">
        <v>14101</v>
      </c>
      <c r="P336" t="s">
        <v>47</v>
      </c>
      <c r="Q336" t="s">
        <v>48</v>
      </c>
      <c r="R336" t="s">
        <v>70</v>
      </c>
      <c r="S336" t="s">
        <v>34</v>
      </c>
      <c r="T336" t="s">
        <v>50</v>
      </c>
      <c r="U336">
        <f t="shared" si="25"/>
        <v>47892</v>
      </c>
      <c r="V336" t="str">
        <f t="shared" si="26"/>
        <v>Excellent</v>
      </c>
      <c r="W336" t="str">
        <f t="shared" si="27"/>
        <v>Normal</v>
      </c>
      <c r="X336" t="str">
        <f t="shared" si="28"/>
        <v>Senior</v>
      </c>
      <c r="Y336" t="str">
        <f t="shared" si="29"/>
        <v>25-34</v>
      </c>
    </row>
    <row r="337" spans="1:25" x14ac:dyDescent="0.3">
      <c r="A337">
        <v>1336</v>
      </c>
      <c r="B337" t="s">
        <v>68</v>
      </c>
      <c r="C337" t="s">
        <v>37</v>
      </c>
      <c r="D337">
        <v>37</v>
      </c>
      <c r="E337" t="s">
        <v>62</v>
      </c>
      <c r="F337" t="s">
        <v>97</v>
      </c>
      <c r="G337" t="s">
        <v>24</v>
      </c>
      <c r="H337" t="s">
        <v>394</v>
      </c>
      <c r="I337">
        <v>6</v>
      </c>
      <c r="J337">
        <v>66806</v>
      </c>
      <c r="K337">
        <v>3.4</v>
      </c>
      <c r="L337">
        <v>85.9</v>
      </c>
      <c r="M337">
        <v>15</v>
      </c>
      <c r="N337">
        <v>52</v>
      </c>
      <c r="O337">
        <v>4902</v>
      </c>
      <c r="P337" t="s">
        <v>41</v>
      </c>
      <c r="Q337" t="s">
        <v>48</v>
      </c>
      <c r="R337" t="s">
        <v>28</v>
      </c>
      <c r="S337" t="s">
        <v>49</v>
      </c>
      <c r="T337" t="s">
        <v>50</v>
      </c>
      <c r="U337">
        <f t="shared" si="25"/>
        <v>71708</v>
      </c>
      <c r="V337" t="str">
        <f t="shared" si="26"/>
        <v>Needs Improvement</v>
      </c>
      <c r="W337" t="str">
        <f t="shared" si="27"/>
        <v>Normal</v>
      </c>
      <c r="X337" t="str">
        <f t="shared" si="28"/>
        <v>Mid</v>
      </c>
      <c r="Y337" t="str">
        <f t="shared" si="29"/>
        <v>35-44</v>
      </c>
    </row>
    <row r="338" spans="1:25" x14ac:dyDescent="0.3">
      <c r="A338">
        <v>1337</v>
      </c>
      <c r="B338" t="s">
        <v>121</v>
      </c>
      <c r="C338" t="s">
        <v>21</v>
      </c>
      <c r="D338">
        <v>37</v>
      </c>
      <c r="E338" t="s">
        <v>91</v>
      </c>
      <c r="F338" t="s">
        <v>101</v>
      </c>
      <c r="G338" t="s">
        <v>59</v>
      </c>
      <c r="H338" t="s">
        <v>395</v>
      </c>
      <c r="I338">
        <v>5</v>
      </c>
      <c r="J338">
        <v>32706</v>
      </c>
      <c r="K338">
        <v>4.8</v>
      </c>
      <c r="L338">
        <v>91.8</v>
      </c>
      <c r="M338">
        <v>7</v>
      </c>
      <c r="N338">
        <v>51</v>
      </c>
      <c r="O338">
        <v>10322</v>
      </c>
      <c r="P338" t="s">
        <v>47</v>
      </c>
      <c r="Q338" t="s">
        <v>48</v>
      </c>
      <c r="R338" t="s">
        <v>70</v>
      </c>
      <c r="S338" t="s">
        <v>34</v>
      </c>
      <c r="T338" t="s">
        <v>35</v>
      </c>
      <c r="U338">
        <f t="shared" si="25"/>
        <v>43028</v>
      </c>
      <c r="V338" t="str">
        <f t="shared" si="26"/>
        <v>Needs Improvement</v>
      </c>
      <c r="W338" t="str">
        <f t="shared" si="27"/>
        <v>Normal</v>
      </c>
      <c r="X338" t="str">
        <f t="shared" si="28"/>
        <v>Mid</v>
      </c>
      <c r="Y338" t="str">
        <f t="shared" si="29"/>
        <v>35-44</v>
      </c>
    </row>
    <row r="339" spans="1:25" x14ac:dyDescent="0.3">
      <c r="A339">
        <v>1338</v>
      </c>
      <c r="B339" t="s">
        <v>43</v>
      </c>
      <c r="C339" t="s">
        <v>37</v>
      </c>
      <c r="D339">
        <v>27</v>
      </c>
      <c r="E339" t="s">
        <v>55</v>
      </c>
      <c r="F339" t="s">
        <v>56</v>
      </c>
      <c r="G339" t="s">
        <v>64</v>
      </c>
      <c r="H339" t="s">
        <v>396</v>
      </c>
      <c r="I339">
        <v>7</v>
      </c>
      <c r="J339">
        <v>60413</v>
      </c>
      <c r="K339">
        <v>3.8</v>
      </c>
      <c r="L339">
        <v>98.7</v>
      </c>
      <c r="M339">
        <v>11</v>
      </c>
      <c r="N339">
        <v>56</v>
      </c>
      <c r="O339">
        <v>5669</v>
      </c>
      <c r="P339" t="s">
        <v>47</v>
      </c>
      <c r="Q339" t="s">
        <v>27</v>
      </c>
      <c r="R339" t="s">
        <v>28</v>
      </c>
      <c r="S339" t="s">
        <v>49</v>
      </c>
      <c r="T339" t="s">
        <v>50</v>
      </c>
      <c r="U339">
        <f t="shared" si="25"/>
        <v>66082</v>
      </c>
      <c r="V339" t="str">
        <f t="shared" si="26"/>
        <v>Excellent</v>
      </c>
      <c r="W339" t="str">
        <f t="shared" si="27"/>
        <v>Normal</v>
      </c>
      <c r="X339" t="str">
        <f t="shared" si="28"/>
        <v>Senior</v>
      </c>
      <c r="Y339" t="str">
        <f t="shared" si="29"/>
        <v>25-34</v>
      </c>
    </row>
    <row r="340" spans="1:25" x14ac:dyDescent="0.3">
      <c r="A340">
        <v>1339</v>
      </c>
      <c r="B340" t="s">
        <v>71</v>
      </c>
      <c r="C340" t="s">
        <v>37</v>
      </c>
      <c r="D340">
        <v>29</v>
      </c>
      <c r="E340" t="s">
        <v>91</v>
      </c>
      <c r="F340" t="s">
        <v>92</v>
      </c>
      <c r="G340" t="s">
        <v>64</v>
      </c>
      <c r="H340" t="s">
        <v>397</v>
      </c>
      <c r="I340">
        <v>7</v>
      </c>
      <c r="J340">
        <v>71798</v>
      </c>
      <c r="K340">
        <v>3.5</v>
      </c>
      <c r="L340">
        <v>91</v>
      </c>
      <c r="M340">
        <v>3</v>
      </c>
      <c r="N340">
        <v>52</v>
      </c>
      <c r="O340">
        <v>5855</v>
      </c>
      <c r="P340" t="s">
        <v>53</v>
      </c>
      <c r="Q340" t="s">
        <v>48</v>
      </c>
      <c r="R340" t="s">
        <v>28</v>
      </c>
      <c r="S340" t="s">
        <v>29</v>
      </c>
      <c r="T340" t="s">
        <v>50</v>
      </c>
      <c r="U340">
        <f t="shared" si="25"/>
        <v>77653</v>
      </c>
      <c r="V340" t="str">
        <f t="shared" si="26"/>
        <v>Needs Improvement</v>
      </c>
      <c r="W340" t="str">
        <f t="shared" si="27"/>
        <v>Normal</v>
      </c>
      <c r="X340" t="str">
        <f t="shared" si="28"/>
        <v>Senior</v>
      </c>
      <c r="Y340" t="str">
        <f t="shared" si="29"/>
        <v>25-34</v>
      </c>
    </row>
    <row r="341" spans="1:25" x14ac:dyDescent="0.3">
      <c r="A341">
        <v>1340</v>
      </c>
      <c r="B341" t="s">
        <v>99</v>
      </c>
      <c r="C341" t="s">
        <v>21</v>
      </c>
      <c r="D341">
        <v>31</v>
      </c>
      <c r="E341" t="s">
        <v>62</v>
      </c>
      <c r="F341" t="s">
        <v>63</v>
      </c>
      <c r="G341" t="s">
        <v>64</v>
      </c>
      <c r="H341" t="s">
        <v>398</v>
      </c>
      <c r="I341">
        <v>5</v>
      </c>
      <c r="J341">
        <v>90479</v>
      </c>
      <c r="K341">
        <v>3.3</v>
      </c>
      <c r="L341">
        <v>95.2</v>
      </c>
      <c r="M341">
        <v>25</v>
      </c>
      <c r="N341">
        <v>47</v>
      </c>
      <c r="O341">
        <v>11872</v>
      </c>
      <c r="P341" t="s">
        <v>47</v>
      </c>
      <c r="Q341" t="s">
        <v>48</v>
      </c>
      <c r="R341" t="s">
        <v>28</v>
      </c>
      <c r="S341" t="s">
        <v>29</v>
      </c>
      <c r="T341" t="s">
        <v>35</v>
      </c>
      <c r="U341">
        <f t="shared" si="25"/>
        <v>102351</v>
      </c>
      <c r="V341" t="str">
        <f t="shared" si="26"/>
        <v>Excellent</v>
      </c>
      <c r="W341" t="str">
        <f t="shared" si="27"/>
        <v>High</v>
      </c>
      <c r="X341" t="str">
        <f t="shared" si="28"/>
        <v>Mid</v>
      </c>
      <c r="Y341" t="str">
        <f t="shared" si="29"/>
        <v>25-34</v>
      </c>
    </row>
    <row r="342" spans="1:25" x14ac:dyDescent="0.3">
      <c r="A342">
        <v>1341</v>
      </c>
      <c r="B342" t="s">
        <v>111</v>
      </c>
      <c r="C342" t="s">
        <v>37</v>
      </c>
      <c r="D342">
        <v>37</v>
      </c>
      <c r="E342" t="s">
        <v>91</v>
      </c>
      <c r="F342" t="s">
        <v>101</v>
      </c>
      <c r="G342" t="s">
        <v>51</v>
      </c>
      <c r="H342" t="s">
        <v>399</v>
      </c>
      <c r="I342">
        <v>9</v>
      </c>
      <c r="J342">
        <v>85379</v>
      </c>
      <c r="K342">
        <v>4.0999999999999996</v>
      </c>
      <c r="L342">
        <v>88.3</v>
      </c>
      <c r="M342">
        <v>17</v>
      </c>
      <c r="N342">
        <v>36</v>
      </c>
      <c r="O342">
        <v>7633</v>
      </c>
      <c r="P342" t="s">
        <v>26</v>
      </c>
      <c r="Q342" t="s">
        <v>27</v>
      </c>
      <c r="R342" t="s">
        <v>58</v>
      </c>
      <c r="S342" t="s">
        <v>29</v>
      </c>
      <c r="T342" t="s">
        <v>50</v>
      </c>
      <c r="U342">
        <f t="shared" si="25"/>
        <v>93012</v>
      </c>
      <c r="V342" t="str">
        <f t="shared" si="26"/>
        <v>Needs Improvement</v>
      </c>
      <c r="W342" t="str">
        <f t="shared" si="27"/>
        <v>Normal</v>
      </c>
      <c r="X342" t="str">
        <f t="shared" si="28"/>
        <v>Senior</v>
      </c>
      <c r="Y342" t="str">
        <f t="shared" si="29"/>
        <v>35-44</v>
      </c>
    </row>
    <row r="343" spans="1:25" x14ac:dyDescent="0.3">
      <c r="A343">
        <v>1342</v>
      </c>
      <c r="B343" t="s">
        <v>83</v>
      </c>
      <c r="C343" t="s">
        <v>21</v>
      </c>
      <c r="D343">
        <v>26</v>
      </c>
      <c r="E343" t="s">
        <v>22</v>
      </c>
      <c r="F343" t="s">
        <v>66</v>
      </c>
      <c r="G343" t="s">
        <v>51</v>
      </c>
      <c r="H343" t="s">
        <v>400</v>
      </c>
      <c r="I343">
        <v>9</v>
      </c>
      <c r="J343">
        <v>83857</v>
      </c>
      <c r="K343">
        <v>2.8</v>
      </c>
      <c r="L343">
        <v>98.7</v>
      </c>
      <c r="M343">
        <v>4</v>
      </c>
      <c r="N343">
        <v>42</v>
      </c>
      <c r="O343">
        <v>9415</v>
      </c>
      <c r="P343" t="s">
        <v>26</v>
      </c>
      <c r="Q343" t="s">
        <v>27</v>
      </c>
      <c r="R343" t="s">
        <v>42</v>
      </c>
      <c r="S343" t="s">
        <v>29</v>
      </c>
      <c r="T343" t="s">
        <v>50</v>
      </c>
      <c r="U343">
        <f t="shared" si="25"/>
        <v>93272</v>
      </c>
      <c r="V343" t="str">
        <f t="shared" si="26"/>
        <v>Excellent</v>
      </c>
      <c r="W343" t="str">
        <f t="shared" si="27"/>
        <v>Normal</v>
      </c>
      <c r="X343" t="str">
        <f t="shared" si="28"/>
        <v>Senior</v>
      </c>
      <c r="Y343" t="str">
        <f t="shared" si="29"/>
        <v>25-34</v>
      </c>
    </row>
    <row r="344" spans="1:25" x14ac:dyDescent="0.3">
      <c r="A344">
        <v>1343</v>
      </c>
      <c r="B344" t="s">
        <v>20</v>
      </c>
      <c r="C344" t="s">
        <v>37</v>
      </c>
      <c r="D344">
        <v>44</v>
      </c>
      <c r="E344" t="s">
        <v>38</v>
      </c>
      <c r="F344" t="s">
        <v>44</v>
      </c>
      <c r="G344" t="s">
        <v>64</v>
      </c>
      <c r="H344" t="s">
        <v>401</v>
      </c>
      <c r="I344">
        <v>10</v>
      </c>
      <c r="J344">
        <v>42746</v>
      </c>
      <c r="K344">
        <v>2.8</v>
      </c>
      <c r="L344">
        <v>89.8</v>
      </c>
      <c r="M344">
        <v>15</v>
      </c>
      <c r="N344">
        <v>38</v>
      </c>
      <c r="O344">
        <v>3271</v>
      </c>
      <c r="P344" t="s">
        <v>41</v>
      </c>
      <c r="Q344" t="s">
        <v>48</v>
      </c>
      <c r="R344" t="s">
        <v>42</v>
      </c>
      <c r="S344" t="s">
        <v>34</v>
      </c>
      <c r="T344" t="s">
        <v>50</v>
      </c>
      <c r="U344">
        <f t="shared" si="25"/>
        <v>46017</v>
      </c>
      <c r="V344" t="str">
        <f t="shared" si="26"/>
        <v>Needs Improvement</v>
      </c>
      <c r="W344" t="str">
        <f t="shared" si="27"/>
        <v>Normal</v>
      </c>
      <c r="X344" t="str">
        <f t="shared" si="28"/>
        <v>Senior</v>
      </c>
      <c r="Y344" t="str">
        <f t="shared" si="29"/>
        <v>35-44</v>
      </c>
    </row>
    <row r="345" spans="1:25" x14ac:dyDescent="0.3">
      <c r="A345">
        <v>1344</v>
      </c>
      <c r="B345" t="s">
        <v>20</v>
      </c>
      <c r="C345" t="s">
        <v>37</v>
      </c>
      <c r="D345">
        <v>43</v>
      </c>
      <c r="E345" t="s">
        <v>38</v>
      </c>
      <c r="F345" t="s">
        <v>39</v>
      </c>
      <c r="G345" t="s">
        <v>24</v>
      </c>
      <c r="H345" t="s">
        <v>402</v>
      </c>
      <c r="I345">
        <v>3</v>
      </c>
      <c r="J345">
        <v>69578</v>
      </c>
      <c r="K345">
        <v>4.8</v>
      </c>
      <c r="L345">
        <v>93.3</v>
      </c>
      <c r="M345">
        <v>12</v>
      </c>
      <c r="N345">
        <v>14</v>
      </c>
      <c r="O345">
        <v>11907</v>
      </c>
      <c r="P345" t="s">
        <v>41</v>
      </c>
      <c r="Q345" t="s">
        <v>27</v>
      </c>
      <c r="R345" t="s">
        <v>70</v>
      </c>
      <c r="S345" t="s">
        <v>49</v>
      </c>
      <c r="T345" t="s">
        <v>35</v>
      </c>
      <c r="U345">
        <f t="shared" si="25"/>
        <v>81485</v>
      </c>
      <c r="V345" t="str">
        <f t="shared" si="26"/>
        <v>Needs Improvement</v>
      </c>
      <c r="W345" t="str">
        <f t="shared" si="27"/>
        <v>Normal</v>
      </c>
      <c r="X345" t="str">
        <f t="shared" si="28"/>
        <v>Mid</v>
      </c>
      <c r="Y345" t="str">
        <f t="shared" si="29"/>
        <v>35-44</v>
      </c>
    </row>
    <row r="346" spans="1:25" x14ac:dyDescent="0.3">
      <c r="A346">
        <v>1345</v>
      </c>
      <c r="B346" t="s">
        <v>178</v>
      </c>
      <c r="C346" t="s">
        <v>37</v>
      </c>
      <c r="D346">
        <v>31</v>
      </c>
      <c r="E346" t="s">
        <v>62</v>
      </c>
      <c r="F346" t="s">
        <v>63</v>
      </c>
      <c r="G346" t="s">
        <v>64</v>
      </c>
      <c r="H346" t="s">
        <v>403</v>
      </c>
      <c r="I346">
        <v>8</v>
      </c>
      <c r="J346">
        <v>71534</v>
      </c>
      <c r="K346">
        <v>4.5999999999999996</v>
      </c>
      <c r="L346">
        <v>84.8</v>
      </c>
      <c r="M346">
        <v>11</v>
      </c>
      <c r="N346">
        <v>33</v>
      </c>
      <c r="O346">
        <v>6830</v>
      </c>
      <c r="P346" t="s">
        <v>53</v>
      </c>
      <c r="Q346" t="s">
        <v>27</v>
      </c>
      <c r="R346" t="s">
        <v>70</v>
      </c>
      <c r="S346" t="s">
        <v>29</v>
      </c>
      <c r="T346" t="s">
        <v>50</v>
      </c>
      <c r="U346">
        <f t="shared" si="25"/>
        <v>78364</v>
      </c>
      <c r="V346" t="str">
        <f t="shared" si="26"/>
        <v>Needs Improvement</v>
      </c>
      <c r="W346" t="str">
        <f t="shared" si="27"/>
        <v>Normal</v>
      </c>
      <c r="X346" t="str">
        <f t="shared" si="28"/>
        <v>Senior</v>
      </c>
      <c r="Y346" t="str">
        <f t="shared" si="29"/>
        <v>25-34</v>
      </c>
    </row>
    <row r="347" spans="1:25" x14ac:dyDescent="0.3">
      <c r="A347">
        <v>1346</v>
      </c>
      <c r="B347" t="s">
        <v>83</v>
      </c>
      <c r="C347" t="s">
        <v>21</v>
      </c>
      <c r="D347">
        <v>44</v>
      </c>
      <c r="E347" t="s">
        <v>55</v>
      </c>
      <c r="F347" t="s">
        <v>143</v>
      </c>
      <c r="G347" t="s">
        <v>64</v>
      </c>
      <c r="H347" t="s">
        <v>404</v>
      </c>
      <c r="I347">
        <v>10</v>
      </c>
      <c r="J347">
        <v>75755</v>
      </c>
      <c r="K347">
        <v>3.6</v>
      </c>
      <c r="L347">
        <v>100</v>
      </c>
      <c r="M347">
        <v>9</v>
      </c>
      <c r="N347">
        <v>22</v>
      </c>
      <c r="O347">
        <v>7044</v>
      </c>
      <c r="P347" t="s">
        <v>26</v>
      </c>
      <c r="Q347" t="s">
        <v>48</v>
      </c>
      <c r="R347" t="s">
        <v>28</v>
      </c>
      <c r="S347" t="s">
        <v>29</v>
      </c>
      <c r="T347" t="s">
        <v>50</v>
      </c>
      <c r="U347">
        <f t="shared" si="25"/>
        <v>82799</v>
      </c>
      <c r="V347" t="str">
        <f t="shared" si="26"/>
        <v>Excellent</v>
      </c>
      <c r="W347" t="str">
        <f t="shared" si="27"/>
        <v>Normal</v>
      </c>
      <c r="X347" t="str">
        <f t="shared" si="28"/>
        <v>Senior</v>
      </c>
      <c r="Y347" t="str">
        <f t="shared" si="29"/>
        <v>35-44</v>
      </c>
    </row>
    <row r="348" spans="1:25" x14ac:dyDescent="0.3">
      <c r="A348">
        <v>1347</v>
      </c>
      <c r="B348" t="s">
        <v>68</v>
      </c>
      <c r="C348" t="s">
        <v>21</v>
      </c>
      <c r="D348">
        <v>39</v>
      </c>
      <c r="E348" t="s">
        <v>91</v>
      </c>
      <c r="F348" t="s">
        <v>101</v>
      </c>
      <c r="G348" t="s">
        <v>64</v>
      </c>
      <c r="H348" t="s">
        <v>405</v>
      </c>
      <c r="I348">
        <v>9</v>
      </c>
      <c r="J348">
        <v>68398</v>
      </c>
      <c r="K348">
        <v>3.1</v>
      </c>
      <c r="L348">
        <v>97.5</v>
      </c>
      <c r="M348">
        <v>21</v>
      </c>
      <c r="N348">
        <v>59</v>
      </c>
      <c r="O348">
        <v>2243</v>
      </c>
      <c r="P348" t="s">
        <v>53</v>
      </c>
      <c r="Q348" t="s">
        <v>27</v>
      </c>
      <c r="R348" t="s">
        <v>28</v>
      </c>
      <c r="S348" t="s">
        <v>49</v>
      </c>
      <c r="T348" t="s">
        <v>50</v>
      </c>
      <c r="U348">
        <f t="shared" si="25"/>
        <v>70641</v>
      </c>
      <c r="V348" t="str">
        <f t="shared" si="26"/>
        <v>Excellent</v>
      </c>
      <c r="W348" t="str">
        <f t="shared" si="27"/>
        <v>High</v>
      </c>
      <c r="X348" t="str">
        <f t="shared" si="28"/>
        <v>Senior</v>
      </c>
      <c r="Y348" t="str">
        <f t="shared" si="29"/>
        <v>35-44</v>
      </c>
    </row>
    <row r="349" spans="1:25" x14ac:dyDescent="0.3">
      <c r="A349">
        <v>1348</v>
      </c>
      <c r="B349" t="s">
        <v>54</v>
      </c>
      <c r="C349" t="s">
        <v>21</v>
      </c>
      <c r="D349">
        <v>45</v>
      </c>
      <c r="E349" t="s">
        <v>55</v>
      </c>
      <c r="F349" t="s">
        <v>56</v>
      </c>
      <c r="G349" t="s">
        <v>51</v>
      </c>
      <c r="H349" t="s">
        <v>406</v>
      </c>
      <c r="I349">
        <v>8</v>
      </c>
      <c r="J349">
        <v>89217</v>
      </c>
      <c r="K349">
        <v>3.6</v>
      </c>
      <c r="L349">
        <v>85.8</v>
      </c>
      <c r="M349">
        <v>8</v>
      </c>
      <c r="N349">
        <v>36</v>
      </c>
      <c r="O349">
        <v>13508</v>
      </c>
      <c r="P349" t="s">
        <v>33</v>
      </c>
      <c r="Q349" t="s">
        <v>48</v>
      </c>
      <c r="R349" t="s">
        <v>28</v>
      </c>
      <c r="S349" t="s">
        <v>29</v>
      </c>
      <c r="T349" t="s">
        <v>50</v>
      </c>
      <c r="U349">
        <f t="shared" si="25"/>
        <v>102725</v>
      </c>
      <c r="V349" t="str">
        <f t="shared" si="26"/>
        <v>Needs Improvement</v>
      </c>
      <c r="W349" t="str">
        <f t="shared" si="27"/>
        <v>Normal</v>
      </c>
      <c r="X349" t="str">
        <f t="shared" si="28"/>
        <v>Senior</v>
      </c>
      <c r="Y349" t="str">
        <f t="shared" si="29"/>
        <v>45+</v>
      </c>
    </row>
    <row r="350" spans="1:25" x14ac:dyDescent="0.3">
      <c r="A350">
        <v>1349</v>
      </c>
      <c r="B350" t="s">
        <v>78</v>
      </c>
      <c r="C350" t="s">
        <v>21</v>
      </c>
      <c r="D350">
        <v>23</v>
      </c>
      <c r="E350" t="s">
        <v>62</v>
      </c>
      <c r="F350" t="s">
        <v>97</v>
      </c>
      <c r="G350" t="s">
        <v>59</v>
      </c>
      <c r="H350" t="s">
        <v>407</v>
      </c>
      <c r="I350">
        <v>8</v>
      </c>
      <c r="J350">
        <v>41107</v>
      </c>
      <c r="K350">
        <v>4.8</v>
      </c>
      <c r="L350">
        <v>87.2</v>
      </c>
      <c r="M350">
        <v>12</v>
      </c>
      <c r="N350">
        <v>40</v>
      </c>
      <c r="O350">
        <v>5534</v>
      </c>
      <c r="P350" t="s">
        <v>47</v>
      </c>
      <c r="Q350" t="s">
        <v>27</v>
      </c>
      <c r="R350" t="s">
        <v>70</v>
      </c>
      <c r="S350" t="s">
        <v>34</v>
      </c>
      <c r="T350" t="s">
        <v>50</v>
      </c>
      <c r="U350">
        <f t="shared" si="25"/>
        <v>46641</v>
      </c>
      <c r="V350" t="str">
        <f t="shared" si="26"/>
        <v>Needs Improvement</v>
      </c>
      <c r="W350" t="str">
        <f t="shared" si="27"/>
        <v>Normal</v>
      </c>
      <c r="X350" t="str">
        <f t="shared" si="28"/>
        <v>Senior</v>
      </c>
      <c r="Y350" t="str">
        <f t="shared" si="29"/>
        <v>20-24</v>
      </c>
    </row>
    <row r="351" spans="1:25" x14ac:dyDescent="0.3">
      <c r="A351">
        <v>1350</v>
      </c>
      <c r="B351" t="s">
        <v>83</v>
      </c>
      <c r="C351" t="s">
        <v>21</v>
      </c>
      <c r="D351">
        <v>44</v>
      </c>
      <c r="E351" t="s">
        <v>55</v>
      </c>
      <c r="F351" t="s">
        <v>56</v>
      </c>
      <c r="G351" t="s">
        <v>45</v>
      </c>
      <c r="H351" t="s">
        <v>408</v>
      </c>
      <c r="I351">
        <v>2</v>
      </c>
      <c r="J351">
        <v>40592</v>
      </c>
      <c r="K351">
        <v>2.9</v>
      </c>
      <c r="L351">
        <v>90</v>
      </c>
      <c r="M351">
        <v>16</v>
      </c>
      <c r="N351">
        <v>46</v>
      </c>
      <c r="O351">
        <v>4698</v>
      </c>
      <c r="P351" t="s">
        <v>26</v>
      </c>
      <c r="Q351" t="s">
        <v>48</v>
      </c>
      <c r="R351" t="s">
        <v>42</v>
      </c>
      <c r="S351" t="s">
        <v>34</v>
      </c>
      <c r="T351" t="s">
        <v>30</v>
      </c>
      <c r="U351">
        <f t="shared" si="25"/>
        <v>45290</v>
      </c>
      <c r="V351" t="str">
        <f t="shared" si="26"/>
        <v>Needs Improvement</v>
      </c>
      <c r="W351" t="str">
        <f t="shared" si="27"/>
        <v>Normal</v>
      </c>
      <c r="X351" t="str">
        <f t="shared" si="28"/>
        <v>Junior</v>
      </c>
      <c r="Y351" t="str">
        <f t="shared" si="29"/>
        <v>35-44</v>
      </c>
    </row>
    <row r="352" spans="1:25" x14ac:dyDescent="0.3">
      <c r="A352">
        <v>1351</v>
      </c>
      <c r="B352" t="s">
        <v>20</v>
      </c>
      <c r="C352" t="s">
        <v>21</v>
      </c>
      <c r="D352">
        <v>38</v>
      </c>
      <c r="E352" t="s">
        <v>62</v>
      </c>
      <c r="F352" t="s">
        <v>97</v>
      </c>
      <c r="G352" t="s">
        <v>59</v>
      </c>
      <c r="H352" t="s">
        <v>409</v>
      </c>
      <c r="I352">
        <v>9</v>
      </c>
      <c r="J352">
        <v>46355</v>
      </c>
      <c r="K352">
        <v>3.1</v>
      </c>
      <c r="L352">
        <v>91.2</v>
      </c>
      <c r="M352">
        <v>15</v>
      </c>
      <c r="N352">
        <v>15</v>
      </c>
      <c r="O352">
        <v>3599</v>
      </c>
      <c r="P352" t="s">
        <v>26</v>
      </c>
      <c r="Q352" t="s">
        <v>27</v>
      </c>
      <c r="R352" t="s">
        <v>28</v>
      </c>
      <c r="S352" t="s">
        <v>34</v>
      </c>
      <c r="T352" t="s">
        <v>50</v>
      </c>
      <c r="U352">
        <f t="shared" si="25"/>
        <v>49954</v>
      </c>
      <c r="V352" t="str">
        <f t="shared" si="26"/>
        <v>Needs Improvement</v>
      </c>
      <c r="W352" t="str">
        <f t="shared" si="27"/>
        <v>Normal</v>
      </c>
      <c r="X352" t="str">
        <f t="shared" si="28"/>
        <v>Senior</v>
      </c>
      <c r="Y352" t="str">
        <f t="shared" si="29"/>
        <v>35-44</v>
      </c>
    </row>
    <row r="353" spans="1:25" x14ac:dyDescent="0.3">
      <c r="A353">
        <v>1352</v>
      </c>
      <c r="B353" t="s">
        <v>71</v>
      </c>
      <c r="C353" t="s">
        <v>21</v>
      </c>
      <c r="D353">
        <v>43</v>
      </c>
      <c r="E353" t="s">
        <v>62</v>
      </c>
      <c r="F353" t="s">
        <v>97</v>
      </c>
      <c r="G353" t="s">
        <v>24</v>
      </c>
      <c r="H353" t="s">
        <v>410</v>
      </c>
      <c r="I353">
        <v>5</v>
      </c>
      <c r="J353">
        <v>56131</v>
      </c>
      <c r="K353">
        <v>4.5999999999999996</v>
      </c>
      <c r="L353">
        <v>85.5</v>
      </c>
      <c r="M353">
        <v>23</v>
      </c>
      <c r="N353">
        <v>11</v>
      </c>
      <c r="O353">
        <v>6671</v>
      </c>
      <c r="P353" t="s">
        <v>41</v>
      </c>
      <c r="Q353" t="s">
        <v>27</v>
      </c>
      <c r="R353" t="s">
        <v>70</v>
      </c>
      <c r="S353" t="s">
        <v>49</v>
      </c>
      <c r="T353" t="s">
        <v>35</v>
      </c>
      <c r="U353">
        <f t="shared" si="25"/>
        <v>62802</v>
      </c>
      <c r="V353" t="str">
        <f t="shared" si="26"/>
        <v>Needs Improvement</v>
      </c>
      <c r="W353" t="str">
        <f t="shared" si="27"/>
        <v>High</v>
      </c>
      <c r="X353" t="str">
        <f t="shared" si="28"/>
        <v>Mid</v>
      </c>
      <c r="Y353" t="str">
        <f t="shared" si="29"/>
        <v>35-44</v>
      </c>
    </row>
    <row r="354" spans="1:25" x14ac:dyDescent="0.3">
      <c r="A354">
        <v>1353</v>
      </c>
      <c r="B354" t="s">
        <v>88</v>
      </c>
      <c r="C354" t="s">
        <v>37</v>
      </c>
      <c r="D354">
        <v>42</v>
      </c>
      <c r="E354" t="s">
        <v>38</v>
      </c>
      <c r="F354" t="s">
        <v>44</v>
      </c>
      <c r="G354" t="s">
        <v>64</v>
      </c>
      <c r="H354" t="s">
        <v>411</v>
      </c>
      <c r="I354">
        <v>6</v>
      </c>
      <c r="J354">
        <v>89365</v>
      </c>
      <c r="K354">
        <v>4.9000000000000004</v>
      </c>
      <c r="L354">
        <v>83.1</v>
      </c>
      <c r="M354">
        <v>10</v>
      </c>
      <c r="N354">
        <v>18</v>
      </c>
      <c r="O354">
        <v>6559</v>
      </c>
      <c r="P354" t="s">
        <v>47</v>
      </c>
      <c r="Q354" t="s">
        <v>27</v>
      </c>
      <c r="R354" t="s">
        <v>70</v>
      </c>
      <c r="S354" t="s">
        <v>29</v>
      </c>
      <c r="T354" t="s">
        <v>50</v>
      </c>
      <c r="U354">
        <f t="shared" si="25"/>
        <v>95924</v>
      </c>
      <c r="V354" t="str">
        <f t="shared" si="26"/>
        <v>Needs Improvement</v>
      </c>
      <c r="W354" t="str">
        <f t="shared" si="27"/>
        <v>Normal</v>
      </c>
      <c r="X354" t="str">
        <f t="shared" si="28"/>
        <v>Mid</v>
      </c>
      <c r="Y354" t="str">
        <f t="shared" si="29"/>
        <v>35-44</v>
      </c>
    </row>
    <row r="355" spans="1:25" x14ac:dyDescent="0.3">
      <c r="A355">
        <v>1354</v>
      </c>
      <c r="B355" t="s">
        <v>85</v>
      </c>
      <c r="C355" t="s">
        <v>37</v>
      </c>
      <c r="D355">
        <v>42</v>
      </c>
      <c r="E355" t="s">
        <v>62</v>
      </c>
      <c r="F355" t="s">
        <v>97</v>
      </c>
      <c r="G355" t="s">
        <v>64</v>
      </c>
      <c r="H355" t="s">
        <v>412</v>
      </c>
      <c r="I355">
        <v>10</v>
      </c>
      <c r="J355">
        <v>34755</v>
      </c>
      <c r="K355">
        <v>4.0999999999999996</v>
      </c>
      <c r="L355">
        <v>93</v>
      </c>
      <c r="M355">
        <v>2</v>
      </c>
      <c r="N355">
        <v>11</v>
      </c>
      <c r="O355">
        <v>4346</v>
      </c>
      <c r="P355" t="s">
        <v>33</v>
      </c>
      <c r="Q355" t="s">
        <v>27</v>
      </c>
      <c r="R355" t="s">
        <v>58</v>
      </c>
      <c r="S355" t="s">
        <v>34</v>
      </c>
      <c r="T355" t="s">
        <v>50</v>
      </c>
      <c r="U355">
        <f t="shared" si="25"/>
        <v>39101</v>
      </c>
      <c r="V355" t="str">
        <f t="shared" si="26"/>
        <v>Needs Improvement</v>
      </c>
      <c r="W355" t="str">
        <f t="shared" si="27"/>
        <v>Normal</v>
      </c>
      <c r="X355" t="str">
        <f t="shared" si="28"/>
        <v>Senior</v>
      </c>
      <c r="Y355" t="str">
        <f t="shared" si="29"/>
        <v>35-44</v>
      </c>
    </row>
    <row r="356" spans="1:25" x14ac:dyDescent="0.3">
      <c r="A356">
        <v>1355</v>
      </c>
      <c r="B356" t="s">
        <v>75</v>
      </c>
      <c r="C356" t="s">
        <v>37</v>
      </c>
      <c r="D356">
        <v>25</v>
      </c>
      <c r="E356" t="s">
        <v>55</v>
      </c>
      <c r="F356" t="s">
        <v>143</v>
      </c>
      <c r="G356" t="s">
        <v>51</v>
      </c>
      <c r="H356" t="s">
        <v>413</v>
      </c>
      <c r="I356">
        <v>4</v>
      </c>
      <c r="J356">
        <v>77854</v>
      </c>
      <c r="K356">
        <v>2.8</v>
      </c>
      <c r="L356">
        <v>92.1</v>
      </c>
      <c r="M356">
        <v>24</v>
      </c>
      <c r="N356">
        <v>23</v>
      </c>
      <c r="O356">
        <v>2683</v>
      </c>
      <c r="P356" t="s">
        <v>41</v>
      </c>
      <c r="Q356" t="s">
        <v>27</v>
      </c>
      <c r="R356" t="s">
        <v>42</v>
      </c>
      <c r="S356" t="s">
        <v>29</v>
      </c>
      <c r="T356" t="s">
        <v>35</v>
      </c>
      <c r="U356">
        <f t="shared" si="25"/>
        <v>80537</v>
      </c>
      <c r="V356" t="str">
        <f t="shared" si="26"/>
        <v>Needs Improvement</v>
      </c>
      <c r="W356" t="str">
        <f t="shared" si="27"/>
        <v>High</v>
      </c>
      <c r="X356" t="str">
        <f t="shared" si="28"/>
        <v>Mid</v>
      </c>
      <c r="Y356" t="str">
        <f t="shared" si="29"/>
        <v>25-34</v>
      </c>
    </row>
    <row r="357" spans="1:25" x14ac:dyDescent="0.3">
      <c r="A357">
        <v>1356</v>
      </c>
      <c r="B357" t="s">
        <v>85</v>
      </c>
      <c r="C357" t="s">
        <v>37</v>
      </c>
      <c r="D357">
        <v>25</v>
      </c>
      <c r="E357" t="s">
        <v>62</v>
      </c>
      <c r="F357" t="s">
        <v>97</v>
      </c>
      <c r="G357" t="s">
        <v>45</v>
      </c>
      <c r="H357" t="s">
        <v>414</v>
      </c>
      <c r="I357">
        <v>7</v>
      </c>
      <c r="J357">
        <v>73647</v>
      </c>
      <c r="K357">
        <v>2.9</v>
      </c>
      <c r="L357">
        <v>90.8</v>
      </c>
      <c r="M357">
        <v>1</v>
      </c>
      <c r="N357">
        <v>18</v>
      </c>
      <c r="O357">
        <v>3761</v>
      </c>
      <c r="P357" t="s">
        <v>33</v>
      </c>
      <c r="Q357" t="s">
        <v>48</v>
      </c>
      <c r="R357" t="s">
        <v>42</v>
      </c>
      <c r="S357" t="s">
        <v>29</v>
      </c>
      <c r="T357" t="s">
        <v>50</v>
      </c>
      <c r="U357">
        <f t="shared" si="25"/>
        <v>77408</v>
      </c>
      <c r="V357" t="str">
        <f t="shared" si="26"/>
        <v>Needs Improvement</v>
      </c>
      <c r="W357" t="str">
        <f t="shared" si="27"/>
        <v>Normal</v>
      </c>
      <c r="X357" t="str">
        <f t="shared" si="28"/>
        <v>Senior</v>
      </c>
      <c r="Y357" t="str">
        <f t="shared" si="29"/>
        <v>25-34</v>
      </c>
    </row>
    <row r="358" spans="1:25" x14ac:dyDescent="0.3">
      <c r="A358">
        <v>1357</v>
      </c>
      <c r="B358" t="s">
        <v>88</v>
      </c>
      <c r="C358" t="s">
        <v>21</v>
      </c>
      <c r="D358">
        <v>43</v>
      </c>
      <c r="E358" t="s">
        <v>62</v>
      </c>
      <c r="F358" t="s">
        <v>63</v>
      </c>
      <c r="G358" t="s">
        <v>24</v>
      </c>
      <c r="H358" t="s">
        <v>415</v>
      </c>
      <c r="I358">
        <v>2</v>
      </c>
      <c r="J358">
        <v>30416</v>
      </c>
      <c r="K358">
        <v>3.7</v>
      </c>
      <c r="L358">
        <v>87.6</v>
      </c>
      <c r="M358">
        <v>20</v>
      </c>
      <c r="N358">
        <v>48</v>
      </c>
      <c r="O358">
        <v>1181</v>
      </c>
      <c r="P358" t="s">
        <v>26</v>
      </c>
      <c r="Q358" t="s">
        <v>27</v>
      </c>
      <c r="R358" t="s">
        <v>28</v>
      </c>
      <c r="S358" t="s">
        <v>34</v>
      </c>
      <c r="T358" t="s">
        <v>30</v>
      </c>
      <c r="U358">
        <f t="shared" si="25"/>
        <v>31597</v>
      </c>
      <c r="V358" t="str">
        <f t="shared" si="26"/>
        <v>Needs Improvement</v>
      </c>
      <c r="W358" t="str">
        <f t="shared" si="27"/>
        <v>Normal</v>
      </c>
      <c r="X358" t="str">
        <f t="shared" si="28"/>
        <v>Junior</v>
      </c>
      <c r="Y358" t="str">
        <f t="shared" si="29"/>
        <v>35-44</v>
      </c>
    </row>
    <row r="359" spans="1:25" x14ac:dyDescent="0.3">
      <c r="A359">
        <v>1358</v>
      </c>
      <c r="B359" t="s">
        <v>61</v>
      </c>
      <c r="C359" t="s">
        <v>21</v>
      </c>
      <c r="D359">
        <v>23</v>
      </c>
      <c r="E359" t="s">
        <v>38</v>
      </c>
      <c r="F359" t="s">
        <v>39</v>
      </c>
      <c r="G359" t="s">
        <v>45</v>
      </c>
      <c r="H359" t="s">
        <v>416</v>
      </c>
      <c r="I359">
        <v>4</v>
      </c>
      <c r="J359">
        <v>52196</v>
      </c>
      <c r="K359">
        <v>3.3</v>
      </c>
      <c r="L359">
        <v>87</v>
      </c>
      <c r="M359">
        <v>17</v>
      </c>
      <c r="N359">
        <v>57</v>
      </c>
      <c r="O359">
        <v>10955</v>
      </c>
      <c r="P359" t="s">
        <v>47</v>
      </c>
      <c r="Q359" t="s">
        <v>27</v>
      </c>
      <c r="R359" t="s">
        <v>28</v>
      </c>
      <c r="S359" t="s">
        <v>49</v>
      </c>
      <c r="T359" t="s">
        <v>35</v>
      </c>
      <c r="U359">
        <f t="shared" si="25"/>
        <v>63151</v>
      </c>
      <c r="V359" t="str">
        <f t="shared" si="26"/>
        <v>Needs Improvement</v>
      </c>
      <c r="W359" t="str">
        <f t="shared" si="27"/>
        <v>Normal</v>
      </c>
      <c r="X359" t="str">
        <f t="shared" si="28"/>
        <v>Mid</v>
      </c>
      <c r="Y359" t="str">
        <f t="shared" si="29"/>
        <v>20-24</v>
      </c>
    </row>
    <row r="360" spans="1:25" x14ac:dyDescent="0.3">
      <c r="A360">
        <v>1359</v>
      </c>
      <c r="B360" t="s">
        <v>73</v>
      </c>
      <c r="C360" t="s">
        <v>21</v>
      </c>
      <c r="D360">
        <v>31</v>
      </c>
      <c r="E360" t="s">
        <v>62</v>
      </c>
      <c r="F360" t="s">
        <v>63</v>
      </c>
      <c r="G360" t="s">
        <v>45</v>
      </c>
      <c r="H360" t="s">
        <v>417</v>
      </c>
      <c r="I360">
        <v>0</v>
      </c>
      <c r="J360">
        <v>32280</v>
      </c>
      <c r="K360">
        <v>4.9000000000000004</v>
      </c>
      <c r="L360">
        <v>90.8</v>
      </c>
      <c r="M360">
        <v>20</v>
      </c>
      <c r="N360">
        <v>34</v>
      </c>
      <c r="O360">
        <v>7532</v>
      </c>
      <c r="P360" t="s">
        <v>26</v>
      </c>
      <c r="Q360" t="s">
        <v>27</v>
      </c>
      <c r="R360" t="s">
        <v>70</v>
      </c>
      <c r="S360" t="s">
        <v>34</v>
      </c>
      <c r="T360" t="s">
        <v>30</v>
      </c>
      <c r="U360">
        <f t="shared" si="25"/>
        <v>39812</v>
      </c>
      <c r="V360" t="str">
        <f t="shared" si="26"/>
        <v>Needs Improvement</v>
      </c>
      <c r="W360" t="str">
        <f t="shared" si="27"/>
        <v>Normal</v>
      </c>
      <c r="X360" t="str">
        <f t="shared" si="28"/>
        <v>Junior</v>
      </c>
      <c r="Y360" t="str">
        <f t="shared" si="29"/>
        <v>25-34</v>
      </c>
    </row>
    <row r="361" spans="1:25" x14ac:dyDescent="0.3">
      <c r="A361">
        <v>1360</v>
      </c>
      <c r="B361" t="s">
        <v>43</v>
      </c>
      <c r="C361" t="s">
        <v>21</v>
      </c>
      <c r="D361">
        <v>28</v>
      </c>
      <c r="E361" t="s">
        <v>22</v>
      </c>
      <c r="F361" t="s">
        <v>66</v>
      </c>
      <c r="G361" t="s">
        <v>59</v>
      </c>
      <c r="H361" t="s">
        <v>418</v>
      </c>
      <c r="I361">
        <v>8</v>
      </c>
      <c r="J361">
        <v>73920</v>
      </c>
      <c r="K361">
        <v>4.3</v>
      </c>
      <c r="L361">
        <v>92.1</v>
      </c>
      <c r="M361">
        <v>12</v>
      </c>
      <c r="N361">
        <v>54</v>
      </c>
      <c r="O361">
        <v>14426</v>
      </c>
      <c r="P361" t="s">
        <v>41</v>
      </c>
      <c r="Q361" t="s">
        <v>48</v>
      </c>
      <c r="R361" t="s">
        <v>58</v>
      </c>
      <c r="S361" t="s">
        <v>29</v>
      </c>
      <c r="T361" t="s">
        <v>50</v>
      </c>
      <c r="U361">
        <f t="shared" si="25"/>
        <v>88346</v>
      </c>
      <c r="V361" t="str">
        <f t="shared" si="26"/>
        <v>Needs Improvement</v>
      </c>
      <c r="W361" t="str">
        <f t="shared" si="27"/>
        <v>Normal</v>
      </c>
      <c r="X361" t="str">
        <f t="shared" si="28"/>
        <v>Senior</v>
      </c>
      <c r="Y361" t="str">
        <f t="shared" si="29"/>
        <v>25-34</v>
      </c>
    </row>
    <row r="362" spans="1:25" x14ac:dyDescent="0.3">
      <c r="A362">
        <v>1361</v>
      </c>
      <c r="B362" t="s">
        <v>111</v>
      </c>
      <c r="C362" t="s">
        <v>21</v>
      </c>
      <c r="D362">
        <v>40</v>
      </c>
      <c r="E362" t="s">
        <v>91</v>
      </c>
      <c r="F362" t="s">
        <v>92</v>
      </c>
      <c r="G362" t="s">
        <v>45</v>
      </c>
      <c r="H362" t="s">
        <v>419</v>
      </c>
      <c r="I362">
        <v>4</v>
      </c>
      <c r="J362">
        <v>72680</v>
      </c>
      <c r="K362">
        <v>2.6</v>
      </c>
      <c r="L362">
        <v>92.1</v>
      </c>
      <c r="M362">
        <v>19</v>
      </c>
      <c r="N362">
        <v>58</v>
      </c>
      <c r="O362">
        <v>13809</v>
      </c>
      <c r="P362" t="s">
        <v>33</v>
      </c>
      <c r="Q362" t="s">
        <v>27</v>
      </c>
      <c r="R362" t="s">
        <v>42</v>
      </c>
      <c r="S362" t="s">
        <v>29</v>
      </c>
      <c r="T362" t="s">
        <v>35</v>
      </c>
      <c r="U362">
        <f t="shared" si="25"/>
        <v>86489</v>
      </c>
      <c r="V362" t="str">
        <f t="shared" si="26"/>
        <v>Needs Improvement</v>
      </c>
      <c r="W362" t="str">
        <f t="shared" si="27"/>
        <v>Normal</v>
      </c>
      <c r="X362" t="str">
        <f t="shared" si="28"/>
        <v>Mid</v>
      </c>
      <c r="Y362" t="str">
        <f t="shared" si="29"/>
        <v>35-44</v>
      </c>
    </row>
    <row r="363" spans="1:25" x14ac:dyDescent="0.3">
      <c r="A363">
        <v>1362</v>
      </c>
      <c r="B363" t="s">
        <v>68</v>
      </c>
      <c r="C363" t="s">
        <v>21</v>
      </c>
      <c r="D363">
        <v>39</v>
      </c>
      <c r="E363" t="s">
        <v>62</v>
      </c>
      <c r="F363" t="s">
        <v>63</v>
      </c>
      <c r="G363" t="s">
        <v>59</v>
      </c>
      <c r="H363" t="s">
        <v>420</v>
      </c>
      <c r="I363">
        <v>2</v>
      </c>
      <c r="J363">
        <v>59763</v>
      </c>
      <c r="K363">
        <v>4.0999999999999996</v>
      </c>
      <c r="L363">
        <v>93.9</v>
      </c>
      <c r="M363">
        <v>24</v>
      </c>
      <c r="N363">
        <v>8</v>
      </c>
      <c r="O363">
        <v>14073</v>
      </c>
      <c r="P363" t="s">
        <v>53</v>
      </c>
      <c r="Q363" t="s">
        <v>27</v>
      </c>
      <c r="R363" t="s">
        <v>58</v>
      </c>
      <c r="S363" t="s">
        <v>49</v>
      </c>
      <c r="T363" t="s">
        <v>30</v>
      </c>
      <c r="U363">
        <f t="shared" si="25"/>
        <v>73836</v>
      </c>
      <c r="V363" t="str">
        <f t="shared" si="26"/>
        <v>Needs Improvement</v>
      </c>
      <c r="W363" t="str">
        <f t="shared" si="27"/>
        <v>High</v>
      </c>
      <c r="X363" t="str">
        <f t="shared" si="28"/>
        <v>Junior</v>
      </c>
      <c r="Y363" t="str">
        <f t="shared" si="29"/>
        <v>35-44</v>
      </c>
    </row>
    <row r="364" spans="1:25" x14ac:dyDescent="0.3">
      <c r="A364">
        <v>1363</v>
      </c>
      <c r="B364" t="s">
        <v>54</v>
      </c>
      <c r="C364" t="s">
        <v>37</v>
      </c>
      <c r="D364">
        <v>30</v>
      </c>
      <c r="E364" t="s">
        <v>91</v>
      </c>
      <c r="F364" t="s">
        <v>92</v>
      </c>
      <c r="G364" t="s">
        <v>45</v>
      </c>
      <c r="H364" t="s">
        <v>421</v>
      </c>
      <c r="I364">
        <v>3</v>
      </c>
      <c r="J364">
        <v>61664</v>
      </c>
      <c r="K364">
        <v>4.9000000000000004</v>
      </c>
      <c r="L364">
        <v>94.2</v>
      </c>
      <c r="M364">
        <v>24</v>
      </c>
      <c r="N364">
        <v>7</v>
      </c>
      <c r="O364">
        <v>14640</v>
      </c>
      <c r="P364" t="s">
        <v>41</v>
      </c>
      <c r="Q364" t="s">
        <v>48</v>
      </c>
      <c r="R364" t="s">
        <v>70</v>
      </c>
      <c r="S364" t="s">
        <v>49</v>
      </c>
      <c r="T364" t="s">
        <v>35</v>
      </c>
      <c r="U364">
        <f t="shared" si="25"/>
        <v>76304</v>
      </c>
      <c r="V364" t="str">
        <f t="shared" si="26"/>
        <v>Needs Improvement</v>
      </c>
      <c r="W364" t="str">
        <f t="shared" si="27"/>
        <v>High</v>
      </c>
      <c r="X364" t="str">
        <f t="shared" si="28"/>
        <v>Mid</v>
      </c>
      <c r="Y364" t="str">
        <f t="shared" si="29"/>
        <v>25-34</v>
      </c>
    </row>
    <row r="365" spans="1:25" x14ac:dyDescent="0.3">
      <c r="A365">
        <v>1364</v>
      </c>
      <c r="B365" t="s">
        <v>75</v>
      </c>
      <c r="C365" t="s">
        <v>21</v>
      </c>
      <c r="D365">
        <v>29</v>
      </c>
      <c r="E365" t="s">
        <v>38</v>
      </c>
      <c r="F365" t="s">
        <v>39</v>
      </c>
      <c r="G365" t="s">
        <v>24</v>
      </c>
      <c r="H365" t="s">
        <v>422</v>
      </c>
      <c r="I365">
        <v>6</v>
      </c>
      <c r="J365">
        <v>89583</v>
      </c>
      <c r="K365">
        <v>4.8</v>
      </c>
      <c r="L365">
        <v>91.9</v>
      </c>
      <c r="M365">
        <v>4</v>
      </c>
      <c r="N365">
        <v>15</v>
      </c>
      <c r="O365">
        <v>7387</v>
      </c>
      <c r="P365" t="s">
        <v>26</v>
      </c>
      <c r="Q365" t="s">
        <v>48</v>
      </c>
      <c r="R365" t="s">
        <v>70</v>
      </c>
      <c r="S365" t="s">
        <v>29</v>
      </c>
      <c r="T365" t="s">
        <v>50</v>
      </c>
      <c r="U365">
        <f t="shared" si="25"/>
        <v>96970</v>
      </c>
      <c r="V365" t="str">
        <f t="shared" si="26"/>
        <v>Needs Improvement</v>
      </c>
      <c r="W365" t="str">
        <f t="shared" si="27"/>
        <v>Normal</v>
      </c>
      <c r="X365" t="str">
        <f t="shared" si="28"/>
        <v>Mid</v>
      </c>
      <c r="Y365" t="str">
        <f t="shared" si="29"/>
        <v>25-34</v>
      </c>
    </row>
    <row r="366" spans="1:25" x14ac:dyDescent="0.3">
      <c r="A366">
        <v>1365</v>
      </c>
      <c r="B366" t="s">
        <v>78</v>
      </c>
      <c r="C366" t="s">
        <v>37</v>
      </c>
      <c r="D366">
        <v>41</v>
      </c>
      <c r="E366" t="s">
        <v>91</v>
      </c>
      <c r="F366" t="s">
        <v>101</v>
      </c>
      <c r="G366" t="s">
        <v>45</v>
      </c>
      <c r="H366" t="s">
        <v>423</v>
      </c>
      <c r="I366">
        <v>0</v>
      </c>
      <c r="J366">
        <v>62252</v>
      </c>
      <c r="K366">
        <v>3.5</v>
      </c>
      <c r="L366">
        <v>98.9</v>
      </c>
      <c r="M366">
        <v>22</v>
      </c>
      <c r="N366">
        <v>25</v>
      </c>
      <c r="O366">
        <v>4986</v>
      </c>
      <c r="P366" t="s">
        <v>47</v>
      </c>
      <c r="Q366" t="s">
        <v>27</v>
      </c>
      <c r="R366" t="s">
        <v>28</v>
      </c>
      <c r="S366" t="s">
        <v>49</v>
      </c>
      <c r="T366" t="s">
        <v>30</v>
      </c>
      <c r="U366">
        <f t="shared" si="25"/>
        <v>67238</v>
      </c>
      <c r="V366" t="str">
        <f t="shared" si="26"/>
        <v>Excellent</v>
      </c>
      <c r="W366" t="str">
        <f t="shared" si="27"/>
        <v>High</v>
      </c>
      <c r="X366" t="str">
        <f t="shared" si="28"/>
        <v>Junior</v>
      </c>
      <c r="Y366" t="str">
        <f t="shared" si="29"/>
        <v>35-44</v>
      </c>
    </row>
    <row r="367" spans="1:25" x14ac:dyDescent="0.3">
      <c r="A367">
        <v>1366</v>
      </c>
      <c r="B367" t="s">
        <v>124</v>
      </c>
      <c r="C367" t="s">
        <v>37</v>
      </c>
      <c r="D367">
        <v>34</v>
      </c>
      <c r="E367" t="s">
        <v>22</v>
      </c>
      <c r="F367" t="s">
        <v>23</v>
      </c>
      <c r="G367" t="s">
        <v>24</v>
      </c>
      <c r="H367" t="s">
        <v>424</v>
      </c>
      <c r="I367">
        <v>3</v>
      </c>
      <c r="J367">
        <v>27337</v>
      </c>
      <c r="K367">
        <v>4</v>
      </c>
      <c r="L367">
        <v>97.2</v>
      </c>
      <c r="M367">
        <v>9</v>
      </c>
      <c r="N367">
        <v>27</v>
      </c>
      <c r="O367">
        <v>9739</v>
      </c>
      <c r="P367" t="s">
        <v>41</v>
      </c>
      <c r="Q367" t="s">
        <v>48</v>
      </c>
      <c r="R367" t="s">
        <v>58</v>
      </c>
      <c r="S367" t="s">
        <v>34</v>
      </c>
      <c r="T367" t="s">
        <v>35</v>
      </c>
      <c r="U367">
        <f t="shared" si="25"/>
        <v>37076</v>
      </c>
      <c r="V367" t="str">
        <f t="shared" si="26"/>
        <v>Excellent</v>
      </c>
      <c r="W367" t="str">
        <f t="shared" si="27"/>
        <v>Normal</v>
      </c>
      <c r="X367" t="str">
        <f t="shared" si="28"/>
        <v>Mid</v>
      </c>
      <c r="Y367" t="str">
        <f t="shared" si="29"/>
        <v>25-34</v>
      </c>
    </row>
    <row r="368" spans="1:25" x14ac:dyDescent="0.3">
      <c r="A368">
        <v>1367</v>
      </c>
      <c r="B368" t="s">
        <v>68</v>
      </c>
      <c r="C368" t="s">
        <v>21</v>
      </c>
      <c r="D368">
        <v>27</v>
      </c>
      <c r="E368" t="s">
        <v>62</v>
      </c>
      <c r="F368" t="s">
        <v>97</v>
      </c>
      <c r="G368" t="s">
        <v>45</v>
      </c>
      <c r="H368" t="s">
        <v>425</v>
      </c>
      <c r="I368">
        <v>7</v>
      </c>
      <c r="J368">
        <v>55014</v>
      </c>
      <c r="K368">
        <v>2.5</v>
      </c>
      <c r="L368">
        <v>82.7</v>
      </c>
      <c r="M368">
        <v>25</v>
      </c>
      <c r="N368">
        <v>54</v>
      </c>
      <c r="O368">
        <v>2804</v>
      </c>
      <c r="P368" t="s">
        <v>41</v>
      </c>
      <c r="Q368" t="s">
        <v>27</v>
      </c>
      <c r="R368" t="s">
        <v>42</v>
      </c>
      <c r="S368" t="s">
        <v>49</v>
      </c>
      <c r="T368" t="s">
        <v>50</v>
      </c>
      <c r="U368">
        <f t="shared" si="25"/>
        <v>57818</v>
      </c>
      <c r="V368" t="str">
        <f t="shared" si="26"/>
        <v>Needs Improvement</v>
      </c>
      <c r="W368" t="str">
        <f t="shared" si="27"/>
        <v>High</v>
      </c>
      <c r="X368" t="str">
        <f t="shared" si="28"/>
        <v>Senior</v>
      </c>
      <c r="Y368" t="str">
        <f t="shared" si="29"/>
        <v>25-34</v>
      </c>
    </row>
    <row r="369" spans="1:25" x14ac:dyDescent="0.3">
      <c r="A369">
        <v>1368</v>
      </c>
      <c r="B369" t="s">
        <v>83</v>
      </c>
      <c r="C369" t="s">
        <v>21</v>
      </c>
      <c r="D369">
        <v>34</v>
      </c>
      <c r="E369" t="s">
        <v>22</v>
      </c>
      <c r="F369" t="s">
        <v>23</v>
      </c>
      <c r="G369" t="s">
        <v>51</v>
      </c>
      <c r="H369" t="s">
        <v>426</v>
      </c>
      <c r="I369">
        <v>3</v>
      </c>
      <c r="J369">
        <v>63989</v>
      </c>
      <c r="K369">
        <v>3.1</v>
      </c>
      <c r="L369">
        <v>88.9</v>
      </c>
      <c r="M369">
        <v>9</v>
      </c>
      <c r="N369">
        <v>33</v>
      </c>
      <c r="O369">
        <v>12777</v>
      </c>
      <c r="P369" t="s">
        <v>41</v>
      </c>
      <c r="Q369" t="s">
        <v>27</v>
      </c>
      <c r="R369" t="s">
        <v>28</v>
      </c>
      <c r="S369" t="s">
        <v>49</v>
      </c>
      <c r="T369" t="s">
        <v>35</v>
      </c>
      <c r="U369">
        <f t="shared" si="25"/>
        <v>76766</v>
      </c>
      <c r="V369" t="str">
        <f t="shared" si="26"/>
        <v>Needs Improvement</v>
      </c>
      <c r="W369" t="str">
        <f t="shared" si="27"/>
        <v>Normal</v>
      </c>
      <c r="X369" t="str">
        <f t="shared" si="28"/>
        <v>Mid</v>
      </c>
      <c r="Y369" t="str">
        <f t="shared" si="29"/>
        <v>25-34</v>
      </c>
    </row>
    <row r="370" spans="1:25" x14ac:dyDescent="0.3">
      <c r="A370">
        <v>1369</v>
      </c>
      <c r="B370" t="s">
        <v>78</v>
      </c>
      <c r="C370" t="s">
        <v>37</v>
      </c>
      <c r="D370">
        <v>25</v>
      </c>
      <c r="E370" t="s">
        <v>62</v>
      </c>
      <c r="F370" t="s">
        <v>97</v>
      </c>
      <c r="G370" t="s">
        <v>24</v>
      </c>
      <c r="H370" t="s">
        <v>427</v>
      </c>
      <c r="I370">
        <v>4</v>
      </c>
      <c r="J370">
        <v>71946</v>
      </c>
      <c r="K370">
        <v>2.5</v>
      </c>
      <c r="L370">
        <v>88.9</v>
      </c>
      <c r="M370">
        <v>16</v>
      </c>
      <c r="N370">
        <v>40</v>
      </c>
      <c r="O370">
        <v>1464</v>
      </c>
      <c r="P370" t="s">
        <v>41</v>
      </c>
      <c r="Q370" t="s">
        <v>27</v>
      </c>
      <c r="R370" t="s">
        <v>42</v>
      </c>
      <c r="S370" t="s">
        <v>29</v>
      </c>
      <c r="T370" t="s">
        <v>35</v>
      </c>
      <c r="U370">
        <f t="shared" si="25"/>
        <v>73410</v>
      </c>
      <c r="V370" t="str">
        <f t="shared" si="26"/>
        <v>Needs Improvement</v>
      </c>
      <c r="W370" t="str">
        <f t="shared" si="27"/>
        <v>Normal</v>
      </c>
      <c r="X370" t="str">
        <f t="shared" si="28"/>
        <v>Mid</v>
      </c>
      <c r="Y370" t="str">
        <f t="shared" si="29"/>
        <v>25-34</v>
      </c>
    </row>
    <row r="371" spans="1:25" x14ac:dyDescent="0.3">
      <c r="A371">
        <v>1370</v>
      </c>
      <c r="B371" t="s">
        <v>99</v>
      </c>
      <c r="C371" t="s">
        <v>37</v>
      </c>
      <c r="D371">
        <v>44</v>
      </c>
      <c r="E371" t="s">
        <v>55</v>
      </c>
      <c r="F371" t="s">
        <v>79</v>
      </c>
      <c r="G371" t="s">
        <v>24</v>
      </c>
      <c r="H371" t="s">
        <v>428</v>
      </c>
      <c r="I371">
        <v>0</v>
      </c>
      <c r="J371">
        <v>32249</v>
      </c>
      <c r="K371">
        <v>4.9000000000000004</v>
      </c>
      <c r="L371">
        <v>84.9</v>
      </c>
      <c r="M371">
        <v>5</v>
      </c>
      <c r="N371">
        <v>60</v>
      </c>
      <c r="O371">
        <v>8327</v>
      </c>
      <c r="P371" t="s">
        <v>47</v>
      </c>
      <c r="Q371" t="s">
        <v>27</v>
      </c>
      <c r="R371" t="s">
        <v>70</v>
      </c>
      <c r="S371" t="s">
        <v>34</v>
      </c>
      <c r="T371" t="s">
        <v>30</v>
      </c>
      <c r="U371">
        <f t="shared" si="25"/>
        <v>40576</v>
      </c>
      <c r="V371" t="str">
        <f t="shared" si="26"/>
        <v>Needs Improvement</v>
      </c>
      <c r="W371" t="str">
        <f t="shared" si="27"/>
        <v>Normal</v>
      </c>
      <c r="X371" t="str">
        <f t="shared" si="28"/>
        <v>Junior</v>
      </c>
      <c r="Y371" t="str">
        <f t="shared" si="29"/>
        <v>35-44</v>
      </c>
    </row>
    <row r="372" spans="1:25" x14ac:dyDescent="0.3">
      <c r="A372">
        <v>1371</v>
      </c>
      <c r="B372" t="s">
        <v>88</v>
      </c>
      <c r="C372" t="s">
        <v>21</v>
      </c>
      <c r="D372">
        <v>35</v>
      </c>
      <c r="E372" t="s">
        <v>62</v>
      </c>
      <c r="F372" t="s">
        <v>63</v>
      </c>
      <c r="G372" t="s">
        <v>59</v>
      </c>
      <c r="H372" t="s">
        <v>429</v>
      </c>
      <c r="I372">
        <v>8</v>
      </c>
      <c r="J372">
        <v>73981</v>
      </c>
      <c r="K372">
        <v>4.8</v>
      </c>
      <c r="L372">
        <v>89.1</v>
      </c>
      <c r="M372">
        <v>11</v>
      </c>
      <c r="N372">
        <v>31</v>
      </c>
      <c r="O372">
        <v>11098</v>
      </c>
      <c r="P372" t="s">
        <v>47</v>
      </c>
      <c r="Q372" t="s">
        <v>27</v>
      </c>
      <c r="R372" t="s">
        <v>70</v>
      </c>
      <c r="S372" t="s">
        <v>29</v>
      </c>
      <c r="T372" t="s">
        <v>50</v>
      </c>
      <c r="U372">
        <f t="shared" si="25"/>
        <v>85079</v>
      </c>
      <c r="V372" t="str">
        <f t="shared" si="26"/>
        <v>Needs Improvement</v>
      </c>
      <c r="W372" t="str">
        <f t="shared" si="27"/>
        <v>Normal</v>
      </c>
      <c r="X372" t="str">
        <f t="shared" si="28"/>
        <v>Senior</v>
      </c>
      <c r="Y372" t="str">
        <f t="shared" si="29"/>
        <v>35-44</v>
      </c>
    </row>
    <row r="373" spans="1:25" x14ac:dyDescent="0.3">
      <c r="A373">
        <v>1372</v>
      </c>
      <c r="B373" t="s">
        <v>121</v>
      </c>
      <c r="C373" t="s">
        <v>37</v>
      </c>
      <c r="D373">
        <v>22</v>
      </c>
      <c r="E373" t="s">
        <v>22</v>
      </c>
      <c r="F373" t="s">
        <v>66</v>
      </c>
      <c r="G373" t="s">
        <v>51</v>
      </c>
      <c r="H373" t="s">
        <v>430</v>
      </c>
      <c r="I373">
        <v>6</v>
      </c>
      <c r="J373">
        <v>75200</v>
      </c>
      <c r="K373">
        <v>2.9</v>
      </c>
      <c r="L373">
        <v>86.4</v>
      </c>
      <c r="M373">
        <v>22</v>
      </c>
      <c r="N373">
        <v>7</v>
      </c>
      <c r="O373">
        <v>1291</v>
      </c>
      <c r="P373" t="s">
        <v>47</v>
      </c>
      <c r="Q373" t="s">
        <v>27</v>
      </c>
      <c r="R373" t="s">
        <v>42</v>
      </c>
      <c r="S373" t="s">
        <v>29</v>
      </c>
      <c r="T373" t="s">
        <v>50</v>
      </c>
      <c r="U373">
        <f t="shared" si="25"/>
        <v>76491</v>
      </c>
      <c r="V373" t="str">
        <f t="shared" si="26"/>
        <v>Needs Improvement</v>
      </c>
      <c r="W373" t="str">
        <f t="shared" si="27"/>
        <v>High</v>
      </c>
      <c r="X373" t="str">
        <f t="shared" si="28"/>
        <v>Mid</v>
      </c>
      <c r="Y373" t="str">
        <f t="shared" si="29"/>
        <v>20-24</v>
      </c>
    </row>
    <row r="374" spans="1:25" x14ac:dyDescent="0.3">
      <c r="A374">
        <v>1373</v>
      </c>
      <c r="B374" t="s">
        <v>20</v>
      </c>
      <c r="C374" t="s">
        <v>21</v>
      </c>
      <c r="D374">
        <v>44</v>
      </c>
      <c r="E374" t="s">
        <v>62</v>
      </c>
      <c r="F374" t="s">
        <v>63</v>
      </c>
      <c r="G374" t="s">
        <v>24</v>
      </c>
      <c r="H374" t="s">
        <v>431</v>
      </c>
      <c r="I374">
        <v>5</v>
      </c>
      <c r="J374">
        <v>83804</v>
      </c>
      <c r="K374">
        <v>2.9</v>
      </c>
      <c r="L374">
        <v>91.5</v>
      </c>
      <c r="M374">
        <v>16</v>
      </c>
      <c r="N374">
        <v>17</v>
      </c>
      <c r="O374">
        <v>4927</v>
      </c>
      <c r="P374" t="s">
        <v>33</v>
      </c>
      <c r="Q374" t="s">
        <v>48</v>
      </c>
      <c r="R374" t="s">
        <v>42</v>
      </c>
      <c r="S374" t="s">
        <v>29</v>
      </c>
      <c r="T374" t="s">
        <v>35</v>
      </c>
      <c r="U374">
        <f t="shared" si="25"/>
        <v>88731</v>
      </c>
      <c r="V374" t="str">
        <f t="shared" si="26"/>
        <v>Needs Improvement</v>
      </c>
      <c r="W374" t="str">
        <f t="shared" si="27"/>
        <v>Normal</v>
      </c>
      <c r="X374" t="str">
        <f t="shared" si="28"/>
        <v>Mid</v>
      </c>
      <c r="Y374" t="str">
        <f t="shared" si="29"/>
        <v>35-44</v>
      </c>
    </row>
    <row r="375" spans="1:25" x14ac:dyDescent="0.3">
      <c r="A375">
        <v>1374</v>
      </c>
      <c r="B375" t="s">
        <v>73</v>
      </c>
      <c r="C375" t="s">
        <v>37</v>
      </c>
      <c r="D375">
        <v>41</v>
      </c>
      <c r="E375" t="s">
        <v>22</v>
      </c>
      <c r="F375" t="s">
        <v>66</v>
      </c>
      <c r="G375" t="s">
        <v>24</v>
      </c>
      <c r="H375" t="s">
        <v>432</v>
      </c>
      <c r="I375">
        <v>9</v>
      </c>
      <c r="J375">
        <v>27045</v>
      </c>
      <c r="K375">
        <v>4.9000000000000004</v>
      </c>
      <c r="L375">
        <v>95.9</v>
      </c>
      <c r="M375">
        <v>5</v>
      </c>
      <c r="N375">
        <v>31</v>
      </c>
      <c r="O375">
        <v>7679</v>
      </c>
      <c r="P375" t="s">
        <v>41</v>
      </c>
      <c r="Q375" t="s">
        <v>27</v>
      </c>
      <c r="R375" t="s">
        <v>70</v>
      </c>
      <c r="S375" t="s">
        <v>34</v>
      </c>
      <c r="T375" t="s">
        <v>50</v>
      </c>
      <c r="U375">
        <f t="shared" si="25"/>
        <v>34724</v>
      </c>
      <c r="V375" t="str">
        <f t="shared" si="26"/>
        <v>Excellent</v>
      </c>
      <c r="W375" t="str">
        <f t="shared" si="27"/>
        <v>Normal</v>
      </c>
      <c r="X375" t="str">
        <f t="shared" si="28"/>
        <v>Senior</v>
      </c>
      <c r="Y375" t="str">
        <f t="shared" si="29"/>
        <v>35-44</v>
      </c>
    </row>
    <row r="376" spans="1:25" x14ac:dyDescent="0.3">
      <c r="A376">
        <v>1375</v>
      </c>
      <c r="B376" t="s">
        <v>20</v>
      </c>
      <c r="C376" t="s">
        <v>21</v>
      </c>
      <c r="D376">
        <v>24</v>
      </c>
      <c r="E376" t="s">
        <v>38</v>
      </c>
      <c r="F376" t="s">
        <v>44</v>
      </c>
      <c r="G376" t="s">
        <v>64</v>
      </c>
      <c r="H376" t="s">
        <v>433</v>
      </c>
      <c r="I376">
        <v>4</v>
      </c>
      <c r="J376">
        <v>77852</v>
      </c>
      <c r="K376">
        <v>4.0999999999999996</v>
      </c>
      <c r="L376">
        <v>88</v>
      </c>
      <c r="M376">
        <v>10</v>
      </c>
      <c r="N376">
        <v>32</v>
      </c>
      <c r="O376">
        <v>14864</v>
      </c>
      <c r="P376" t="s">
        <v>26</v>
      </c>
      <c r="Q376" t="s">
        <v>27</v>
      </c>
      <c r="R376" t="s">
        <v>58</v>
      </c>
      <c r="S376" t="s">
        <v>29</v>
      </c>
      <c r="T376" t="s">
        <v>35</v>
      </c>
      <c r="U376">
        <f t="shared" si="25"/>
        <v>92716</v>
      </c>
      <c r="V376" t="str">
        <f t="shared" si="26"/>
        <v>Needs Improvement</v>
      </c>
      <c r="W376" t="str">
        <f t="shared" si="27"/>
        <v>Normal</v>
      </c>
      <c r="X376" t="str">
        <f t="shared" si="28"/>
        <v>Mid</v>
      </c>
      <c r="Y376" t="str">
        <f t="shared" si="29"/>
        <v>20-24</v>
      </c>
    </row>
    <row r="377" spans="1:25" x14ac:dyDescent="0.3">
      <c r="A377">
        <v>1376</v>
      </c>
      <c r="B377" t="s">
        <v>68</v>
      </c>
      <c r="C377" t="s">
        <v>37</v>
      </c>
      <c r="D377">
        <v>23</v>
      </c>
      <c r="E377" t="s">
        <v>55</v>
      </c>
      <c r="F377" t="s">
        <v>79</v>
      </c>
      <c r="G377" t="s">
        <v>24</v>
      </c>
      <c r="H377" t="s">
        <v>285</v>
      </c>
      <c r="I377">
        <v>2</v>
      </c>
      <c r="J377">
        <v>58340</v>
      </c>
      <c r="K377">
        <v>2.8</v>
      </c>
      <c r="L377">
        <v>86.6</v>
      </c>
      <c r="M377">
        <v>23</v>
      </c>
      <c r="N377">
        <v>44</v>
      </c>
      <c r="O377">
        <v>1322</v>
      </c>
      <c r="P377" t="s">
        <v>26</v>
      </c>
      <c r="Q377" t="s">
        <v>48</v>
      </c>
      <c r="R377" t="s">
        <v>42</v>
      </c>
      <c r="S377" t="s">
        <v>49</v>
      </c>
      <c r="T377" t="s">
        <v>30</v>
      </c>
      <c r="U377">
        <f t="shared" si="25"/>
        <v>59662</v>
      </c>
      <c r="V377" t="str">
        <f t="shared" si="26"/>
        <v>Needs Improvement</v>
      </c>
      <c r="W377" t="str">
        <f t="shared" si="27"/>
        <v>High</v>
      </c>
      <c r="X377" t="str">
        <f t="shared" si="28"/>
        <v>Junior</v>
      </c>
      <c r="Y377" t="str">
        <f t="shared" si="29"/>
        <v>20-24</v>
      </c>
    </row>
    <row r="378" spans="1:25" x14ac:dyDescent="0.3">
      <c r="A378">
        <v>1377</v>
      </c>
      <c r="B378" t="s">
        <v>83</v>
      </c>
      <c r="C378" t="s">
        <v>37</v>
      </c>
      <c r="D378">
        <v>35</v>
      </c>
      <c r="E378" t="s">
        <v>55</v>
      </c>
      <c r="F378" t="s">
        <v>56</v>
      </c>
      <c r="G378" t="s">
        <v>59</v>
      </c>
      <c r="H378" t="s">
        <v>434</v>
      </c>
      <c r="I378">
        <v>7</v>
      </c>
      <c r="J378">
        <v>52242</v>
      </c>
      <c r="K378">
        <v>3.9</v>
      </c>
      <c r="L378">
        <v>84.3</v>
      </c>
      <c r="M378">
        <v>5</v>
      </c>
      <c r="N378">
        <v>39</v>
      </c>
      <c r="O378">
        <v>5420</v>
      </c>
      <c r="P378" t="s">
        <v>53</v>
      </c>
      <c r="Q378" t="s">
        <v>48</v>
      </c>
      <c r="R378" t="s">
        <v>28</v>
      </c>
      <c r="S378" t="s">
        <v>49</v>
      </c>
      <c r="T378" t="s">
        <v>50</v>
      </c>
      <c r="U378">
        <f t="shared" si="25"/>
        <v>57662</v>
      </c>
      <c r="V378" t="str">
        <f t="shared" si="26"/>
        <v>Needs Improvement</v>
      </c>
      <c r="W378" t="str">
        <f t="shared" si="27"/>
        <v>Normal</v>
      </c>
      <c r="X378" t="str">
        <f t="shared" si="28"/>
        <v>Senior</v>
      </c>
      <c r="Y378" t="str">
        <f t="shared" si="29"/>
        <v>35-44</v>
      </c>
    </row>
    <row r="379" spans="1:25" x14ac:dyDescent="0.3">
      <c r="A379">
        <v>1378</v>
      </c>
      <c r="B379" t="s">
        <v>75</v>
      </c>
      <c r="C379" t="s">
        <v>21</v>
      </c>
      <c r="D379">
        <v>28</v>
      </c>
      <c r="E379" t="s">
        <v>22</v>
      </c>
      <c r="F379" t="s">
        <v>23</v>
      </c>
      <c r="G379" t="s">
        <v>45</v>
      </c>
      <c r="H379" t="s">
        <v>435</v>
      </c>
      <c r="I379">
        <v>0</v>
      </c>
      <c r="J379">
        <v>34263</v>
      </c>
      <c r="K379">
        <v>3.2</v>
      </c>
      <c r="L379">
        <v>98.4</v>
      </c>
      <c r="M379">
        <v>21</v>
      </c>
      <c r="N379">
        <v>55</v>
      </c>
      <c r="O379">
        <v>11007</v>
      </c>
      <c r="P379" t="s">
        <v>41</v>
      </c>
      <c r="Q379" t="s">
        <v>48</v>
      </c>
      <c r="R379" t="s">
        <v>28</v>
      </c>
      <c r="S379" t="s">
        <v>34</v>
      </c>
      <c r="T379" t="s">
        <v>30</v>
      </c>
      <c r="U379">
        <f t="shared" si="25"/>
        <v>45270</v>
      </c>
      <c r="V379" t="str">
        <f t="shared" si="26"/>
        <v>Excellent</v>
      </c>
      <c r="W379" t="str">
        <f t="shared" si="27"/>
        <v>High</v>
      </c>
      <c r="X379" t="str">
        <f t="shared" si="28"/>
        <v>Junior</v>
      </c>
      <c r="Y379" t="str">
        <f t="shared" si="29"/>
        <v>25-34</v>
      </c>
    </row>
    <row r="380" spans="1:25" x14ac:dyDescent="0.3">
      <c r="A380">
        <v>1379</v>
      </c>
      <c r="B380" t="s">
        <v>54</v>
      </c>
      <c r="C380" t="s">
        <v>37</v>
      </c>
      <c r="D380">
        <v>30</v>
      </c>
      <c r="E380" t="s">
        <v>91</v>
      </c>
      <c r="F380" t="s">
        <v>101</v>
      </c>
      <c r="G380" t="s">
        <v>45</v>
      </c>
      <c r="H380" t="s">
        <v>238</v>
      </c>
      <c r="I380">
        <v>0</v>
      </c>
      <c r="J380">
        <v>65553</v>
      </c>
      <c r="K380">
        <v>4.0999999999999996</v>
      </c>
      <c r="L380">
        <v>87.9</v>
      </c>
      <c r="M380">
        <v>15</v>
      </c>
      <c r="N380">
        <v>53</v>
      </c>
      <c r="O380">
        <v>3394</v>
      </c>
      <c r="P380" t="s">
        <v>41</v>
      </c>
      <c r="Q380" t="s">
        <v>48</v>
      </c>
      <c r="R380" t="s">
        <v>58</v>
      </c>
      <c r="S380" t="s">
        <v>49</v>
      </c>
      <c r="T380" t="s">
        <v>30</v>
      </c>
      <c r="U380">
        <f t="shared" si="25"/>
        <v>68947</v>
      </c>
      <c r="V380" t="str">
        <f t="shared" si="26"/>
        <v>Needs Improvement</v>
      </c>
      <c r="W380" t="str">
        <f t="shared" si="27"/>
        <v>Normal</v>
      </c>
      <c r="X380" t="str">
        <f t="shared" si="28"/>
        <v>Junior</v>
      </c>
      <c r="Y380" t="str">
        <f t="shared" si="29"/>
        <v>25-34</v>
      </c>
    </row>
    <row r="381" spans="1:25" x14ac:dyDescent="0.3">
      <c r="A381">
        <v>1380</v>
      </c>
      <c r="B381" t="s">
        <v>121</v>
      </c>
      <c r="C381" t="s">
        <v>37</v>
      </c>
      <c r="D381">
        <v>30</v>
      </c>
      <c r="E381" t="s">
        <v>38</v>
      </c>
      <c r="F381" t="s">
        <v>39</v>
      </c>
      <c r="G381" t="s">
        <v>24</v>
      </c>
      <c r="H381" t="s">
        <v>436</v>
      </c>
      <c r="I381">
        <v>0</v>
      </c>
      <c r="J381">
        <v>93544</v>
      </c>
      <c r="K381">
        <v>2.9</v>
      </c>
      <c r="L381">
        <v>95.9</v>
      </c>
      <c r="M381">
        <v>23</v>
      </c>
      <c r="N381">
        <v>46</v>
      </c>
      <c r="O381">
        <v>13135</v>
      </c>
      <c r="P381" t="s">
        <v>47</v>
      </c>
      <c r="Q381" t="s">
        <v>27</v>
      </c>
      <c r="R381" t="s">
        <v>42</v>
      </c>
      <c r="S381" t="s">
        <v>29</v>
      </c>
      <c r="T381" t="s">
        <v>30</v>
      </c>
      <c r="U381">
        <f t="shared" si="25"/>
        <v>106679</v>
      </c>
      <c r="V381" t="str">
        <f t="shared" si="26"/>
        <v>Excellent</v>
      </c>
      <c r="W381" t="str">
        <f t="shared" si="27"/>
        <v>High</v>
      </c>
      <c r="X381" t="str">
        <f t="shared" si="28"/>
        <v>Junior</v>
      </c>
      <c r="Y381" t="str">
        <f t="shared" si="29"/>
        <v>25-34</v>
      </c>
    </row>
    <row r="382" spans="1:25" x14ac:dyDescent="0.3">
      <c r="A382">
        <v>1381</v>
      </c>
      <c r="B382" t="s">
        <v>111</v>
      </c>
      <c r="C382" t="s">
        <v>21</v>
      </c>
      <c r="D382">
        <v>22</v>
      </c>
      <c r="E382" t="s">
        <v>62</v>
      </c>
      <c r="F382" t="s">
        <v>63</v>
      </c>
      <c r="G382" t="s">
        <v>51</v>
      </c>
      <c r="H382" t="s">
        <v>437</v>
      </c>
      <c r="I382">
        <v>1</v>
      </c>
      <c r="J382">
        <v>41683</v>
      </c>
      <c r="K382">
        <v>3.1</v>
      </c>
      <c r="L382">
        <v>95.5</v>
      </c>
      <c r="M382">
        <v>2</v>
      </c>
      <c r="N382">
        <v>31</v>
      </c>
      <c r="O382">
        <v>5472</v>
      </c>
      <c r="P382" t="s">
        <v>26</v>
      </c>
      <c r="Q382" t="s">
        <v>27</v>
      </c>
      <c r="R382" t="s">
        <v>28</v>
      </c>
      <c r="S382" t="s">
        <v>34</v>
      </c>
      <c r="T382" t="s">
        <v>30</v>
      </c>
      <c r="U382">
        <f t="shared" si="25"/>
        <v>47155</v>
      </c>
      <c r="V382" t="str">
        <f t="shared" si="26"/>
        <v>Excellent</v>
      </c>
      <c r="W382" t="str">
        <f t="shared" si="27"/>
        <v>Normal</v>
      </c>
      <c r="X382" t="str">
        <f t="shared" si="28"/>
        <v>Junior</v>
      </c>
      <c r="Y382" t="str">
        <f t="shared" si="29"/>
        <v>20-24</v>
      </c>
    </row>
    <row r="383" spans="1:25" x14ac:dyDescent="0.3">
      <c r="A383">
        <v>1382</v>
      </c>
      <c r="B383" t="s">
        <v>148</v>
      </c>
      <c r="C383" t="s">
        <v>21</v>
      </c>
      <c r="D383">
        <v>44</v>
      </c>
      <c r="E383" t="s">
        <v>38</v>
      </c>
      <c r="F383" t="s">
        <v>39</v>
      </c>
      <c r="G383" t="s">
        <v>64</v>
      </c>
      <c r="H383" t="s">
        <v>438</v>
      </c>
      <c r="I383">
        <v>3</v>
      </c>
      <c r="J383">
        <v>31533</v>
      </c>
      <c r="K383">
        <v>3.6</v>
      </c>
      <c r="L383">
        <v>82.1</v>
      </c>
      <c r="M383">
        <v>10</v>
      </c>
      <c r="N383">
        <v>26</v>
      </c>
      <c r="O383">
        <v>7545</v>
      </c>
      <c r="P383" t="s">
        <v>33</v>
      </c>
      <c r="Q383" t="s">
        <v>48</v>
      </c>
      <c r="R383" t="s">
        <v>28</v>
      </c>
      <c r="S383" t="s">
        <v>34</v>
      </c>
      <c r="T383" t="s">
        <v>35</v>
      </c>
      <c r="U383">
        <f t="shared" si="25"/>
        <v>39078</v>
      </c>
      <c r="V383" t="str">
        <f t="shared" si="26"/>
        <v>Needs Improvement</v>
      </c>
      <c r="W383" t="str">
        <f t="shared" si="27"/>
        <v>Normal</v>
      </c>
      <c r="X383" t="str">
        <f t="shared" si="28"/>
        <v>Mid</v>
      </c>
      <c r="Y383" t="str">
        <f t="shared" si="29"/>
        <v>35-44</v>
      </c>
    </row>
    <row r="384" spans="1:25" x14ac:dyDescent="0.3">
      <c r="A384">
        <v>1383</v>
      </c>
      <c r="B384" t="s">
        <v>83</v>
      </c>
      <c r="C384" t="s">
        <v>37</v>
      </c>
      <c r="D384">
        <v>41</v>
      </c>
      <c r="E384" t="s">
        <v>91</v>
      </c>
      <c r="F384" t="s">
        <v>101</v>
      </c>
      <c r="G384" t="s">
        <v>45</v>
      </c>
      <c r="H384" t="s">
        <v>439</v>
      </c>
      <c r="I384">
        <v>9</v>
      </c>
      <c r="J384">
        <v>60581</v>
      </c>
      <c r="K384">
        <v>3.2</v>
      </c>
      <c r="L384">
        <v>86.9</v>
      </c>
      <c r="M384">
        <v>8</v>
      </c>
      <c r="N384">
        <v>55</v>
      </c>
      <c r="O384">
        <v>13258</v>
      </c>
      <c r="P384" t="s">
        <v>33</v>
      </c>
      <c r="Q384" t="s">
        <v>27</v>
      </c>
      <c r="R384" t="s">
        <v>28</v>
      </c>
      <c r="S384" t="s">
        <v>49</v>
      </c>
      <c r="T384" t="s">
        <v>50</v>
      </c>
      <c r="U384">
        <f t="shared" si="25"/>
        <v>73839</v>
      </c>
      <c r="V384" t="str">
        <f t="shared" si="26"/>
        <v>Needs Improvement</v>
      </c>
      <c r="W384" t="str">
        <f t="shared" si="27"/>
        <v>Normal</v>
      </c>
      <c r="X384" t="str">
        <f t="shared" si="28"/>
        <v>Senior</v>
      </c>
      <c r="Y384" t="str">
        <f t="shared" si="29"/>
        <v>35-44</v>
      </c>
    </row>
    <row r="385" spans="1:25" x14ac:dyDescent="0.3">
      <c r="A385">
        <v>1384</v>
      </c>
      <c r="B385" t="s">
        <v>85</v>
      </c>
      <c r="C385" t="s">
        <v>21</v>
      </c>
      <c r="D385">
        <v>37</v>
      </c>
      <c r="E385" t="s">
        <v>91</v>
      </c>
      <c r="F385" t="s">
        <v>92</v>
      </c>
      <c r="G385" t="s">
        <v>64</v>
      </c>
      <c r="H385" t="s">
        <v>193</v>
      </c>
      <c r="I385">
        <v>2</v>
      </c>
      <c r="J385">
        <v>32481</v>
      </c>
      <c r="K385">
        <v>3.2</v>
      </c>
      <c r="L385">
        <v>88.2</v>
      </c>
      <c r="M385">
        <v>17</v>
      </c>
      <c r="N385">
        <v>21</v>
      </c>
      <c r="O385">
        <v>13613</v>
      </c>
      <c r="P385" t="s">
        <v>53</v>
      </c>
      <c r="Q385" t="s">
        <v>48</v>
      </c>
      <c r="R385" t="s">
        <v>28</v>
      </c>
      <c r="S385" t="s">
        <v>34</v>
      </c>
      <c r="T385" t="s">
        <v>30</v>
      </c>
      <c r="U385">
        <f t="shared" si="25"/>
        <v>46094</v>
      </c>
      <c r="V385" t="str">
        <f t="shared" si="26"/>
        <v>Needs Improvement</v>
      </c>
      <c r="W385" t="str">
        <f t="shared" si="27"/>
        <v>Normal</v>
      </c>
      <c r="X385" t="str">
        <f t="shared" si="28"/>
        <v>Junior</v>
      </c>
      <c r="Y385" t="str">
        <f t="shared" si="29"/>
        <v>35-44</v>
      </c>
    </row>
    <row r="386" spans="1:25" x14ac:dyDescent="0.3">
      <c r="A386">
        <v>1385</v>
      </c>
      <c r="B386" t="s">
        <v>124</v>
      </c>
      <c r="C386" t="s">
        <v>21</v>
      </c>
      <c r="D386">
        <v>32</v>
      </c>
      <c r="E386" t="s">
        <v>38</v>
      </c>
      <c r="F386" t="s">
        <v>39</v>
      </c>
      <c r="G386" t="s">
        <v>51</v>
      </c>
      <c r="H386" t="s">
        <v>440</v>
      </c>
      <c r="I386">
        <v>7</v>
      </c>
      <c r="J386">
        <v>37968</v>
      </c>
      <c r="K386">
        <v>2.7</v>
      </c>
      <c r="L386">
        <v>89.9</v>
      </c>
      <c r="M386">
        <v>5</v>
      </c>
      <c r="N386">
        <v>25</v>
      </c>
      <c r="O386">
        <v>8517</v>
      </c>
      <c r="P386" t="s">
        <v>33</v>
      </c>
      <c r="Q386" t="s">
        <v>48</v>
      </c>
      <c r="R386" t="s">
        <v>42</v>
      </c>
      <c r="S386" t="s">
        <v>34</v>
      </c>
      <c r="T386" t="s">
        <v>50</v>
      </c>
      <c r="U386">
        <f t="shared" si="25"/>
        <v>46485</v>
      </c>
      <c r="V386" t="str">
        <f t="shared" si="26"/>
        <v>Needs Improvement</v>
      </c>
      <c r="W386" t="str">
        <f t="shared" si="27"/>
        <v>Normal</v>
      </c>
      <c r="X386" t="str">
        <f t="shared" si="28"/>
        <v>Senior</v>
      </c>
      <c r="Y386" t="str">
        <f t="shared" si="29"/>
        <v>25-34</v>
      </c>
    </row>
    <row r="387" spans="1:25" x14ac:dyDescent="0.3">
      <c r="A387">
        <v>1386</v>
      </c>
      <c r="B387" t="s">
        <v>61</v>
      </c>
      <c r="C387" t="s">
        <v>37</v>
      </c>
      <c r="D387">
        <v>41</v>
      </c>
      <c r="E387" t="s">
        <v>55</v>
      </c>
      <c r="F387" t="s">
        <v>79</v>
      </c>
      <c r="G387" t="s">
        <v>64</v>
      </c>
      <c r="H387" t="s">
        <v>441</v>
      </c>
      <c r="I387">
        <v>4</v>
      </c>
      <c r="J387">
        <v>47639</v>
      </c>
      <c r="K387">
        <v>4.9000000000000004</v>
      </c>
      <c r="L387">
        <v>97.2</v>
      </c>
      <c r="M387">
        <v>10</v>
      </c>
      <c r="N387">
        <v>5</v>
      </c>
      <c r="O387">
        <v>8103</v>
      </c>
      <c r="P387" t="s">
        <v>33</v>
      </c>
      <c r="Q387" t="s">
        <v>48</v>
      </c>
      <c r="R387" t="s">
        <v>70</v>
      </c>
      <c r="S387" t="s">
        <v>34</v>
      </c>
      <c r="T387" t="s">
        <v>35</v>
      </c>
      <c r="U387">
        <f t="shared" ref="U387:U450" si="30">J387+O387</f>
        <v>55742</v>
      </c>
      <c r="V387" t="str">
        <f t="shared" ref="V387:V450" si="31">IF(L387&gt;=95,"Excellent","Needs Improvement")</f>
        <v>Excellent</v>
      </c>
      <c r="W387" t="str">
        <f t="shared" ref="W387:W450" si="32">IF(M387&gt;20,"High","Normal")</f>
        <v>Normal</v>
      </c>
      <c r="X387" t="str">
        <f t="shared" ref="X387:X450" si="33">IF(I387&lt;3,"Junior",IF(I387&lt;7,"Mid","Senior"))</f>
        <v>Mid</v>
      </c>
      <c r="Y387" t="str">
        <f t="shared" ref="Y387:Y450" si="34">IF(D387&lt;25,"20-24",IF(D387&lt;35,"25-34",IF(D387&lt;45,"35-44","45+")))</f>
        <v>35-44</v>
      </c>
    </row>
    <row r="388" spans="1:25" x14ac:dyDescent="0.3">
      <c r="A388">
        <v>1387</v>
      </c>
      <c r="B388" t="s">
        <v>111</v>
      </c>
      <c r="C388" t="s">
        <v>21</v>
      </c>
      <c r="D388">
        <v>45</v>
      </c>
      <c r="E388" t="s">
        <v>55</v>
      </c>
      <c r="F388" t="s">
        <v>79</v>
      </c>
      <c r="G388" t="s">
        <v>59</v>
      </c>
      <c r="H388" t="s">
        <v>442</v>
      </c>
      <c r="I388">
        <v>3</v>
      </c>
      <c r="J388">
        <v>45990</v>
      </c>
      <c r="K388">
        <v>3.4</v>
      </c>
      <c r="L388">
        <v>98.1</v>
      </c>
      <c r="M388">
        <v>12</v>
      </c>
      <c r="N388">
        <v>56</v>
      </c>
      <c r="O388">
        <v>10313</v>
      </c>
      <c r="P388" t="s">
        <v>53</v>
      </c>
      <c r="Q388" t="s">
        <v>27</v>
      </c>
      <c r="R388" t="s">
        <v>28</v>
      </c>
      <c r="S388" t="s">
        <v>34</v>
      </c>
      <c r="T388" t="s">
        <v>35</v>
      </c>
      <c r="U388">
        <f t="shared" si="30"/>
        <v>56303</v>
      </c>
      <c r="V388" t="str">
        <f t="shared" si="31"/>
        <v>Excellent</v>
      </c>
      <c r="W388" t="str">
        <f t="shared" si="32"/>
        <v>Normal</v>
      </c>
      <c r="X388" t="str">
        <f t="shared" si="33"/>
        <v>Mid</v>
      </c>
      <c r="Y388" t="str">
        <f t="shared" si="34"/>
        <v>45+</v>
      </c>
    </row>
    <row r="389" spans="1:25" x14ac:dyDescent="0.3">
      <c r="A389">
        <v>1388</v>
      </c>
      <c r="B389" t="s">
        <v>36</v>
      </c>
      <c r="C389" t="s">
        <v>37</v>
      </c>
      <c r="D389">
        <v>39</v>
      </c>
      <c r="E389" t="s">
        <v>55</v>
      </c>
      <c r="F389" t="s">
        <v>143</v>
      </c>
      <c r="G389" t="s">
        <v>24</v>
      </c>
      <c r="H389" t="s">
        <v>443</v>
      </c>
      <c r="I389">
        <v>10</v>
      </c>
      <c r="J389">
        <v>88500</v>
      </c>
      <c r="K389">
        <v>2.5</v>
      </c>
      <c r="L389">
        <v>83.3</v>
      </c>
      <c r="M389">
        <v>1</v>
      </c>
      <c r="N389">
        <v>8</v>
      </c>
      <c r="O389">
        <v>14809</v>
      </c>
      <c r="P389" t="s">
        <v>26</v>
      </c>
      <c r="Q389" t="s">
        <v>27</v>
      </c>
      <c r="R389" t="s">
        <v>42</v>
      </c>
      <c r="S389" t="s">
        <v>29</v>
      </c>
      <c r="T389" t="s">
        <v>50</v>
      </c>
      <c r="U389">
        <f t="shared" si="30"/>
        <v>103309</v>
      </c>
      <c r="V389" t="str">
        <f t="shared" si="31"/>
        <v>Needs Improvement</v>
      </c>
      <c r="W389" t="str">
        <f t="shared" si="32"/>
        <v>Normal</v>
      </c>
      <c r="X389" t="str">
        <f t="shared" si="33"/>
        <v>Senior</v>
      </c>
      <c r="Y389" t="str">
        <f t="shared" si="34"/>
        <v>35-44</v>
      </c>
    </row>
    <row r="390" spans="1:25" x14ac:dyDescent="0.3">
      <c r="A390">
        <v>1389</v>
      </c>
      <c r="B390" t="s">
        <v>31</v>
      </c>
      <c r="C390" t="s">
        <v>37</v>
      </c>
      <c r="D390">
        <v>38</v>
      </c>
      <c r="E390" t="s">
        <v>38</v>
      </c>
      <c r="F390" t="s">
        <v>44</v>
      </c>
      <c r="G390" t="s">
        <v>45</v>
      </c>
      <c r="H390" t="s">
        <v>444</v>
      </c>
      <c r="I390">
        <v>4</v>
      </c>
      <c r="J390">
        <v>75742</v>
      </c>
      <c r="K390">
        <v>3.4</v>
      </c>
      <c r="L390">
        <v>94.3</v>
      </c>
      <c r="M390">
        <v>23</v>
      </c>
      <c r="N390">
        <v>43</v>
      </c>
      <c r="O390">
        <v>8522</v>
      </c>
      <c r="P390" t="s">
        <v>53</v>
      </c>
      <c r="Q390" t="s">
        <v>27</v>
      </c>
      <c r="R390" t="s">
        <v>28</v>
      </c>
      <c r="S390" t="s">
        <v>29</v>
      </c>
      <c r="T390" t="s">
        <v>35</v>
      </c>
      <c r="U390">
        <f t="shared" si="30"/>
        <v>84264</v>
      </c>
      <c r="V390" t="str">
        <f t="shared" si="31"/>
        <v>Needs Improvement</v>
      </c>
      <c r="W390" t="str">
        <f t="shared" si="32"/>
        <v>High</v>
      </c>
      <c r="X390" t="str">
        <f t="shared" si="33"/>
        <v>Mid</v>
      </c>
      <c r="Y390" t="str">
        <f t="shared" si="34"/>
        <v>35-44</v>
      </c>
    </row>
    <row r="391" spans="1:25" x14ac:dyDescent="0.3">
      <c r="A391">
        <v>1390</v>
      </c>
      <c r="B391" t="s">
        <v>124</v>
      </c>
      <c r="C391" t="s">
        <v>21</v>
      </c>
      <c r="D391">
        <v>34</v>
      </c>
      <c r="E391" t="s">
        <v>62</v>
      </c>
      <c r="F391" t="s">
        <v>97</v>
      </c>
      <c r="G391" t="s">
        <v>64</v>
      </c>
      <c r="H391" t="s">
        <v>445</v>
      </c>
      <c r="I391">
        <v>4</v>
      </c>
      <c r="J391">
        <v>31164</v>
      </c>
      <c r="K391">
        <v>4.4000000000000004</v>
      </c>
      <c r="L391">
        <v>86.9</v>
      </c>
      <c r="M391">
        <v>21</v>
      </c>
      <c r="N391">
        <v>43</v>
      </c>
      <c r="O391">
        <v>4160</v>
      </c>
      <c r="P391" t="s">
        <v>33</v>
      </c>
      <c r="Q391" t="s">
        <v>27</v>
      </c>
      <c r="R391" t="s">
        <v>58</v>
      </c>
      <c r="S391" t="s">
        <v>34</v>
      </c>
      <c r="T391" t="s">
        <v>35</v>
      </c>
      <c r="U391">
        <f t="shared" si="30"/>
        <v>35324</v>
      </c>
      <c r="V391" t="str">
        <f t="shared" si="31"/>
        <v>Needs Improvement</v>
      </c>
      <c r="W391" t="str">
        <f t="shared" si="32"/>
        <v>High</v>
      </c>
      <c r="X391" t="str">
        <f t="shared" si="33"/>
        <v>Mid</v>
      </c>
      <c r="Y391" t="str">
        <f t="shared" si="34"/>
        <v>25-34</v>
      </c>
    </row>
    <row r="392" spans="1:25" x14ac:dyDescent="0.3">
      <c r="A392">
        <v>1391</v>
      </c>
      <c r="B392" t="s">
        <v>68</v>
      </c>
      <c r="C392" t="s">
        <v>21</v>
      </c>
      <c r="D392">
        <v>43</v>
      </c>
      <c r="E392" t="s">
        <v>55</v>
      </c>
      <c r="F392" t="s">
        <v>79</v>
      </c>
      <c r="G392" t="s">
        <v>59</v>
      </c>
      <c r="H392" t="s">
        <v>446</v>
      </c>
      <c r="I392">
        <v>10</v>
      </c>
      <c r="J392">
        <v>82716</v>
      </c>
      <c r="K392">
        <v>3.9</v>
      </c>
      <c r="L392">
        <v>93.8</v>
      </c>
      <c r="M392">
        <v>4</v>
      </c>
      <c r="N392">
        <v>51</v>
      </c>
      <c r="O392">
        <v>14236</v>
      </c>
      <c r="P392" t="s">
        <v>47</v>
      </c>
      <c r="Q392" t="s">
        <v>27</v>
      </c>
      <c r="R392" t="s">
        <v>28</v>
      </c>
      <c r="S392" t="s">
        <v>29</v>
      </c>
      <c r="T392" t="s">
        <v>50</v>
      </c>
      <c r="U392">
        <f t="shared" si="30"/>
        <v>96952</v>
      </c>
      <c r="V392" t="str">
        <f t="shared" si="31"/>
        <v>Needs Improvement</v>
      </c>
      <c r="W392" t="str">
        <f t="shared" si="32"/>
        <v>Normal</v>
      </c>
      <c r="X392" t="str">
        <f t="shared" si="33"/>
        <v>Senior</v>
      </c>
      <c r="Y392" t="str">
        <f t="shared" si="34"/>
        <v>35-44</v>
      </c>
    </row>
    <row r="393" spans="1:25" x14ac:dyDescent="0.3">
      <c r="A393">
        <v>1392</v>
      </c>
      <c r="B393" t="s">
        <v>31</v>
      </c>
      <c r="C393" t="s">
        <v>21</v>
      </c>
      <c r="D393">
        <v>31</v>
      </c>
      <c r="E393" t="s">
        <v>38</v>
      </c>
      <c r="F393" t="s">
        <v>44</v>
      </c>
      <c r="G393" t="s">
        <v>59</v>
      </c>
      <c r="H393" t="s">
        <v>447</v>
      </c>
      <c r="I393">
        <v>6</v>
      </c>
      <c r="J393">
        <v>87872</v>
      </c>
      <c r="K393">
        <v>4.0999999999999996</v>
      </c>
      <c r="L393">
        <v>87.5</v>
      </c>
      <c r="M393">
        <v>16</v>
      </c>
      <c r="N393">
        <v>47</v>
      </c>
      <c r="O393">
        <v>7369</v>
      </c>
      <c r="P393" t="s">
        <v>26</v>
      </c>
      <c r="Q393" t="s">
        <v>27</v>
      </c>
      <c r="R393" t="s">
        <v>58</v>
      </c>
      <c r="S393" t="s">
        <v>29</v>
      </c>
      <c r="T393" t="s">
        <v>50</v>
      </c>
      <c r="U393">
        <f t="shared" si="30"/>
        <v>95241</v>
      </c>
      <c r="V393" t="str">
        <f t="shared" si="31"/>
        <v>Needs Improvement</v>
      </c>
      <c r="W393" t="str">
        <f t="shared" si="32"/>
        <v>Normal</v>
      </c>
      <c r="X393" t="str">
        <f t="shared" si="33"/>
        <v>Mid</v>
      </c>
      <c r="Y393" t="str">
        <f t="shared" si="34"/>
        <v>25-34</v>
      </c>
    </row>
    <row r="394" spans="1:25" x14ac:dyDescent="0.3">
      <c r="A394">
        <v>1393</v>
      </c>
      <c r="B394" t="s">
        <v>178</v>
      </c>
      <c r="C394" t="s">
        <v>21</v>
      </c>
      <c r="D394">
        <v>23</v>
      </c>
      <c r="E394" t="s">
        <v>55</v>
      </c>
      <c r="F394" t="s">
        <v>79</v>
      </c>
      <c r="G394" t="s">
        <v>24</v>
      </c>
      <c r="H394" t="s">
        <v>448</v>
      </c>
      <c r="I394">
        <v>10</v>
      </c>
      <c r="J394">
        <v>69951</v>
      </c>
      <c r="K394">
        <v>4.7</v>
      </c>
      <c r="L394">
        <v>83.4</v>
      </c>
      <c r="M394">
        <v>10</v>
      </c>
      <c r="N394">
        <v>37</v>
      </c>
      <c r="O394">
        <v>10617</v>
      </c>
      <c r="P394" t="s">
        <v>41</v>
      </c>
      <c r="Q394" t="s">
        <v>48</v>
      </c>
      <c r="R394" t="s">
        <v>70</v>
      </c>
      <c r="S394" t="s">
        <v>49</v>
      </c>
      <c r="T394" t="s">
        <v>50</v>
      </c>
      <c r="U394">
        <f t="shared" si="30"/>
        <v>80568</v>
      </c>
      <c r="V394" t="str">
        <f t="shared" si="31"/>
        <v>Needs Improvement</v>
      </c>
      <c r="W394" t="str">
        <f t="shared" si="32"/>
        <v>Normal</v>
      </c>
      <c r="X394" t="str">
        <f t="shared" si="33"/>
        <v>Senior</v>
      </c>
      <c r="Y394" t="str">
        <f t="shared" si="34"/>
        <v>20-24</v>
      </c>
    </row>
    <row r="395" spans="1:25" x14ac:dyDescent="0.3">
      <c r="A395">
        <v>1394</v>
      </c>
      <c r="B395" t="s">
        <v>75</v>
      </c>
      <c r="C395" t="s">
        <v>37</v>
      </c>
      <c r="D395">
        <v>34</v>
      </c>
      <c r="E395" t="s">
        <v>55</v>
      </c>
      <c r="F395" t="s">
        <v>79</v>
      </c>
      <c r="G395" t="s">
        <v>45</v>
      </c>
      <c r="H395" t="s">
        <v>449</v>
      </c>
      <c r="I395">
        <v>10</v>
      </c>
      <c r="J395">
        <v>31818</v>
      </c>
      <c r="K395">
        <v>4.7</v>
      </c>
      <c r="L395">
        <v>93.8</v>
      </c>
      <c r="M395">
        <v>14</v>
      </c>
      <c r="N395">
        <v>40</v>
      </c>
      <c r="O395">
        <v>8806</v>
      </c>
      <c r="P395" t="s">
        <v>41</v>
      </c>
      <c r="Q395" t="s">
        <v>27</v>
      </c>
      <c r="R395" t="s">
        <v>70</v>
      </c>
      <c r="S395" t="s">
        <v>34</v>
      </c>
      <c r="T395" t="s">
        <v>50</v>
      </c>
      <c r="U395">
        <f t="shared" si="30"/>
        <v>40624</v>
      </c>
      <c r="V395" t="str">
        <f t="shared" si="31"/>
        <v>Needs Improvement</v>
      </c>
      <c r="W395" t="str">
        <f t="shared" si="32"/>
        <v>Normal</v>
      </c>
      <c r="X395" t="str">
        <f t="shared" si="33"/>
        <v>Senior</v>
      </c>
      <c r="Y395" t="str">
        <f t="shared" si="34"/>
        <v>25-34</v>
      </c>
    </row>
    <row r="396" spans="1:25" x14ac:dyDescent="0.3">
      <c r="A396">
        <v>1395</v>
      </c>
      <c r="B396" t="s">
        <v>85</v>
      </c>
      <c r="C396" t="s">
        <v>21</v>
      </c>
      <c r="D396">
        <v>41</v>
      </c>
      <c r="E396" t="s">
        <v>62</v>
      </c>
      <c r="F396" t="s">
        <v>63</v>
      </c>
      <c r="G396" t="s">
        <v>59</v>
      </c>
      <c r="H396" t="s">
        <v>376</v>
      </c>
      <c r="I396">
        <v>0</v>
      </c>
      <c r="J396">
        <v>64064</v>
      </c>
      <c r="K396">
        <v>5</v>
      </c>
      <c r="L396">
        <v>83.2</v>
      </c>
      <c r="M396">
        <v>13</v>
      </c>
      <c r="N396">
        <v>23</v>
      </c>
      <c r="O396">
        <v>4604</v>
      </c>
      <c r="P396" t="s">
        <v>53</v>
      </c>
      <c r="Q396" t="s">
        <v>48</v>
      </c>
      <c r="R396" t="s">
        <v>70</v>
      </c>
      <c r="S396" t="s">
        <v>49</v>
      </c>
      <c r="T396" t="s">
        <v>30</v>
      </c>
      <c r="U396">
        <f t="shared" si="30"/>
        <v>68668</v>
      </c>
      <c r="V396" t="str">
        <f t="shared" si="31"/>
        <v>Needs Improvement</v>
      </c>
      <c r="W396" t="str">
        <f t="shared" si="32"/>
        <v>Normal</v>
      </c>
      <c r="X396" t="str">
        <f t="shared" si="33"/>
        <v>Junior</v>
      </c>
      <c r="Y396" t="str">
        <f t="shared" si="34"/>
        <v>35-44</v>
      </c>
    </row>
    <row r="397" spans="1:25" x14ac:dyDescent="0.3">
      <c r="A397">
        <v>1396</v>
      </c>
      <c r="B397" t="s">
        <v>148</v>
      </c>
      <c r="C397" t="s">
        <v>21</v>
      </c>
      <c r="D397">
        <v>30</v>
      </c>
      <c r="E397" t="s">
        <v>55</v>
      </c>
      <c r="F397" t="s">
        <v>143</v>
      </c>
      <c r="G397" t="s">
        <v>51</v>
      </c>
      <c r="H397" t="s">
        <v>450</v>
      </c>
      <c r="I397">
        <v>2</v>
      </c>
      <c r="J397">
        <v>78133</v>
      </c>
      <c r="K397">
        <v>4.7</v>
      </c>
      <c r="L397">
        <v>96.6</v>
      </c>
      <c r="M397">
        <v>17</v>
      </c>
      <c r="N397">
        <v>47</v>
      </c>
      <c r="O397">
        <v>12934</v>
      </c>
      <c r="P397" t="s">
        <v>47</v>
      </c>
      <c r="Q397" t="s">
        <v>27</v>
      </c>
      <c r="R397" t="s">
        <v>70</v>
      </c>
      <c r="S397" t="s">
        <v>29</v>
      </c>
      <c r="T397" t="s">
        <v>30</v>
      </c>
      <c r="U397">
        <f t="shared" si="30"/>
        <v>91067</v>
      </c>
      <c r="V397" t="str">
        <f t="shared" si="31"/>
        <v>Excellent</v>
      </c>
      <c r="W397" t="str">
        <f t="shared" si="32"/>
        <v>Normal</v>
      </c>
      <c r="X397" t="str">
        <f t="shared" si="33"/>
        <v>Junior</v>
      </c>
      <c r="Y397" t="str">
        <f t="shared" si="34"/>
        <v>25-34</v>
      </c>
    </row>
    <row r="398" spans="1:25" x14ac:dyDescent="0.3">
      <c r="A398">
        <v>1397</v>
      </c>
      <c r="B398" t="s">
        <v>36</v>
      </c>
      <c r="C398" t="s">
        <v>37</v>
      </c>
      <c r="D398">
        <v>42</v>
      </c>
      <c r="E398" t="s">
        <v>62</v>
      </c>
      <c r="F398" t="s">
        <v>63</v>
      </c>
      <c r="G398" t="s">
        <v>64</v>
      </c>
      <c r="H398" t="s">
        <v>451</v>
      </c>
      <c r="I398">
        <v>7</v>
      </c>
      <c r="J398">
        <v>34178</v>
      </c>
      <c r="K398">
        <v>3.7</v>
      </c>
      <c r="L398">
        <v>83.8</v>
      </c>
      <c r="M398">
        <v>12</v>
      </c>
      <c r="N398">
        <v>31</v>
      </c>
      <c r="O398">
        <v>11641</v>
      </c>
      <c r="P398" t="s">
        <v>26</v>
      </c>
      <c r="Q398" t="s">
        <v>27</v>
      </c>
      <c r="R398" t="s">
        <v>28</v>
      </c>
      <c r="S398" t="s">
        <v>34</v>
      </c>
      <c r="T398" t="s">
        <v>50</v>
      </c>
      <c r="U398">
        <f t="shared" si="30"/>
        <v>45819</v>
      </c>
      <c r="V398" t="str">
        <f t="shared" si="31"/>
        <v>Needs Improvement</v>
      </c>
      <c r="W398" t="str">
        <f t="shared" si="32"/>
        <v>Normal</v>
      </c>
      <c r="X398" t="str">
        <f t="shared" si="33"/>
        <v>Senior</v>
      </c>
      <c r="Y398" t="str">
        <f t="shared" si="34"/>
        <v>35-44</v>
      </c>
    </row>
    <row r="399" spans="1:25" x14ac:dyDescent="0.3">
      <c r="A399">
        <v>1398</v>
      </c>
      <c r="B399" t="s">
        <v>75</v>
      </c>
      <c r="C399" t="s">
        <v>21</v>
      </c>
      <c r="D399">
        <v>23</v>
      </c>
      <c r="E399" t="s">
        <v>38</v>
      </c>
      <c r="F399" t="s">
        <v>39</v>
      </c>
      <c r="G399" t="s">
        <v>24</v>
      </c>
      <c r="H399" t="s">
        <v>452</v>
      </c>
      <c r="I399">
        <v>6</v>
      </c>
      <c r="J399">
        <v>34463</v>
      </c>
      <c r="K399">
        <v>2.8</v>
      </c>
      <c r="L399">
        <v>93.9</v>
      </c>
      <c r="M399">
        <v>6</v>
      </c>
      <c r="N399">
        <v>27</v>
      </c>
      <c r="O399">
        <v>9550</v>
      </c>
      <c r="P399" t="s">
        <v>41</v>
      </c>
      <c r="Q399" t="s">
        <v>27</v>
      </c>
      <c r="R399" t="s">
        <v>42</v>
      </c>
      <c r="S399" t="s">
        <v>34</v>
      </c>
      <c r="T399" t="s">
        <v>50</v>
      </c>
      <c r="U399">
        <f t="shared" si="30"/>
        <v>44013</v>
      </c>
      <c r="V399" t="str">
        <f t="shared" si="31"/>
        <v>Needs Improvement</v>
      </c>
      <c r="W399" t="str">
        <f t="shared" si="32"/>
        <v>Normal</v>
      </c>
      <c r="X399" t="str">
        <f t="shared" si="33"/>
        <v>Mid</v>
      </c>
      <c r="Y399" t="str">
        <f t="shared" si="34"/>
        <v>20-24</v>
      </c>
    </row>
    <row r="400" spans="1:25" x14ac:dyDescent="0.3">
      <c r="A400">
        <v>1399</v>
      </c>
      <c r="B400" t="s">
        <v>121</v>
      </c>
      <c r="C400" t="s">
        <v>21</v>
      </c>
      <c r="D400">
        <v>28</v>
      </c>
      <c r="E400" t="s">
        <v>62</v>
      </c>
      <c r="F400" t="s">
        <v>97</v>
      </c>
      <c r="G400" t="s">
        <v>24</v>
      </c>
      <c r="H400" t="s">
        <v>453</v>
      </c>
      <c r="I400">
        <v>0</v>
      </c>
      <c r="J400">
        <v>36132</v>
      </c>
      <c r="K400">
        <v>4.9000000000000004</v>
      </c>
      <c r="L400">
        <v>96.8</v>
      </c>
      <c r="M400">
        <v>10</v>
      </c>
      <c r="N400">
        <v>41</v>
      </c>
      <c r="O400">
        <v>12755</v>
      </c>
      <c r="P400" t="s">
        <v>26</v>
      </c>
      <c r="Q400" t="s">
        <v>27</v>
      </c>
      <c r="R400" t="s">
        <v>70</v>
      </c>
      <c r="S400" t="s">
        <v>34</v>
      </c>
      <c r="T400" t="s">
        <v>30</v>
      </c>
      <c r="U400">
        <f t="shared" si="30"/>
        <v>48887</v>
      </c>
      <c r="V400" t="str">
        <f t="shared" si="31"/>
        <v>Excellent</v>
      </c>
      <c r="W400" t="str">
        <f t="shared" si="32"/>
        <v>Normal</v>
      </c>
      <c r="X400" t="str">
        <f t="shared" si="33"/>
        <v>Junior</v>
      </c>
      <c r="Y400" t="str">
        <f t="shared" si="34"/>
        <v>25-34</v>
      </c>
    </row>
    <row r="401" spans="1:25" x14ac:dyDescent="0.3">
      <c r="A401">
        <v>1400</v>
      </c>
      <c r="B401" t="s">
        <v>54</v>
      </c>
      <c r="C401" t="s">
        <v>21</v>
      </c>
      <c r="D401">
        <v>26</v>
      </c>
      <c r="E401" t="s">
        <v>38</v>
      </c>
      <c r="F401" t="s">
        <v>44</v>
      </c>
      <c r="G401" t="s">
        <v>51</v>
      </c>
      <c r="H401" t="s">
        <v>454</v>
      </c>
      <c r="I401">
        <v>3</v>
      </c>
      <c r="J401">
        <v>28825</v>
      </c>
      <c r="K401">
        <v>3</v>
      </c>
      <c r="L401">
        <v>99.9</v>
      </c>
      <c r="M401">
        <v>22</v>
      </c>
      <c r="N401">
        <v>55</v>
      </c>
      <c r="O401">
        <v>4591</v>
      </c>
      <c r="P401" t="s">
        <v>26</v>
      </c>
      <c r="Q401" t="s">
        <v>27</v>
      </c>
      <c r="R401" t="s">
        <v>28</v>
      </c>
      <c r="S401" t="s">
        <v>34</v>
      </c>
      <c r="T401" t="s">
        <v>35</v>
      </c>
      <c r="U401">
        <f t="shared" si="30"/>
        <v>33416</v>
      </c>
      <c r="V401" t="str">
        <f t="shared" si="31"/>
        <v>Excellent</v>
      </c>
      <c r="W401" t="str">
        <f t="shared" si="32"/>
        <v>High</v>
      </c>
      <c r="X401" t="str">
        <f t="shared" si="33"/>
        <v>Mid</v>
      </c>
      <c r="Y401" t="str">
        <f t="shared" si="34"/>
        <v>25-34</v>
      </c>
    </row>
    <row r="402" spans="1:25" x14ac:dyDescent="0.3">
      <c r="A402">
        <v>1401</v>
      </c>
      <c r="B402" t="s">
        <v>31</v>
      </c>
      <c r="C402" t="s">
        <v>37</v>
      </c>
      <c r="D402">
        <v>43</v>
      </c>
      <c r="E402" t="s">
        <v>62</v>
      </c>
      <c r="F402" t="s">
        <v>63</v>
      </c>
      <c r="G402" t="s">
        <v>24</v>
      </c>
      <c r="H402" t="s">
        <v>455</v>
      </c>
      <c r="I402">
        <v>2</v>
      </c>
      <c r="J402">
        <v>37653</v>
      </c>
      <c r="K402">
        <v>4.0999999999999996</v>
      </c>
      <c r="L402">
        <v>82.7</v>
      </c>
      <c r="M402">
        <v>21</v>
      </c>
      <c r="N402">
        <v>19</v>
      </c>
      <c r="O402">
        <v>5766</v>
      </c>
      <c r="P402" t="s">
        <v>41</v>
      </c>
      <c r="Q402" t="s">
        <v>48</v>
      </c>
      <c r="R402" t="s">
        <v>58</v>
      </c>
      <c r="S402" t="s">
        <v>34</v>
      </c>
      <c r="T402" t="s">
        <v>30</v>
      </c>
      <c r="U402">
        <f t="shared" si="30"/>
        <v>43419</v>
      </c>
      <c r="V402" t="str">
        <f t="shared" si="31"/>
        <v>Needs Improvement</v>
      </c>
      <c r="W402" t="str">
        <f t="shared" si="32"/>
        <v>High</v>
      </c>
      <c r="X402" t="str">
        <f t="shared" si="33"/>
        <v>Junior</v>
      </c>
      <c r="Y402" t="str">
        <f t="shared" si="34"/>
        <v>35-44</v>
      </c>
    </row>
    <row r="403" spans="1:25" x14ac:dyDescent="0.3">
      <c r="A403">
        <v>1402</v>
      </c>
      <c r="B403" t="s">
        <v>78</v>
      </c>
      <c r="C403" t="s">
        <v>21</v>
      </c>
      <c r="D403">
        <v>36</v>
      </c>
      <c r="E403" t="s">
        <v>62</v>
      </c>
      <c r="F403" t="s">
        <v>63</v>
      </c>
      <c r="G403" t="s">
        <v>51</v>
      </c>
      <c r="H403" t="s">
        <v>456</v>
      </c>
      <c r="I403">
        <v>6</v>
      </c>
      <c r="J403">
        <v>84503</v>
      </c>
      <c r="K403">
        <v>4.0999999999999996</v>
      </c>
      <c r="L403">
        <v>87.9</v>
      </c>
      <c r="M403">
        <v>18</v>
      </c>
      <c r="N403">
        <v>16</v>
      </c>
      <c r="O403">
        <v>4692</v>
      </c>
      <c r="P403" t="s">
        <v>53</v>
      </c>
      <c r="Q403" t="s">
        <v>27</v>
      </c>
      <c r="R403" t="s">
        <v>58</v>
      </c>
      <c r="S403" t="s">
        <v>29</v>
      </c>
      <c r="T403" t="s">
        <v>50</v>
      </c>
      <c r="U403">
        <f t="shared" si="30"/>
        <v>89195</v>
      </c>
      <c r="V403" t="str">
        <f t="shared" si="31"/>
        <v>Needs Improvement</v>
      </c>
      <c r="W403" t="str">
        <f t="shared" si="32"/>
        <v>Normal</v>
      </c>
      <c r="X403" t="str">
        <f t="shared" si="33"/>
        <v>Mid</v>
      </c>
      <c r="Y403" t="str">
        <f t="shared" si="34"/>
        <v>35-44</v>
      </c>
    </row>
    <row r="404" spans="1:25" x14ac:dyDescent="0.3">
      <c r="A404">
        <v>1403</v>
      </c>
      <c r="B404" t="s">
        <v>124</v>
      </c>
      <c r="C404" t="s">
        <v>21</v>
      </c>
      <c r="D404">
        <v>34</v>
      </c>
      <c r="E404" t="s">
        <v>62</v>
      </c>
      <c r="F404" t="s">
        <v>63</v>
      </c>
      <c r="G404" t="s">
        <v>59</v>
      </c>
      <c r="H404" t="s">
        <v>457</v>
      </c>
      <c r="I404">
        <v>4</v>
      </c>
      <c r="J404">
        <v>60007</v>
      </c>
      <c r="K404">
        <v>2.7</v>
      </c>
      <c r="L404">
        <v>85.7</v>
      </c>
      <c r="M404">
        <v>2</v>
      </c>
      <c r="N404">
        <v>21</v>
      </c>
      <c r="O404">
        <v>3715</v>
      </c>
      <c r="P404" t="s">
        <v>33</v>
      </c>
      <c r="Q404" t="s">
        <v>48</v>
      </c>
      <c r="R404" t="s">
        <v>42</v>
      </c>
      <c r="S404" t="s">
        <v>49</v>
      </c>
      <c r="T404" t="s">
        <v>35</v>
      </c>
      <c r="U404">
        <f t="shared" si="30"/>
        <v>63722</v>
      </c>
      <c r="V404" t="str">
        <f t="shared" si="31"/>
        <v>Needs Improvement</v>
      </c>
      <c r="W404" t="str">
        <f t="shared" si="32"/>
        <v>Normal</v>
      </c>
      <c r="X404" t="str">
        <f t="shared" si="33"/>
        <v>Mid</v>
      </c>
      <c r="Y404" t="str">
        <f t="shared" si="34"/>
        <v>25-34</v>
      </c>
    </row>
    <row r="405" spans="1:25" x14ac:dyDescent="0.3">
      <c r="A405">
        <v>1404</v>
      </c>
      <c r="B405" t="s">
        <v>111</v>
      </c>
      <c r="C405" t="s">
        <v>21</v>
      </c>
      <c r="D405">
        <v>40</v>
      </c>
      <c r="E405" t="s">
        <v>62</v>
      </c>
      <c r="F405" t="s">
        <v>97</v>
      </c>
      <c r="G405" t="s">
        <v>64</v>
      </c>
      <c r="H405" t="s">
        <v>458</v>
      </c>
      <c r="I405">
        <v>3</v>
      </c>
      <c r="J405">
        <v>87643</v>
      </c>
      <c r="K405">
        <v>3.2</v>
      </c>
      <c r="L405">
        <v>88.8</v>
      </c>
      <c r="M405">
        <v>15</v>
      </c>
      <c r="N405">
        <v>15</v>
      </c>
      <c r="O405">
        <v>7428</v>
      </c>
      <c r="P405" t="s">
        <v>33</v>
      </c>
      <c r="Q405" t="s">
        <v>48</v>
      </c>
      <c r="R405" t="s">
        <v>28</v>
      </c>
      <c r="S405" t="s">
        <v>29</v>
      </c>
      <c r="T405" t="s">
        <v>35</v>
      </c>
      <c r="U405">
        <f t="shared" si="30"/>
        <v>95071</v>
      </c>
      <c r="V405" t="str">
        <f t="shared" si="31"/>
        <v>Needs Improvement</v>
      </c>
      <c r="W405" t="str">
        <f t="shared" si="32"/>
        <v>Normal</v>
      </c>
      <c r="X405" t="str">
        <f t="shared" si="33"/>
        <v>Mid</v>
      </c>
      <c r="Y405" t="str">
        <f t="shared" si="34"/>
        <v>35-44</v>
      </c>
    </row>
    <row r="406" spans="1:25" x14ac:dyDescent="0.3">
      <c r="A406">
        <v>1405</v>
      </c>
      <c r="B406" t="s">
        <v>148</v>
      </c>
      <c r="C406" t="s">
        <v>37</v>
      </c>
      <c r="D406">
        <v>26</v>
      </c>
      <c r="E406" t="s">
        <v>62</v>
      </c>
      <c r="F406" t="s">
        <v>97</v>
      </c>
      <c r="G406" t="s">
        <v>24</v>
      </c>
      <c r="H406" t="s">
        <v>459</v>
      </c>
      <c r="I406">
        <v>9</v>
      </c>
      <c r="J406">
        <v>35868</v>
      </c>
      <c r="K406">
        <v>4.2</v>
      </c>
      <c r="L406">
        <v>87.4</v>
      </c>
      <c r="M406">
        <v>5</v>
      </c>
      <c r="N406">
        <v>39</v>
      </c>
      <c r="O406">
        <v>14665</v>
      </c>
      <c r="P406" t="s">
        <v>47</v>
      </c>
      <c r="Q406" t="s">
        <v>48</v>
      </c>
      <c r="R406" t="s">
        <v>58</v>
      </c>
      <c r="S406" t="s">
        <v>34</v>
      </c>
      <c r="T406" t="s">
        <v>50</v>
      </c>
      <c r="U406">
        <f t="shared" si="30"/>
        <v>50533</v>
      </c>
      <c r="V406" t="str">
        <f t="shared" si="31"/>
        <v>Needs Improvement</v>
      </c>
      <c r="W406" t="str">
        <f t="shared" si="32"/>
        <v>Normal</v>
      </c>
      <c r="X406" t="str">
        <f t="shared" si="33"/>
        <v>Senior</v>
      </c>
      <c r="Y406" t="str">
        <f t="shared" si="34"/>
        <v>25-34</v>
      </c>
    </row>
    <row r="407" spans="1:25" x14ac:dyDescent="0.3">
      <c r="A407">
        <v>1406</v>
      </c>
      <c r="B407" t="s">
        <v>54</v>
      </c>
      <c r="C407" t="s">
        <v>21</v>
      </c>
      <c r="D407">
        <v>26</v>
      </c>
      <c r="E407" t="s">
        <v>62</v>
      </c>
      <c r="F407" t="s">
        <v>97</v>
      </c>
      <c r="G407" t="s">
        <v>59</v>
      </c>
      <c r="H407" t="s">
        <v>460</v>
      </c>
      <c r="I407">
        <v>6</v>
      </c>
      <c r="J407">
        <v>90577</v>
      </c>
      <c r="K407">
        <v>3.9</v>
      </c>
      <c r="L407">
        <v>86.7</v>
      </c>
      <c r="M407">
        <v>13</v>
      </c>
      <c r="N407">
        <v>53</v>
      </c>
      <c r="O407">
        <v>4854</v>
      </c>
      <c r="P407" t="s">
        <v>53</v>
      </c>
      <c r="Q407" t="s">
        <v>27</v>
      </c>
      <c r="R407" t="s">
        <v>28</v>
      </c>
      <c r="S407" t="s">
        <v>29</v>
      </c>
      <c r="T407" t="s">
        <v>50</v>
      </c>
      <c r="U407">
        <f t="shared" si="30"/>
        <v>95431</v>
      </c>
      <c r="V407" t="str">
        <f t="shared" si="31"/>
        <v>Needs Improvement</v>
      </c>
      <c r="W407" t="str">
        <f t="shared" si="32"/>
        <v>Normal</v>
      </c>
      <c r="X407" t="str">
        <f t="shared" si="33"/>
        <v>Mid</v>
      </c>
      <c r="Y407" t="str">
        <f t="shared" si="34"/>
        <v>25-34</v>
      </c>
    </row>
    <row r="408" spans="1:25" x14ac:dyDescent="0.3">
      <c r="A408">
        <v>1407</v>
      </c>
      <c r="B408" t="s">
        <v>78</v>
      </c>
      <c r="C408" t="s">
        <v>21</v>
      </c>
      <c r="D408">
        <v>43</v>
      </c>
      <c r="E408" t="s">
        <v>38</v>
      </c>
      <c r="F408" t="s">
        <v>39</v>
      </c>
      <c r="G408" t="s">
        <v>64</v>
      </c>
      <c r="H408" t="s">
        <v>461</v>
      </c>
      <c r="I408">
        <v>7</v>
      </c>
      <c r="J408">
        <v>47387</v>
      </c>
      <c r="K408">
        <v>2.6</v>
      </c>
      <c r="L408">
        <v>95.1</v>
      </c>
      <c r="M408">
        <v>15</v>
      </c>
      <c r="N408">
        <v>24</v>
      </c>
      <c r="O408">
        <v>5599</v>
      </c>
      <c r="P408" t="s">
        <v>33</v>
      </c>
      <c r="Q408" t="s">
        <v>48</v>
      </c>
      <c r="R408" t="s">
        <v>42</v>
      </c>
      <c r="S408" t="s">
        <v>34</v>
      </c>
      <c r="T408" t="s">
        <v>50</v>
      </c>
      <c r="U408">
        <f t="shared" si="30"/>
        <v>52986</v>
      </c>
      <c r="V408" t="str">
        <f t="shared" si="31"/>
        <v>Excellent</v>
      </c>
      <c r="W408" t="str">
        <f t="shared" si="32"/>
        <v>Normal</v>
      </c>
      <c r="X408" t="str">
        <f t="shared" si="33"/>
        <v>Senior</v>
      </c>
      <c r="Y408" t="str">
        <f t="shared" si="34"/>
        <v>35-44</v>
      </c>
    </row>
    <row r="409" spans="1:25" x14ac:dyDescent="0.3">
      <c r="A409">
        <v>1408</v>
      </c>
      <c r="B409" t="s">
        <v>71</v>
      </c>
      <c r="C409" t="s">
        <v>21</v>
      </c>
      <c r="D409">
        <v>41</v>
      </c>
      <c r="E409" t="s">
        <v>55</v>
      </c>
      <c r="F409" t="s">
        <v>79</v>
      </c>
      <c r="G409" t="s">
        <v>64</v>
      </c>
      <c r="H409" t="s">
        <v>462</v>
      </c>
      <c r="I409">
        <v>1</v>
      </c>
      <c r="J409">
        <v>58345</v>
      </c>
      <c r="K409">
        <v>4.8</v>
      </c>
      <c r="L409">
        <v>94</v>
      </c>
      <c r="M409">
        <v>2</v>
      </c>
      <c r="N409">
        <v>46</v>
      </c>
      <c r="O409">
        <v>5331</v>
      </c>
      <c r="P409" t="s">
        <v>47</v>
      </c>
      <c r="Q409" t="s">
        <v>48</v>
      </c>
      <c r="R409" t="s">
        <v>70</v>
      </c>
      <c r="S409" t="s">
        <v>49</v>
      </c>
      <c r="T409" t="s">
        <v>30</v>
      </c>
      <c r="U409">
        <f t="shared" si="30"/>
        <v>63676</v>
      </c>
      <c r="V409" t="str">
        <f t="shared" si="31"/>
        <v>Needs Improvement</v>
      </c>
      <c r="W409" t="str">
        <f t="shared" si="32"/>
        <v>Normal</v>
      </c>
      <c r="X409" t="str">
        <f t="shared" si="33"/>
        <v>Junior</v>
      </c>
      <c r="Y409" t="str">
        <f t="shared" si="34"/>
        <v>35-44</v>
      </c>
    </row>
    <row r="410" spans="1:25" x14ac:dyDescent="0.3">
      <c r="A410">
        <v>1409</v>
      </c>
      <c r="B410" t="s">
        <v>43</v>
      </c>
      <c r="C410" t="s">
        <v>21</v>
      </c>
      <c r="D410">
        <v>38</v>
      </c>
      <c r="E410" t="s">
        <v>91</v>
      </c>
      <c r="F410" t="s">
        <v>92</v>
      </c>
      <c r="G410" t="s">
        <v>51</v>
      </c>
      <c r="H410" t="s">
        <v>463</v>
      </c>
      <c r="I410">
        <v>7</v>
      </c>
      <c r="J410">
        <v>63231</v>
      </c>
      <c r="K410">
        <v>4</v>
      </c>
      <c r="L410">
        <v>87.8</v>
      </c>
      <c r="M410">
        <v>18</v>
      </c>
      <c r="N410">
        <v>20</v>
      </c>
      <c r="O410">
        <v>8273</v>
      </c>
      <c r="P410" t="s">
        <v>41</v>
      </c>
      <c r="Q410" t="s">
        <v>27</v>
      </c>
      <c r="R410" t="s">
        <v>58</v>
      </c>
      <c r="S410" t="s">
        <v>49</v>
      </c>
      <c r="T410" t="s">
        <v>50</v>
      </c>
      <c r="U410">
        <f t="shared" si="30"/>
        <v>71504</v>
      </c>
      <c r="V410" t="str">
        <f t="shared" si="31"/>
        <v>Needs Improvement</v>
      </c>
      <c r="W410" t="str">
        <f t="shared" si="32"/>
        <v>Normal</v>
      </c>
      <c r="X410" t="str">
        <f t="shared" si="33"/>
        <v>Senior</v>
      </c>
      <c r="Y410" t="str">
        <f t="shared" si="34"/>
        <v>35-44</v>
      </c>
    </row>
    <row r="411" spans="1:25" x14ac:dyDescent="0.3">
      <c r="A411">
        <v>1410</v>
      </c>
      <c r="B411" t="s">
        <v>83</v>
      </c>
      <c r="C411" t="s">
        <v>21</v>
      </c>
      <c r="D411">
        <v>24</v>
      </c>
      <c r="E411" t="s">
        <v>22</v>
      </c>
      <c r="F411" t="s">
        <v>23</v>
      </c>
      <c r="G411" t="s">
        <v>64</v>
      </c>
      <c r="H411" t="s">
        <v>464</v>
      </c>
      <c r="I411">
        <v>0</v>
      </c>
      <c r="J411">
        <v>76972</v>
      </c>
      <c r="K411">
        <v>3.6</v>
      </c>
      <c r="L411">
        <v>96.4</v>
      </c>
      <c r="M411">
        <v>17</v>
      </c>
      <c r="N411">
        <v>28</v>
      </c>
      <c r="O411">
        <v>13530</v>
      </c>
      <c r="P411" t="s">
        <v>47</v>
      </c>
      <c r="Q411" t="s">
        <v>48</v>
      </c>
      <c r="R411" t="s">
        <v>28</v>
      </c>
      <c r="S411" t="s">
        <v>29</v>
      </c>
      <c r="T411" t="s">
        <v>30</v>
      </c>
      <c r="U411">
        <f t="shared" si="30"/>
        <v>90502</v>
      </c>
      <c r="V411" t="str">
        <f t="shared" si="31"/>
        <v>Excellent</v>
      </c>
      <c r="W411" t="str">
        <f t="shared" si="32"/>
        <v>Normal</v>
      </c>
      <c r="X411" t="str">
        <f t="shared" si="33"/>
        <v>Junior</v>
      </c>
      <c r="Y411" t="str">
        <f t="shared" si="34"/>
        <v>20-24</v>
      </c>
    </row>
    <row r="412" spans="1:25" x14ac:dyDescent="0.3">
      <c r="A412">
        <v>1411</v>
      </c>
      <c r="B412" t="s">
        <v>43</v>
      </c>
      <c r="C412" t="s">
        <v>21</v>
      </c>
      <c r="D412">
        <v>42</v>
      </c>
      <c r="E412" t="s">
        <v>38</v>
      </c>
      <c r="F412" t="s">
        <v>44</v>
      </c>
      <c r="G412" t="s">
        <v>64</v>
      </c>
      <c r="H412" t="s">
        <v>465</v>
      </c>
      <c r="I412">
        <v>10</v>
      </c>
      <c r="J412">
        <v>27569</v>
      </c>
      <c r="K412">
        <v>4.9000000000000004</v>
      </c>
      <c r="L412">
        <v>86.8</v>
      </c>
      <c r="M412">
        <v>12</v>
      </c>
      <c r="N412">
        <v>8</v>
      </c>
      <c r="O412">
        <v>14909</v>
      </c>
      <c r="P412" t="s">
        <v>47</v>
      </c>
      <c r="Q412" t="s">
        <v>27</v>
      </c>
      <c r="R412" t="s">
        <v>70</v>
      </c>
      <c r="S412" t="s">
        <v>34</v>
      </c>
      <c r="T412" t="s">
        <v>50</v>
      </c>
      <c r="U412">
        <f t="shared" si="30"/>
        <v>42478</v>
      </c>
      <c r="V412" t="str">
        <f t="shared" si="31"/>
        <v>Needs Improvement</v>
      </c>
      <c r="W412" t="str">
        <f t="shared" si="32"/>
        <v>Normal</v>
      </c>
      <c r="X412" t="str">
        <f t="shared" si="33"/>
        <v>Senior</v>
      </c>
      <c r="Y412" t="str">
        <f t="shared" si="34"/>
        <v>35-44</v>
      </c>
    </row>
    <row r="413" spans="1:25" x14ac:dyDescent="0.3">
      <c r="A413">
        <v>1412</v>
      </c>
      <c r="B413" t="s">
        <v>71</v>
      </c>
      <c r="C413" t="s">
        <v>37</v>
      </c>
      <c r="D413">
        <v>34</v>
      </c>
      <c r="E413" t="s">
        <v>62</v>
      </c>
      <c r="F413" t="s">
        <v>63</v>
      </c>
      <c r="G413" t="s">
        <v>24</v>
      </c>
      <c r="H413" t="s">
        <v>297</v>
      </c>
      <c r="I413">
        <v>10</v>
      </c>
      <c r="J413">
        <v>50894</v>
      </c>
      <c r="K413">
        <v>3.6</v>
      </c>
      <c r="L413">
        <v>82.5</v>
      </c>
      <c r="M413">
        <v>20</v>
      </c>
      <c r="N413">
        <v>12</v>
      </c>
      <c r="O413">
        <v>10160</v>
      </c>
      <c r="P413" t="s">
        <v>41</v>
      </c>
      <c r="Q413" t="s">
        <v>27</v>
      </c>
      <c r="R413" t="s">
        <v>28</v>
      </c>
      <c r="S413" t="s">
        <v>49</v>
      </c>
      <c r="T413" t="s">
        <v>50</v>
      </c>
      <c r="U413">
        <f t="shared" si="30"/>
        <v>61054</v>
      </c>
      <c r="V413" t="str">
        <f t="shared" si="31"/>
        <v>Needs Improvement</v>
      </c>
      <c r="W413" t="str">
        <f t="shared" si="32"/>
        <v>Normal</v>
      </c>
      <c r="X413" t="str">
        <f t="shared" si="33"/>
        <v>Senior</v>
      </c>
      <c r="Y413" t="str">
        <f t="shared" si="34"/>
        <v>25-34</v>
      </c>
    </row>
    <row r="414" spans="1:25" x14ac:dyDescent="0.3">
      <c r="A414">
        <v>1413</v>
      </c>
      <c r="B414" t="s">
        <v>83</v>
      </c>
      <c r="C414" t="s">
        <v>37</v>
      </c>
      <c r="D414">
        <v>28</v>
      </c>
      <c r="E414" t="s">
        <v>55</v>
      </c>
      <c r="F414" t="s">
        <v>79</v>
      </c>
      <c r="G414" t="s">
        <v>45</v>
      </c>
      <c r="H414" t="s">
        <v>466</v>
      </c>
      <c r="I414">
        <v>5</v>
      </c>
      <c r="J414">
        <v>33454</v>
      </c>
      <c r="K414">
        <v>4.2</v>
      </c>
      <c r="L414">
        <v>85.2</v>
      </c>
      <c r="M414">
        <v>5</v>
      </c>
      <c r="N414">
        <v>6</v>
      </c>
      <c r="O414">
        <v>11613</v>
      </c>
      <c r="P414" t="s">
        <v>53</v>
      </c>
      <c r="Q414" t="s">
        <v>48</v>
      </c>
      <c r="R414" t="s">
        <v>58</v>
      </c>
      <c r="S414" t="s">
        <v>34</v>
      </c>
      <c r="T414" t="s">
        <v>35</v>
      </c>
      <c r="U414">
        <f t="shared" si="30"/>
        <v>45067</v>
      </c>
      <c r="V414" t="str">
        <f t="shared" si="31"/>
        <v>Needs Improvement</v>
      </c>
      <c r="W414" t="str">
        <f t="shared" si="32"/>
        <v>Normal</v>
      </c>
      <c r="X414" t="str">
        <f t="shared" si="33"/>
        <v>Mid</v>
      </c>
      <c r="Y414" t="str">
        <f t="shared" si="34"/>
        <v>25-34</v>
      </c>
    </row>
    <row r="415" spans="1:25" x14ac:dyDescent="0.3">
      <c r="A415">
        <v>1414</v>
      </c>
      <c r="B415" t="s">
        <v>111</v>
      </c>
      <c r="C415" t="s">
        <v>21</v>
      </c>
      <c r="D415">
        <v>25</v>
      </c>
      <c r="E415" t="s">
        <v>55</v>
      </c>
      <c r="F415" t="s">
        <v>143</v>
      </c>
      <c r="G415" t="s">
        <v>45</v>
      </c>
      <c r="H415" t="s">
        <v>467</v>
      </c>
      <c r="I415">
        <v>9</v>
      </c>
      <c r="J415">
        <v>49909</v>
      </c>
      <c r="K415">
        <v>4.4000000000000004</v>
      </c>
      <c r="L415">
        <v>89.4</v>
      </c>
      <c r="M415">
        <v>3</v>
      </c>
      <c r="N415">
        <v>45</v>
      </c>
      <c r="O415">
        <v>8048</v>
      </c>
      <c r="P415" t="s">
        <v>26</v>
      </c>
      <c r="Q415" t="s">
        <v>27</v>
      </c>
      <c r="R415" t="s">
        <v>58</v>
      </c>
      <c r="S415" t="s">
        <v>34</v>
      </c>
      <c r="T415" t="s">
        <v>50</v>
      </c>
      <c r="U415">
        <f t="shared" si="30"/>
        <v>57957</v>
      </c>
      <c r="V415" t="str">
        <f t="shared" si="31"/>
        <v>Needs Improvement</v>
      </c>
      <c r="W415" t="str">
        <f t="shared" si="32"/>
        <v>Normal</v>
      </c>
      <c r="X415" t="str">
        <f t="shared" si="33"/>
        <v>Senior</v>
      </c>
      <c r="Y415" t="str">
        <f t="shared" si="34"/>
        <v>25-34</v>
      </c>
    </row>
    <row r="416" spans="1:25" x14ac:dyDescent="0.3">
      <c r="A416">
        <v>1415</v>
      </c>
      <c r="B416" t="s">
        <v>148</v>
      </c>
      <c r="C416" t="s">
        <v>21</v>
      </c>
      <c r="D416">
        <v>22</v>
      </c>
      <c r="E416" t="s">
        <v>22</v>
      </c>
      <c r="F416" t="s">
        <v>66</v>
      </c>
      <c r="G416" t="s">
        <v>64</v>
      </c>
      <c r="H416" t="s">
        <v>468</v>
      </c>
      <c r="I416">
        <v>9</v>
      </c>
      <c r="J416">
        <v>66586</v>
      </c>
      <c r="K416">
        <v>3.8</v>
      </c>
      <c r="L416">
        <v>96.5</v>
      </c>
      <c r="M416">
        <v>21</v>
      </c>
      <c r="N416">
        <v>5</v>
      </c>
      <c r="O416">
        <v>5465</v>
      </c>
      <c r="P416" t="s">
        <v>41</v>
      </c>
      <c r="Q416" t="s">
        <v>48</v>
      </c>
      <c r="R416" t="s">
        <v>28</v>
      </c>
      <c r="S416" t="s">
        <v>49</v>
      </c>
      <c r="T416" t="s">
        <v>50</v>
      </c>
      <c r="U416">
        <f t="shared" si="30"/>
        <v>72051</v>
      </c>
      <c r="V416" t="str">
        <f t="shared" si="31"/>
        <v>Excellent</v>
      </c>
      <c r="W416" t="str">
        <f t="shared" si="32"/>
        <v>High</v>
      </c>
      <c r="X416" t="str">
        <f t="shared" si="33"/>
        <v>Senior</v>
      </c>
      <c r="Y416" t="str">
        <f t="shared" si="34"/>
        <v>20-24</v>
      </c>
    </row>
    <row r="417" spans="1:25" x14ac:dyDescent="0.3">
      <c r="A417">
        <v>1416</v>
      </c>
      <c r="B417" t="s">
        <v>88</v>
      </c>
      <c r="C417" t="s">
        <v>37</v>
      </c>
      <c r="D417">
        <v>39</v>
      </c>
      <c r="E417" t="s">
        <v>38</v>
      </c>
      <c r="F417" t="s">
        <v>39</v>
      </c>
      <c r="G417" t="s">
        <v>59</v>
      </c>
      <c r="H417" t="s">
        <v>469</v>
      </c>
      <c r="I417">
        <v>7</v>
      </c>
      <c r="J417">
        <v>86122</v>
      </c>
      <c r="K417">
        <v>4.8</v>
      </c>
      <c r="L417">
        <v>88.1</v>
      </c>
      <c r="M417">
        <v>21</v>
      </c>
      <c r="N417">
        <v>49</v>
      </c>
      <c r="O417">
        <v>6262</v>
      </c>
      <c r="P417" t="s">
        <v>41</v>
      </c>
      <c r="Q417" t="s">
        <v>27</v>
      </c>
      <c r="R417" t="s">
        <v>70</v>
      </c>
      <c r="S417" t="s">
        <v>29</v>
      </c>
      <c r="T417" t="s">
        <v>50</v>
      </c>
      <c r="U417">
        <f t="shared" si="30"/>
        <v>92384</v>
      </c>
      <c r="V417" t="str">
        <f t="shared" si="31"/>
        <v>Needs Improvement</v>
      </c>
      <c r="W417" t="str">
        <f t="shared" si="32"/>
        <v>High</v>
      </c>
      <c r="X417" t="str">
        <f t="shared" si="33"/>
        <v>Senior</v>
      </c>
      <c r="Y417" t="str">
        <f t="shared" si="34"/>
        <v>35-44</v>
      </c>
    </row>
    <row r="418" spans="1:25" x14ac:dyDescent="0.3">
      <c r="A418">
        <v>1417</v>
      </c>
      <c r="B418" t="s">
        <v>73</v>
      </c>
      <c r="C418" t="s">
        <v>37</v>
      </c>
      <c r="D418">
        <v>34</v>
      </c>
      <c r="E418" t="s">
        <v>55</v>
      </c>
      <c r="F418" t="s">
        <v>79</v>
      </c>
      <c r="G418" t="s">
        <v>59</v>
      </c>
      <c r="H418" t="s">
        <v>470</v>
      </c>
      <c r="I418">
        <v>2</v>
      </c>
      <c r="J418">
        <v>90006</v>
      </c>
      <c r="K418">
        <v>3.8</v>
      </c>
      <c r="L418">
        <v>88.5</v>
      </c>
      <c r="M418">
        <v>6</v>
      </c>
      <c r="N418">
        <v>27</v>
      </c>
      <c r="O418">
        <v>3275</v>
      </c>
      <c r="P418" t="s">
        <v>41</v>
      </c>
      <c r="Q418" t="s">
        <v>48</v>
      </c>
      <c r="R418" t="s">
        <v>28</v>
      </c>
      <c r="S418" t="s">
        <v>29</v>
      </c>
      <c r="T418" t="s">
        <v>30</v>
      </c>
      <c r="U418">
        <f t="shared" si="30"/>
        <v>93281</v>
      </c>
      <c r="V418" t="str">
        <f t="shared" si="31"/>
        <v>Needs Improvement</v>
      </c>
      <c r="W418" t="str">
        <f t="shared" si="32"/>
        <v>Normal</v>
      </c>
      <c r="X418" t="str">
        <f t="shared" si="33"/>
        <v>Junior</v>
      </c>
      <c r="Y418" t="str">
        <f t="shared" si="34"/>
        <v>25-34</v>
      </c>
    </row>
    <row r="419" spans="1:25" x14ac:dyDescent="0.3">
      <c r="A419">
        <v>1418</v>
      </c>
      <c r="B419" t="s">
        <v>73</v>
      </c>
      <c r="C419" t="s">
        <v>37</v>
      </c>
      <c r="D419">
        <v>27</v>
      </c>
      <c r="E419" t="s">
        <v>22</v>
      </c>
      <c r="F419" t="s">
        <v>66</v>
      </c>
      <c r="G419" t="s">
        <v>51</v>
      </c>
      <c r="H419" t="s">
        <v>471</v>
      </c>
      <c r="I419">
        <v>8</v>
      </c>
      <c r="J419">
        <v>39225</v>
      </c>
      <c r="K419">
        <v>2.5</v>
      </c>
      <c r="L419">
        <v>90.3</v>
      </c>
      <c r="M419">
        <v>8</v>
      </c>
      <c r="N419">
        <v>16</v>
      </c>
      <c r="O419">
        <v>1469</v>
      </c>
      <c r="P419" t="s">
        <v>47</v>
      </c>
      <c r="Q419" t="s">
        <v>27</v>
      </c>
      <c r="R419" t="s">
        <v>42</v>
      </c>
      <c r="S419" t="s">
        <v>34</v>
      </c>
      <c r="T419" t="s">
        <v>50</v>
      </c>
      <c r="U419">
        <f t="shared" si="30"/>
        <v>40694</v>
      </c>
      <c r="V419" t="str">
        <f t="shared" si="31"/>
        <v>Needs Improvement</v>
      </c>
      <c r="W419" t="str">
        <f t="shared" si="32"/>
        <v>Normal</v>
      </c>
      <c r="X419" t="str">
        <f t="shared" si="33"/>
        <v>Senior</v>
      </c>
      <c r="Y419" t="str">
        <f t="shared" si="34"/>
        <v>25-34</v>
      </c>
    </row>
    <row r="420" spans="1:25" x14ac:dyDescent="0.3">
      <c r="A420">
        <v>1419</v>
      </c>
      <c r="B420" t="s">
        <v>178</v>
      </c>
      <c r="C420" t="s">
        <v>21</v>
      </c>
      <c r="D420">
        <v>28</v>
      </c>
      <c r="E420" t="s">
        <v>62</v>
      </c>
      <c r="F420" t="s">
        <v>63</v>
      </c>
      <c r="G420" t="s">
        <v>59</v>
      </c>
      <c r="H420" t="s">
        <v>472</v>
      </c>
      <c r="I420">
        <v>0</v>
      </c>
      <c r="J420">
        <v>86245</v>
      </c>
      <c r="K420">
        <v>3.4</v>
      </c>
      <c r="L420">
        <v>97.1</v>
      </c>
      <c r="M420">
        <v>8</v>
      </c>
      <c r="N420">
        <v>55</v>
      </c>
      <c r="O420">
        <v>13138</v>
      </c>
      <c r="P420" t="s">
        <v>33</v>
      </c>
      <c r="Q420" t="s">
        <v>27</v>
      </c>
      <c r="R420" t="s">
        <v>28</v>
      </c>
      <c r="S420" t="s">
        <v>29</v>
      </c>
      <c r="T420" t="s">
        <v>30</v>
      </c>
      <c r="U420">
        <f t="shared" si="30"/>
        <v>99383</v>
      </c>
      <c r="V420" t="str">
        <f t="shared" si="31"/>
        <v>Excellent</v>
      </c>
      <c r="W420" t="str">
        <f t="shared" si="32"/>
        <v>Normal</v>
      </c>
      <c r="X420" t="str">
        <f t="shared" si="33"/>
        <v>Junior</v>
      </c>
      <c r="Y420" t="str">
        <f t="shared" si="34"/>
        <v>25-34</v>
      </c>
    </row>
    <row r="421" spans="1:25" x14ac:dyDescent="0.3">
      <c r="A421">
        <v>1420</v>
      </c>
      <c r="B421" t="s">
        <v>83</v>
      </c>
      <c r="C421" t="s">
        <v>37</v>
      </c>
      <c r="D421">
        <v>39</v>
      </c>
      <c r="E421" t="s">
        <v>22</v>
      </c>
      <c r="F421" t="s">
        <v>66</v>
      </c>
      <c r="G421" t="s">
        <v>59</v>
      </c>
      <c r="H421" t="s">
        <v>473</v>
      </c>
      <c r="I421">
        <v>1</v>
      </c>
      <c r="J421">
        <v>89981</v>
      </c>
      <c r="K421">
        <v>4.2</v>
      </c>
      <c r="L421">
        <v>85.5</v>
      </c>
      <c r="M421">
        <v>15</v>
      </c>
      <c r="N421">
        <v>44</v>
      </c>
      <c r="O421">
        <v>6075</v>
      </c>
      <c r="P421" t="s">
        <v>53</v>
      </c>
      <c r="Q421" t="s">
        <v>27</v>
      </c>
      <c r="R421" t="s">
        <v>58</v>
      </c>
      <c r="S421" t="s">
        <v>29</v>
      </c>
      <c r="T421" t="s">
        <v>30</v>
      </c>
      <c r="U421">
        <f t="shared" si="30"/>
        <v>96056</v>
      </c>
      <c r="V421" t="str">
        <f t="shared" si="31"/>
        <v>Needs Improvement</v>
      </c>
      <c r="W421" t="str">
        <f t="shared" si="32"/>
        <v>Normal</v>
      </c>
      <c r="X421" t="str">
        <f t="shared" si="33"/>
        <v>Junior</v>
      </c>
      <c r="Y421" t="str">
        <f t="shared" si="34"/>
        <v>35-44</v>
      </c>
    </row>
    <row r="422" spans="1:25" x14ac:dyDescent="0.3">
      <c r="A422">
        <v>1421</v>
      </c>
      <c r="B422" t="s">
        <v>36</v>
      </c>
      <c r="C422" t="s">
        <v>37</v>
      </c>
      <c r="D422">
        <v>37</v>
      </c>
      <c r="E422" t="s">
        <v>62</v>
      </c>
      <c r="F422" t="s">
        <v>63</v>
      </c>
      <c r="G422" t="s">
        <v>24</v>
      </c>
      <c r="H422" t="s">
        <v>474</v>
      </c>
      <c r="I422">
        <v>6</v>
      </c>
      <c r="J422">
        <v>37574</v>
      </c>
      <c r="K422">
        <v>3.3</v>
      </c>
      <c r="L422">
        <v>87.9</v>
      </c>
      <c r="M422">
        <v>22</v>
      </c>
      <c r="N422">
        <v>29</v>
      </c>
      <c r="O422">
        <v>3753</v>
      </c>
      <c r="P422" t="s">
        <v>41</v>
      </c>
      <c r="Q422" t="s">
        <v>48</v>
      </c>
      <c r="R422" t="s">
        <v>28</v>
      </c>
      <c r="S422" t="s">
        <v>34</v>
      </c>
      <c r="T422" t="s">
        <v>50</v>
      </c>
      <c r="U422">
        <f t="shared" si="30"/>
        <v>41327</v>
      </c>
      <c r="V422" t="str">
        <f t="shared" si="31"/>
        <v>Needs Improvement</v>
      </c>
      <c r="W422" t="str">
        <f t="shared" si="32"/>
        <v>High</v>
      </c>
      <c r="X422" t="str">
        <f t="shared" si="33"/>
        <v>Mid</v>
      </c>
      <c r="Y422" t="str">
        <f t="shared" si="34"/>
        <v>35-44</v>
      </c>
    </row>
    <row r="423" spans="1:25" x14ac:dyDescent="0.3">
      <c r="A423">
        <v>1422</v>
      </c>
      <c r="B423" t="s">
        <v>148</v>
      </c>
      <c r="C423" t="s">
        <v>21</v>
      </c>
      <c r="D423">
        <v>42</v>
      </c>
      <c r="E423" t="s">
        <v>55</v>
      </c>
      <c r="F423" t="s">
        <v>143</v>
      </c>
      <c r="G423" t="s">
        <v>51</v>
      </c>
      <c r="H423" t="s">
        <v>475</v>
      </c>
      <c r="I423">
        <v>10</v>
      </c>
      <c r="J423">
        <v>69366</v>
      </c>
      <c r="K423">
        <v>3.3</v>
      </c>
      <c r="L423">
        <v>93.2</v>
      </c>
      <c r="M423">
        <v>2</v>
      </c>
      <c r="N423">
        <v>21</v>
      </c>
      <c r="O423">
        <v>11381</v>
      </c>
      <c r="P423" t="s">
        <v>33</v>
      </c>
      <c r="Q423" t="s">
        <v>48</v>
      </c>
      <c r="R423" t="s">
        <v>28</v>
      </c>
      <c r="S423" t="s">
        <v>49</v>
      </c>
      <c r="T423" t="s">
        <v>50</v>
      </c>
      <c r="U423">
        <f t="shared" si="30"/>
        <v>80747</v>
      </c>
      <c r="V423" t="str">
        <f t="shared" si="31"/>
        <v>Needs Improvement</v>
      </c>
      <c r="W423" t="str">
        <f t="shared" si="32"/>
        <v>Normal</v>
      </c>
      <c r="X423" t="str">
        <f t="shared" si="33"/>
        <v>Senior</v>
      </c>
      <c r="Y423" t="str">
        <f t="shared" si="34"/>
        <v>35-44</v>
      </c>
    </row>
    <row r="424" spans="1:25" x14ac:dyDescent="0.3">
      <c r="A424">
        <v>1423</v>
      </c>
      <c r="B424" t="s">
        <v>71</v>
      </c>
      <c r="C424" t="s">
        <v>37</v>
      </c>
      <c r="D424">
        <v>34</v>
      </c>
      <c r="E424" t="s">
        <v>38</v>
      </c>
      <c r="F424" t="s">
        <v>44</v>
      </c>
      <c r="G424" t="s">
        <v>24</v>
      </c>
      <c r="H424" t="s">
        <v>476</v>
      </c>
      <c r="I424">
        <v>2</v>
      </c>
      <c r="J424">
        <v>62621</v>
      </c>
      <c r="K424">
        <v>4.0999999999999996</v>
      </c>
      <c r="L424">
        <v>91.1</v>
      </c>
      <c r="M424">
        <v>18</v>
      </c>
      <c r="N424">
        <v>32</v>
      </c>
      <c r="O424">
        <v>12274</v>
      </c>
      <c r="P424" t="s">
        <v>41</v>
      </c>
      <c r="Q424" t="s">
        <v>27</v>
      </c>
      <c r="R424" t="s">
        <v>58</v>
      </c>
      <c r="S424" t="s">
        <v>49</v>
      </c>
      <c r="T424" t="s">
        <v>30</v>
      </c>
      <c r="U424">
        <f t="shared" si="30"/>
        <v>74895</v>
      </c>
      <c r="V424" t="str">
        <f t="shared" si="31"/>
        <v>Needs Improvement</v>
      </c>
      <c r="W424" t="str">
        <f t="shared" si="32"/>
        <v>Normal</v>
      </c>
      <c r="X424" t="str">
        <f t="shared" si="33"/>
        <v>Junior</v>
      </c>
      <c r="Y424" t="str">
        <f t="shared" si="34"/>
        <v>25-34</v>
      </c>
    </row>
    <row r="425" spans="1:25" x14ac:dyDescent="0.3">
      <c r="A425">
        <v>1424</v>
      </c>
      <c r="B425" t="s">
        <v>31</v>
      </c>
      <c r="C425" t="s">
        <v>21</v>
      </c>
      <c r="D425">
        <v>42</v>
      </c>
      <c r="E425" t="s">
        <v>62</v>
      </c>
      <c r="F425" t="s">
        <v>63</v>
      </c>
      <c r="G425" t="s">
        <v>51</v>
      </c>
      <c r="H425" t="s">
        <v>477</v>
      </c>
      <c r="I425">
        <v>0</v>
      </c>
      <c r="J425">
        <v>29712</v>
      </c>
      <c r="K425">
        <v>4.3</v>
      </c>
      <c r="L425">
        <v>97.5</v>
      </c>
      <c r="M425">
        <v>5</v>
      </c>
      <c r="N425">
        <v>39</v>
      </c>
      <c r="O425">
        <v>8478</v>
      </c>
      <c r="P425" t="s">
        <v>33</v>
      </c>
      <c r="Q425" t="s">
        <v>48</v>
      </c>
      <c r="R425" t="s">
        <v>58</v>
      </c>
      <c r="S425" t="s">
        <v>34</v>
      </c>
      <c r="T425" t="s">
        <v>30</v>
      </c>
      <c r="U425">
        <f t="shared" si="30"/>
        <v>38190</v>
      </c>
      <c r="V425" t="str">
        <f t="shared" si="31"/>
        <v>Excellent</v>
      </c>
      <c r="W425" t="str">
        <f t="shared" si="32"/>
        <v>Normal</v>
      </c>
      <c r="X425" t="str">
        <f t="shared" si="33"/>
        <v>Junior</v>
      </c>
      <c r="Y425" t="str">
        <f t="shared" si="34"/>
        <v>35-44</v>
      </c>
    </row>
    <row r="426" spans="1:25" x14ac:dyDescent="0.3">
      <c r="A426">
        <v>1425</v>
      </c>
      <c r="B426" t="s">
        <v>68</v>
      </c>
      <c r="C426" t="s">
        <v>37</v>
      </c>
      <c r="D426">
        <v>40</v>
      </c>
      <c r="E426" t="s">
        <v>38</v>
      </c>
      <c r="F426" t="s">
        <v>44</v>
      </c>
      <c r="G426" t="s">
        <v>24</v>
      </c>
      <c r="H426" t="s">
        <v>478</v>
      </c>
      <c r="I426">
        <v>5</v>
      </c>
      <c r="J426">
        <v>87597</v>
      </c>
      <c r="K426">
        <v>3.7</v>
      </c>
      <c r="L426">
        <v>93.3</v>
      </c>
      <c r="M426">
        <v>17</v>
      </c>
      <c r="N426">
        <v>14</v>
      </c>
      <c r="O426">
        <v>8239</v>
      </c>
      <c r="P426" t="s">
        <v>41</v>
      </c>
      <c r="Q426" t="s">
        <v>48</v>
      </c>
      <c r="R426" t="s">
        <v>28</v>
      </c>
      <c r="S426" t="s">
        <v>29</v>
      </c>
      <c r="T426" t="s">
        <v>35</v>
      </c>
      <c r="U426">
        <f t="shared" si="30"/>
        <v>95836</v>
      </c>
      <c r="V426" t="str">
        <f t="shared" si="31"/>
        <v>Needs Improvement</v>
      </c>
      <c r="W426" t="str">
        <f t="shared" si="32"/>
        <v>Normal</v>
      </c>
      <c r="X426" t="str">
        <f t="shared" si="33"/>
        <v>Mid</v>
      </c>
      <c r="Y426" t="str">
        <f t="shared" si="34"/>
        <v>35-44</v>
      </c>
    </row>
    <row r="427" spans="1:25" x14ac:dyDescent="0.3">
      <c r="A427">
        <v>1426</v>
      </c>
      <c r="B427" t="s">
        <v>99</v>
      </c>
      <c r="C427" t="s">
        <v>37</v>
      </c>
      <c r="D427">
        <v>33</v>
      </c>
      <c r="E427" t="s">
        <v>62</v>
      </c>
      <c r="F427" t="s">
        <v>97</v>
      </c>
      <c r="G427" t="s">
        <v>45</v>
      </c>
      <c r="H427" t="s">
        <v>254</v>
      </c>
      <c r="I427">
        <v>4</v>
      </c>
      <c r="J427">
        <v>89149</v>
      </c>
      <c r="K427">
        <v>4.5999999999999996</v>
      </c>
      <c r="L427">
        <v>88.7</v>
      </c>
      <c r="M427">
        <v>25</v>
      </c>
      <c r="N427">
        <v>56</v>
      </c>
      <c r="O427">
        <v>9860</v>
      </c>
      <c r="P427" t="s">
        <v>41</v>
      </c>
      <c r="Q427" t="s">
        <v>27</v>
      </c>
      <c r="R427" t="s">
        <v>70</v>
      </c>
      <c r="S427" t="s">
        <v>29</v>
      </c>
      <c r="T427" t="s">
        <v>35</v>
      </c>
      <c r="U427">
        <f t="shared" si="30"/>
        <v>99009</v>
      </c>
      <c r="V427" t="str">
        <f t="shared" si="31"/>
        <v>Needs Improvement</v>
      </c>
      <c r="W427" t="str">
        <f t="shared" si="32"/>
        <v>High</v>
      </c>
      <c r="X427" t="str">
        <f t="shared" si="33"/>
        <v>Mid</v>
      </c>
      <c r="Y427" t="str">
        <f t="shared" si="34"/>
        <v>25-34</v>
      </c>
    </row>
    <row r="428" spans="1:25" x14ac:dyDescent="0.3">
      <c r="A428">
        <v>1427</v>
      </c>
      <c r="B428" t="s">
        <v>178</v>
      </c>
      <c r="C428" t="s">
        <v>37</v>
      </c>
      <c r="D428">
        <v>32</v>
      </c>
      <c r="E428" t="s">
        <v>91</v>
      </c>
      <c r="F428" t="s">
        <v>92</v>
      </c>
      <c r="G428" t="s">
        <v>64</v>
      </c>
      <c r="H428" t="s">
        <v>134</v>
      </c>
      <c r="I428">
        <v>5</v>
      </c>
      <c r="J428">
        <v>67808</v>
      </c>
      <c r="K428">
        <v>3.5</v>
      </c>
      <c r="L428">
        <v>87.1</v>
      </c>
      <c r="M428">
        <v>20</v>
      </c>
      <c r="N428">
        <v>38</v>
      </c>
      <c r="O428">
        <v>2392</v>
      </c>
      <c r="P428" t="s">
        <v>33</v>
      </c>
      <c r="Q428" t="s">
        <v>48</v>
      </c>
      <c r="R428" t="s">
        <v>28</v>
      </c>
      <c r="S428" t="s">
        <v>49</v>
      </c>
      <c r="T428" t="s">
        <v>35</v>
      </c>
      <c r="U428">
        <f t="shared" si="30"/>
        <v>70200</v>
      </c>
      <c r="V428" t="str">
        <f t="shared" si="31"/>
        <v>Needs Improvement</v>
      </c>
      <c r="W428" t="str">
        <f t="shared" si="32"/>
        <v>Normal</v>
      </c>
      <c r="X428" t="str">
        <f t="shared" si="33"/>
        <v>Mid</v>
      </c>
      <c r="Y428" t="str">
        <f t="shared" si="34"/>
        <v>25-34</v>
      </c>
    </row>
    <row r="429" spans="1:25" x14ac:dyDescent="0.3">
      <c r="A429">
        <v>1428</v>
      </c>
      <c r="B429" t="s">
        <v>85</v>
      </c>
      <c r="C429" t="s">
        <v>37</v>
      </c>
      <c r="D429">
        <v>42</v>
      </c>
      <c r="E429" t="s">
        <v>22</v>
      </c>
      <c r="F429" t="s">
        <v>66</v>
      </c>
      <c r="G429" t="s">
        <v>59</v>
      </c>
      <c r="H429" t="s">
        <v>479</v>
      </c>
      <c r="I429">
        <v>7</v>
      </c>
      <c r="J429">
        <v>69547</v>
      </c>
      <c r="K429">
        <v>4</v>
      </c>
      <c r="L429">
        <v>82.6</v>
      </c>
      <c r="M429">
        <v>7</v>
      </c>
      <c r="N429">
        <v>53</v>
      </c>
      <c r="O429">
        <v>14965</v>
      </c>
      <c r="P429" t="s">
        <v>47</v>
      </c>
      <c r="Q429" t="s">
        <v>48</v>
      </c>
      <c r="R429" t="s">
        <v>58</v>
      </c>
      <c r="S429" t="s">
        <v>49</v>
      </c>
      <c r="T429" t="s">
        <v>50</v>
      </c>
      <c r="U429">
        <f t="shared" si="30"/>
        <v>84512</v>
      </c>
      <c r="V429" t="str">
        <f t="shared" si="31"/>
        <v>Needs Improvement</v>
      </c>
      <c r="W429" t="str">
        <f t="shared" si="32"/>
        <v>Normal</v>
      </c>
      <c r="X429" t="str">
        <f t="shared" si="33"/>
        <v>Senior</v>
      </c>
      <c r="Y429" t="str">
        <f t="shared" si="34"/>
        <v>35-44</v>
      </c>
    </row>
    <row r="430" spans="1:25" x14ac:dyDescent="0.3">
      <c r="A430">
        <v>1429</v>
      </c>
      <c r="B430" t="s">
        <v>68</v>
      </c>
      <c r="C430" t="s">
        <v>21</v>
      </c>
      <c r="D430">
        <v>35</v>
      </c>
      <c r="E430" t="s">
        <v>91</v>
      </c>
      <c r="F430" t="s">
        <v>101</v>
      </c>
      <c r="G430" t="s">
        <v>59</v>
      </c>
      <c r="H430" t="s">
        <v>480</v>
      </c>
      <c r="I430">
        <v>3</v>
      </c>
      <c r="J430">
        <v>80912</v>
      </c>
      <c r="K430">
        <v>4</v>
      </c>
      <c r="L430">
        <v>87.7</v>
      </c>
      <c r="M430">
        <v>22</v>
      </c>
      <c r="N430">
        <v>37</v>
      </c>
      <c r="O430">
        <v>1502</v>
      </c>
      <c r="P430" t="s">
        <v>41</v>
      </c>
      <c r="Q430" t="s">
        <v>48</v>
      </c>
      <c r="R430" t="s">
        <v>58</v>
      </c>
      <c r="S430" t="s">
        <v>29</v>
      </c>
      <c r="T430" t="s">
        <v>35</v>
      </c>
      <c r="U430">
        <f t="shared" si="30"/>
        <v>82414</v>
      </c>
      <c r="V430" t="str">
        <f t="shared" si="31"/>
        <v>Needs Improvement</v>
      </c>
      <c r="W430" t="str">
        <f t="shared" si="32"/>
        <v>High</v>
      </c>
      <c r="X430" t="str">
        <f t="shared" si="33"/>
        <v>Mid</v>
      </c>
      <c r="Y430" t="str">
        <f t="shared" si="34"/>
        <v>35-44</v>
      </c>
    </row>
    <row r="431" spans="1:25" x14ac:dyDescent="0.3">
      <c r="A431">
        <v>1430</v>
      </c>
      <c r="B431" t="s">
        <v>83</v>
      </c>
      <c r="C431" t="s">
        <v>21</v>
      </c>
      <c r="D431">
        <v>35</v>
      </c>
      <c r="E431" t="s">
        <v>38</v>
      </c>
      <c r="F431" t="s">
        <v>39</v>
      </c>
      <c r="G431" t="s">
        <v>51</v>
      </c>
      <c r="H431" t="s">
        <v>481</v>
      </c>
      <c r="I431">
        <v>8</v>
      </c>
      <c r="J431">
        <v>32958</v>
      </c>
      <c r="K431">
        <v>4.3</v>
      </c>
      <c r="L431">
        <v>93.6</v>
      </c>
      <c r="M431">
        <v>6</v>
      </c>
      <c r="N431">
        <v>53</v>
      </c>
      <c r="O431">
        <v>14166</v>
      </c>
      <c r="P431" t="s">
        <v>33</v>
      </c>
      <c r="Q431" t="s">
        <v>27</v>
      </c>
      <c r="R431" t="s">
        <v>58</v>
      </c>
      <c r="S431" t="s">
        <v>34</v>
      </c>
      <c r="T431" t="s">
        <v>50</v>
      </c>
      <c r="U431">
        <f t="shared" si="30"/>
        <v>47124</v>
      </c>
      <c r="V431" t="str">
        <f t="shared" si="31"/>
        <v>Needs Improvement</v>
      </c>
      <c r="W431" t="str">
        <f t="shared" si="32"/>
        <v>Normal</v>
      </c>
      <c r="X431" t="str">
        <f t="shared" si="33"/>
        <v>Senior</v>
      </c>
      <c r="Y431" t="str">
        <f t="shared" si="34"/>
        <v>35-44</v>
      </c>
    </row>
    <row r="432" spans="1:25" x14ac:dyDescent="0.3">
      <c r="A432">
        <v>1431</v>
      </c>
      <c r="B432" t="s">
        <v>124</v>
      </c>
      <c r="C432" t="s">
        <v>37</v>
      </c>
      <c r="D432">
        <v>27</v>
      </c>
      <c r="E432" t="s">
        <v>62</v>
      </c>
      <c r="F432" t="s">
        <v>97</v>
      </c>
      <c r="G432" t="s">
        <v>59</v>
      </c>
      <c r="H432" t="s">
        <v>185</v>
      </c>
      <c r="I432">
        <v>2</v>
      </c>
      <c r="J432">
        <v>28666</v>
      </c>
      <c r="K432">
        <v>4</v>
      </c>
      <c r="L432">
        <v>88.3</v>
      </c>
      <c r="M432">
        <v>1</v>
      </c>
      <c r="N432">
        <v>34</v>
      </c>
      <c r="O432">
        <v>7713</v>
      </c>
      <c r="P432" t="s">
        <v>41</v>
      </c>
      <c r="Q432" t="s">
        <v>27</v>
      </c>
      <c r="R432" t="s">
        <v>58</v>
      </c>
      <c r="S432" t="s">
        <v>34</v>
      </c>
      <c r="T432" t="s">
        <v>30</v>
      </c>
      <c r="U432">
        <f t="shared" si="30"/>
        <v>36379</v>
      </c>
      <c r="V432" t="str">
        <f t="shared" si="31"/>
        <v>Needs Improvement</v>
      </c>
      <c r="W432" t="str">
        <f t="shared" si="32"/>
        <v>Normal</v>
      </c>
      <c r="X432" t="str">
        <f t="shared" si="33"/>
        <v>Junior</v>
      </c>
      <c r="Y432" t="str">
        <f t="shared" si="34"/>
        <v>25-34</v>
      </c>
    </row>
    <row r="433" spans="1:25" x14ac:dyDescent="0.3">
      <c r="A433">
        <v>1432</v>
      </c>
      <c r="B433" t="s">
        <v>83</v>
      </c>
      <c r="C433" t="s">
        <v>21</v>
      </c>
      <c r="D433">
        <v>32</v>
      </c>
      <c r="E433" t="s">
        <v>62</v>
      </c>
      <c r="F433" t="s">
        <v>97</v>
      </c>
      <c r="G433" t="s">
        <v>45</v>
      </c>
      <c r="H433" t="s">
        <v>482</v>
      </c>
      <c r="I433">
        <v>8</v>
      </c>
      <c r="J433">
        <v>68212</v>
      </c>
      <c r="K433">
        <v>2.8</v>
      </c>
      <c r="L433">
        <v>84.2</v>
      </c>
      <c r="M433">
        <v>4</v>
      </c>
      <c r="N433">
        <v>17</v>
      </c>
      <c r="O433">
        <v>11223</v>
      </c>
      <c r="P433" t="s">
        <v>41</v>
      </c>
      <c r="Q433" t="s">
        <v>27</v>
      </c>
      <c r="R433" t="s">
        <v>42</v>
      </c>
      <c r="S433" t="s">
        <v>49</v>
      </c>
      <c r="T433" t="s">
        <v>50</v>
      </c>
      <c r="U433">
        <f t="shared" si="30"/>
        <v>79435</v>
      </c>
      <c r="V433" t="str">
        <f t="shared" si="31"/>
        <v>Needs Improvement</v>
      </c>
      <c r="W433" t="str">
        <f t="shared" si="32"/>
        <v>Normal</v>
      </c>
      <c r="X433" t="str">
        <f t="shared" si="33"/>
        <v>Senior</v>
      </c>
      <c r="Y433" t="str">
        <f t="shared" si="34"/>
        <v>25-34</v>
      </c>
    </row>
    <row r="434" spans="1:25" x14ac:dyDescent="0.3">
      <c r="A434">
        <v>1433</v>
      </c>
      <c r="B434" t="s">
        <v>73</v>
      </c>
      <c r="C434" t="s">
        <v>21</v>
      </c>
      <c r="D434">
        <v>42</v>
      </c>
      <c r="E434" t="s">
        <v>22</v>
      </c>
      <c r="F434" t="s">
        <v>66</v>
      </c>
      <c r="G434" t="s">
        <v>51</v>
      </c>
      <c r="H434" t="s">
        <v>483</v>
      </c>
      <c r="I434">
        <v>4</v>
      </c>
      <c r="J434">
        <v>34101</v>
      </c>
      <c r="K434">
        <v>4.5999999999999996</v>
      </c>
      <c r="L434">
        <v>99.4</v>
      </c>
      <c r="M434">
        <v>4</v>
      </c>
      <c r="N434">
        <v>27</v>
      </c>
      <c r="O434">
        <v>4666</v>
      </c>
      <c r="P434" t="s">
        <v>47</v>
      </c>
      <c r="Q434" t="s">
        <v>48</v>
      </c>
      <c r="R434" t="s">
        <v>70</v>
      </c>
      <c r="S434" t="s">
        <v>34</v>
      </c>
      <c r="T434" t="s">
        <v>35</v>
      </c>
      <c r="U434">
        <f t="shared" si="30"/>
        <v>38767</v>
      </c>
      <c r="V434" t="str">
        <f t="shared" si="31"/>
        <v>Excellent</v>
      </c>
      <c r="W434" t="str">
        <f t="shared" si="32"/>
        <v>Normal</v>
      </c>
      <c r="X434" t="str">
        <f t="shared" si="33"/>
        <v>Mid</v>
      </c>
      <c r="Y434" t="str">
        <f t="shared" si="34"/>
        <v>35-44</v>
      </c>
    </row>
    <row r="435" spans="1:25" x14ac:dyDescent="0.3">
      <c r="A435">
        <v>1434</v>
      </c>
      <c r="B435" t="s">
        <v>178</v>
      </c>
      <c r="C435" t="s">
        <v>21</v>
      </c>
      <c r="D435">
        <v>35</v>
      </c>
      <c r="E435" t="s">
        <v>38</v>
      </c>
      <c r="F435" t="s">
        <v>44</v>
      </c>
      <c r="G435" t="s">
        <v>51</v>
      </c>
      <c r="H435" t="s">
        <v>484</v>
      </c>
      <c r="I435">
        <v>7</v>
      </c>
      <c r="J435">
        <v>92385</v>
      </c>
      <c r="K435">
        <v>3.1</v>
      </c>
      <c r="L435">
        <v>95</v>
      </c>
      <c r="M435">
        <v>9</v>
      </c>
      <c r="N435">
        <v>54</v>
      </c>
      <c r="O435">
        <v>5268</v>
      </c>
      <c r="P435" t="s">
        <v>26</v>
      </c>
      <c r="Q435" t="s">
        <v>27</v>
      </c>
      <c r="R435" t="s">
        <v>28</v>
      </c>
      <c r="S435" t="s">
        <v>29</v>
      </c>
      <c r="T435" t="s">
        <v>50</v>
      </c>
      <c r="U435">
        <f t="shared" si="30"/>
        <v>97653</v>
      </c>
      <c r="V435" t="str">
        <f t="shared" si="31"/>
        <v>Excellent</v>
      </c>
      <c r="W435" t="str">
        <f t="shared" si="32"/>
        <v>Normal</v>
      </c>
      <c r="X435" t="str">
        <f t="shared" si="33"/>
        <v>Senior</v>
      </c>
      <c r="Y435" t="str">
        <f t="shared" si="34"/>
        <v>35-44</v>
      </c>
    </row>
    <row r="436" spans="1:25" x14ac:dyDescent="0.3">
      <c r="A436">
        <v>1435</v>
      </c>
      <c r="B436" t="s">
        <v>124</v>
      </c>
      <c r="C436" t="s">
        <v>37</v>
      </c>
      <c r="D436">
        <v>41</v>
      </c>
      <c r="E436" t="s">
        <v>55</v>
      </c>
      <c r="F436" t="s">
        <v>79</v>
      </c>
      <c r="G436" t="s">
        <v>59</v>
      </c>
      <c r="H436" t="s">
        <v>147</v>
      </c>
      <c r="I436">
        <v>9</v>
      </c>
      <c r="J436">
        <v>63334</v>
      </c>
      <c r="K436">
        <v>2.6</v>
      </c>
      <c r="L436">
        <v>98.9</v>
      </c>
      <c r="M436">
        <v>1</v>
      </c>
      <c r="N436">
        <v>48</v>
      </c>
      <c r="O436">
        <v>12082</v>
      </c>
      <c r="P436" t="s">
        <v>41</v>
      </c>
      <c r="Q436" t="s">
        <v>48</v>
      </c>
      <c r="R436" t="s">
        <v>42</v>
      </c>
      <c r="S436" t="s">
        <v>49</v>
      </c>
      <c r="T436" t="s">
        <v>50</v>
      </c>
      <c r="U436">
        <f t="shared" si="30"/>
        <v>75416</v>
      </c>
      <c r="V436" t="str">
        <f t="shared" si="31"/>
        <v>Excellent</v>
      </c>
      <c r="W436" t="str">
        <f t="shared" si="32"/>
        <v>Normal</v>
      </c>
      <c r="X436" t="str">
        <f t="shared" si="33"/>
        <v>Senior</v>
      </c>
      <c r="Y436" t="str">
        <f t="shared" si="34"/>
        <v>35-44</v>
      </c>
    </row>
    <row r="437" spans="1:25" x14ac:dyDescent="0.3">
      <c r="A437">
        <v>1436</v>
      </c>
      <c r="B437" t="s">
        <v>99</v>
      </c>
      <c r="C437" t="s">
        <v>21</v>
      </c>
      <c r="D437">
        <v>38</v>
      </c>
      <c r="E437" t="s">
        <v>22</v>
      </c>
      <c r="F437" t="s">
        <v>23</v>
      </c>
      <c r="G437" t="s">
        <v>51</v>
      </c>
      <c r="H437" t="s">
        <v>485</v>
      </c>
      <c r="I437">
        <v>7</v>
      </c>
      <c r="J437">
        <v>58320</v>
      </c>
      <c r="K437">
        <v>4.5</v>
      </c>
      <c r="L437">
        <v>83.9</v>
      </c>
      <c r="M437">
        <v>12</v>
      </c>
      <c r="N437">
        <v>36</v>
      </c>
      <c r="O437">
        <v>4577</v>
      </c>
      <c r="P437" t="s">
        <v>41</v>
      </c>
      <c r="Q437" t="s">
        <v>27</v>
      </c>
      <c r="R437" t="s">
        <v>70</v>
      </c>
      <c r="S437" t="s">
        <v>49</v>
      </c>
      <c r="T437" t="s">
        <v>50</v>
      </c>
      <c r="U437">
        <f t="shared" si="30"/>
        <v>62897</v>
      </c>
      <c r="V437" t="str">
        <f t="shared" si="31"/>
        <v>Needs Improvement</v>
      </c>
      <c r="W437" t="str">
        <f t="shared" si="32"/>
        <v>Normal</v>
      </c>
      <c r="X437" t="str">
        <f t="shared" si="33"/>
        <v>Senior</v>
      </c>
      <c r="Y437" t="str">
        <f t="shared" si="34"/>
        <v>35-44</v>
      </c>
    </row>
    <row r="438" spans="1:25" x14ac:dyDescent="0.3">
      <c r="A438">
        <v>1437</v>
      </c>
      <c r="B438" t="s">
        <v>148</v>
      </c>
      <c r="C438" t="s">
        <v>21</v>
      </c>
      <c r="D438">
        <v>34</v>
      </c>
      <c r="E438" t="s">
        <v>62</v>
      </c>
      <c r="F438" t="s">
        <v>63</v>
      </c>
      <c r="G438" t="s">
        <v>24</v>
      </c>
      <c r="H438" t="s">
        <v>486</v>
      </c>
      <c r="I438">
        <v>7</v>
      </c>
      <c r="J438">
        <v>61911</v>
      </c>
      <c r="K438">
        <v>4.3</v>
      </c>
      <c r="L438">
        <v>86.5</v>
      </c>
      <c r="M438">
        <v>20</v>
      </c>
      <c r="N438">
        <v>15</v>
      </c>
      <c r="O438">
        <v>6569</v>
      </c>
      <c r="P438" t="s">
        <v>53</v>
      </c>
      <c r="Q438" t="s">
        <v>48</v>
      </c>
      <c r="R438" t="s">
        <v>58</v>
      </c>
      <c r="S438" t="s">
        <v>49</v>
      </c>
      <c r="T438" t="s">
        <v>50</v>
      </c>
      <c r="U438">
        <f t="shared" si="30"/>
        <v>68480</v>
      </c>
      <c r="V438" t="str">
        <f t="shared" si="31"/>
        <v>Needs Improvement</v>
      </c>
      <c r="W438" t="str">
        <f t="shared" si="32"/>
        <v>Normal</v>
      </c>
      <c r="X438" t="str">
        <f t="shared" si="33"/>
        <v>Senior</v>
      </c>
      <c r="Y438" t="str">
        <f t="shared" si="34"/>
        <v>25-34</v>
      </c>
    </row>
    <row r="439" spans="1:25" x14ac:dyDescent="0.3">
      <c r="A439">
        <v>1438</v>
      </c>
      <c r="B439" t="s">
        <v>88</v>
      </c>
      <c r="C439" t="s">
        <v>21</v>
      </c>
      <c r="D439">
        <v>31</v>
      </c>
      <c r="E439" t="s">
        <v>38</v>
      </c>
      <c r="F439" t="s">
        <v>39</v>
      </c>
      <c r="G439" t="s">
        <v>64</v>
      </c>
      <c r="H439" t="s">
        <v>288</v>
      </c>
      <c r="I439">
        <v>10</v>
      </c>
      <c r="J439">
        <v>93613</v>
      </c>
      <c r="K439">
        <v>3.8</v>
      </c>
      <c r="L439">
        <v>87.4</v>
      </c>
      <c r="M439">
        <v>3</v>
      </c>
      <c r="N439">
        <v>16</v>
      </c>
      <c r="O439">
        <v>9683</v>
      </c>
      <c r="P439" t="s">
        <v>33</v>
      </c>
      <c r="Q439" t="s">
        <v>27</v>
      </c>
      <c r="R439" t="s">
        <v>28</v>
      </c>
      <c r="S439" t="s">
        <v>29</v>
      </c>
      <c r="T439" t="s">
        <v>50</v>
      </c>
      <c r="U439">
        <f t="shared" si="30"/>
        <v>103296</v>
      </c>
      <c r="V439" t="str">
        <f t="shared" si="31"/>
        <v>Needs Improvement</v>
      </c>
      <c r="W439" t="str">
        <f t="shared" si="32"/>
        <v>Normal</v>
      </c>
      <c r="X439" t="str">
        <f t="shared" si="33"/>
        <v>Senior</v>
      </c>
      <c r="Y439" t="str">
        <f t="shared" si="34"/>
        <v>25-34</v>
      </c>
    </row>
    <row r="440" spans="1:25" x14ac:dyDescent="0.3">
      <c r="A440">
        <v>1439</v>
      </c>
      <c r="B440" t="s">
        <v>71</v>
      </c>
      <c r="C440" t="s">
        <v>21</v>
      </c>
      <c r="D440">
        <v>37</v>
      </c>
      <c r="E440" t="s">
        <v>91</v>
      </c>
      <c r="F440" t="s">
        <v>92</v>
      </c>
      <c r="G440" t="s">
        <v>45</v>
      </c>
      <c r="H440" t="s">
        <v>487</v>
      </c>
      <c r="I440">
        <v>5</v>
      </c>
      <c r="J440">
        <v>79725</v>
      </c>
      <c r="K440">
        <v>2.9</v>
      </c>
      <c r="L440">
        <v>90</v>
      </c>
      <c r="M440">
        <v>1</v>
      </c>
      <c r="N440">
        <v>36</v>
      </c>
      <c r="O440">
        <v>13639</v>
      </c>
      <c r="P440" t="s">
        <v>41</v>
      </c>
      <c r="Q440" t="s">
        <v>48</v>
      </c>
      <c r="R440" t="s">
        <v>42</v>
      </c>
      <c r="S440" t="s">
        <v>29</v>
      </c>
      <c r="T440" t="s">
        <v>35</v>
      </c>
      <c r="U440">
        <f t="shared" si="30"/>
        <v>93364</v>
      </c>
      <c r="V440" t="str">
        <f t="shared" si="31"/>
        <v>Needs Improvement</v>
      </c>
      <c r="W440" t="str">
        <f t="shared" si="32"/>
        <v>Normal</v>
      </c>
      <c r="X440" t="str">
        <f t="shared" si="33"/>
        <v>Mid</v>
      </c>
      <c r="Y440" t="str">
        <f t="shared" si="34"/>
        <v>35-44</v>
      </c>
    </row>
    <row r="441" spans="1:25" x14ac:dyDescent="0.3">
      <c r="A441">
        <v>1440</v>
      </c>
      <c r="B441" t="s">
        <v>31</v>
      </c>
      <c r="C441" t="s">
        <v>21</v>
      </c>
      <c r="D441">
        <v>24</v>
      </c>
      <c r="E441" t="s">
        <v>62</v>
      </c>
      <c r="F441" t="s">
        <v>63</v>
      </c>
      <c r="G441" t="s">
        <v>24</v>
      </c>
      <c r="H441" t="s">
        <v>488</v>
      </c>
      <c r="I441">
        <v>4</v>
      </c>
      <c r="J441">
        <v>89813</v>
      </c>
      <c r="K441">
        <v>4.8</v>
      </c>
      <c r="L441">
        <v>99.2</v>
      </c>
      <c r="M441">
        <v>16</v>
      </c>
      <c r="N441">
        <v>21</v>
      </c>
      <c r="O441">
        <v>7138</v>
      </c>
      <c r="P441" t="s">
        <v>53</v>
      </c>
      <c r="Q441" t="s">
        <v>27</v>
      </c>
      <c r="R441" t="s">
        <v>70</v>
      </c>
      <c r="S441" t="s">
        <v>29</v>
      </c>
      <c r="T441" t="s">
        <v>35</v>
      </c>
      <c r="U441">
        <f t="shared" si="30"/>
        <v>96951</v>
      </c>
      <c r="V441" t="str">
        <f t="shared" si="31"/>
        <v>Excellent</v>
      </c>
      <c r="W441" t="str">
        <f t="shared" si="32"/>
        <v>Normal</v>
      </c>
      <c r="X441" t="str">
        <f t="shared" si="33"/>
        <v>Mid</v>
      </c>
      <c r="Y441" t="str">
        <f t="shared" si="34"/>
        <v>20-24</v>
      </c>
    </row>
    <row r="442" spans="1:25" x14ac:dyDescent="0.3">
      <c r="A442">
        <v>1441</v>
      </c>
      <c r="B442" t="s">
        <v>88</v>
      </c>
      <c r="C442" t="s">
        <v>21</v>
      </c>
      <c r="D442">
        <v>29</v>
      </c>
      <c r="E442" t="s">
        <v>62</v>
      </c>
      <c r="F442" t="s">
        <v>63</v>
      </c>
      <c r="G442" t="s">
        <v>64</v>
      </c>
      <c r="H442" t="s">
        <v>489</v>
      </c>
      <c r="I442">
        <v>5</v>
      </c>
      <c r="J442">
        <v>79481</v>
      </c>
      <c r="K442">
        <v>3.8</v>
      </c>
      <c r="L442">
        <v>90.1</v>
      </c>
      <c r="M442">
        <v>14</v>
      </c>
      <c r="N442">
        <v>43</v>
      </c>
      <c r="O442">
        <v>12307</v>
      </c>
      <c r="P442" t="s">
        <v>41</v>
      </c>
      <c r="Q442" t="s">
        <v>27</v>
      </c>
      <c r="R442" t="s">
        <v>28</v>
      </c>
      <c r="S442" t="s">
        <v>29</v>
      </c>
      <c r="T442" t="s">
        <v>35</v>
      </c>
      <c r="U442">
        <f t="shared" si="30"/>
        <v>91788</v>
      </c>
      <c r="V442" t="str">
        <f t="shared" si="31"/>
        <v>Needs Improvement</v>
      </c>
      <c r="W442" t="str">
        <f t="shared" si="32"/>
        <v>Normal</v>
      </c>
      <c r="X442" t="str">
        <f t="shared" si="33"/>
        <v>Mid</v>
      </c>
      <c r="Y442" t="str">
        <f t="shared" si="34"/>
        <v>25-34</v>
      </c>
    </row>
    <row r="443" spans="1:25" x14ac:dyDescent="0.3">
      <c r="A443">
        <v>1442</v>
      </c>
      <c r="B443" t="s">
        <v>99</v>
      </c>
      <c r="C443" t="s">
        <v>37</v>
      </c>
      <c r="D443">
        <v>35</v>
      </c>
      <c r="E443" t="s">
        <v>91</v>
      </c>
      <c r="F443" t="s">
        <v>101</v>
      </c>
      <c r="G443" t="s">
        <v>59</v>
      </c>
      <c r="H443" t="s">
        <v>76</v>
      </c>
      <c r="I443">
        <v>9</v>
      </c>
      <c r="J443">
        <v>54408</v>
      </c>
      <c r="K443">
        <v>3.1</v>
      </c>
      <c r="L443">
        <v>87</v>
      </c>
      <c r="M443">
        <v>4</v>
      </c>
      <c r="N443">
        <v>38</v>
      </c>
      <c r="O443">
        <v>6831</v>
      </c>
      <c r="P443" t="s">
        <v>26</v>
      </c>
      <c r="Q443" t="s">
        <v>27</v>
      </c>
      <c r="R443" t="s">
        <v>28</v>
      </c>
      <c r="S443" t="s">
        <v>49</v>
      </c>
      <c r="T443" t="s">
        <v>50</v>
      </c>
      <c r="U443">
        <f t="shared" si="30"/>
        <v>61239</v>
      </c>
      <c r="V443" t="str">
        <f t="shared" si="31"/>
        <v>Needs Improvement</v>
      </c>
      <c r="W443" t="str">
        <f t="shared" si="32"/>
        <v>Normal</v>
      </c>
      <c r="X443" t="str">
        <f t="shared" si="33"/>
        <v>Senior</v>
      </c>
      <c r="Y443" t="str">
        <f t="shared" si="34"/>
        <v>35-44</v>
      </c>
    </row>
    <row r="444" spans="1:25" x14ac:dyDescent="0.3">
      <c r="A444">
        <v>1443</v>
      </c>
      <c r="B444" t="s">
        <v>20</v>
      </c>
      <c r="C444" t="s">
        <v>37</v>
      </c>
      <c r="D444">
        <v>28</v>
      </c>
      <c r="E444" t="s">
        <v>91</v>
      </c>
      <c r="F444" t="s">
        <v>101</v>
      </c>
      <c r="G444" t="s">
        <v>24</v>
      </c>
      <c r="H444" t="s">
        <v>490</v>
      </c>
      <c r="I444">
        <v>1</v>
      </c>
      <c r="J444">
        <v>51135</v>
      </c>
      <c r="K444">
        <v>3.5</v>
      </c>
      <c r="L444">
        <v>89.3</v>
      </c>
      <c r="M444">
        <v>16</v>
      </c>
      <c r="N444">
        <v>17</v>
      </c>
      <c r="O444">
        <v>7116</v>
      </c>
      <c r="P444" t="s">
        <v>26</v>
      </c>
      <c r="Q444" t="s">
        <v>27</v>
      </c>
      <c r="R444" t="s">
        <v>28</v>
      </c>
      <c r="S444" t="s">
        <v>49</v>
      </c>
      <c r="T444" t="s">
        <v>30</v>
      </c>
      <c r="U444">
        <f t="shared" si="30"/>
        <v>58251</v>
      </c>
      <c r="V444" t="str">
        <f t="shared" si="31"/>
        <v>Needs Improvement</v>
      </c>
      <c r="W444" t="str">
        <f t="shared" si="32"/>
        <v>Normal</v>
      </c>
      <c r="X444" t="str">
        <f t="shared" si="33"/>
        <v>Junior</v>
      </c>
      <c r="Y444" t="str">
        <f t="shared" si="34"/>
        <v>25-34</v>
      </c>
    </row>
    <row r="445" spans="1:25" x14ac:dyDescent="0.3">
      <c r="A445">
        <v>1444</v>
      </c>
      <c r="B445" t="s">
        <v>178</v>
      </c>
      <c r="C445" t="s">
        <v>21</v>
      </c>
      <c r="D445">
        <v>31</v>
      </c>
      <c r="E445" t="s">
        <v>91</v>
      </c>
      <c r="F445" t="s">
        <v>101</v>
      </c>
      <c r="G445" t="s">
        <v>51</v>
      </c>
      <c r="H445" t="s">
        <v>491</v>
      </c>
      <c r="I445">
        <v>2</v>
      </c>
      <c r="J445">
        <v>47521</v>
      </c>
      <c r="K445">
        <v>3.7</v>
      </c>
      <c r="L445">
        <v>90.7</v>
      </c>
      <c r="M445">
        <v>17</v>
      </c>
      <c r="N445">
        <v>33</v>
      </c>
      <c r="O445">
        <v>14076</v>
      </c>
      <c r="P445" t="s">
        <v>26</v>
      </c>
      <c r="Q445" t="s">
        <v>48</v>
      </c>
      <c r="R445" t="s">
        <v>28</v>
      </c>
      <c r="S445" t="s">
        <v>34</v>
      </c>
      <c r="T445" t="s">
        <v>30</v>
      </c>
      <c r="U445">
        <f t="shared" si="30"/>
        <v>61597</v>
      </c>
      <c r="V445" t="str">
        <f t="shared" si="31"/>
        <v>Needs Improvement</v>
      </c>
      <c r="W445" t="str">
        <f t="shared" si="32"/>
        <v>Normal</v>
      </c>
      <c r="X445" t="str">
        <f t="shared" si="33"/>
        <v>Junior</v>
      </c>
      <c r="Y445" t="str">
        <f t="shared" si="34"/>
        <v>25-34</v>
      </c>
    </row>
    <row r="446" spans="1:25" x14ac:dyDescent="0.3">
      <c r="A446">
        <v>1445</v>
      </c>
      <c r="B446" t="s">
        <v>20</v>
      </c>
      <c r="C446" t="s">
        <v>37</v>
      </c>
      <c r="D446">
        <v>25</v>
      </c>
      <c r="E446" t="s">
        <v>91</v>
      </c>
      <c r="F446" t="s">
        <v>92</v>
      </c>
      <c r="G446" t="s">
        <v>51</v>
      </c>
      <c r="H446" t="s">
        <v>492</v>
      </c>
      <c r="I446">
        <v>7</v>
      </c>
      <c r="J446">
        <v>33989</v>
      </c>
      <c r="K446">
        <v>3.7</v>
      </c>
      <c r="L446">
        <v>92.8</v>
      </c>
      <c r="M446">
        <v>18</v>
      </c>
      <c r="N446">
        <v>21</v>
      </c>
      <c r="O446">
        <v>1511</v>
      </c>
      <c r="P446" t="s">
        <v>33</v>
      </c>
      <c r="Q446" t="s">
        <v>48</v>
      </c>
      <c r="R446" t="s">
        <v>28</v>
      </c>
      <c r="S446" t="s">
        <v>34</v>
      </c>
      <c r="T446" t="s">
        <v>50</v>
      </c>
      <c r="U446">
        <f t="shared" si="30"/>
        <v>35500</v>
      </c>
      <c r="V446" t="str">
        <f t="shared" si="31"/>
        <v>Needs Improvement</v>
      </c>
      <c r="W446" t="str">
        <f t="shared" si="32"/>
        <v>Normal</v>
      </c>
      <c r="X446" t="str">
        <f t="shared" si="33"/>
        <v>Senior</v>
      </c>
      <c r="Y446" t="str">
        <f t="shared" si="34"/>
        <v>25-34</v>
      </c>
    </row>
    <row r="447" spans="1:25" x14ac:dyDescent="0.3">
      <c r="A447">
        <v>1446</v>
      </c>
      <c r="B447" t="s">
        <v>61</v>
      </c>
      <c r="C447" t="s">
        <v>21</v>
      </c>
      <c r="D447">
        <v>39</v>
      </c>
      <c r="E447" t="s">
        <v>91</v>
      </c>
      <c r="F447" t="s">
        <v>92</v>
      </c>
      <c r="G447" t="s">
        <v>24</v>
      </c>
      <c r="H447" t="s">
        <v>493</v>
      </c>
      <c r="I447">
        <v>6</v>
      </c>
      <c r="J447">
        <v>68781</v>
      </c>
      <c r="K447">
        <v>3.8</v>
      </c>
      <c r="L447">
        <v>94.3</v>
      </c>
      <c r="M447">
        <v>24</v>
      </c>
      <c r="N447">
        <v>5</v>
      </c>
      <c r="O447">
        <v>11479</v>
      </c>
      <c r="P447" t="s">
        <v>33</v>
      </c>
      <c r="Q447" t="s">
        <v>27</v>
      </c>
      <c r="R447" t="s">
        <v>28</v>
      </c>
      <c r="S447" t="s">
        <v>49</v>
      </c>
      <c r="T447" t="s">
        <v>50</v>
      </c>
      <c r="U447">
        <f t="shared" si="30"/>
        <v>80260</v>
      </c>
      <c r="V447" t="str">
        <f t="shared" si="31"/>
        <v>Needs Improvement</v>
      </c>
      <c r="W447" t="str">
        <f t="shared" si="32"/>
        <v>High</v>
      </c>
      <c r="X447" t="str">
        <f t="shared" si="33"/>
        <v>Mid</v>
      </c>
      <c r="Y447" t="str">
        <f t="shared" si="34"/>
        <v>35-44</v>
      </c>
    </row>
    <row r="448" spans="1:25" x14ac:dyDescent="0.3">
      <c r="A448">
        <v>1447</v>
      </c>
      <c r="B448" t="s">
        <v>178</v>
      </c>
      <c r="C448" t="s">
        <v>37</v>
      </c>
      <c r="D448">
        <v>32</v>
      </c>
      <c r="E448" t="s">
        <v>91</v>
      </c>
      <c r="F448" t="s">
        <v>101</v>
      </c>
      <c r="G448" t="s">
        <v>24</v>
      </c>
      <c r="H448" t="s">
        <v>494</v>
      </c>
      <c r="I448">
        <v>9</v>
      </c>
      <c r="J448">
        <v>25112</v>
      </c>
      <c r="K448">
        <v>2.7</v>
      </c>
      <c r="L448">
        <v>92</v>
      </c>
      <c r="M448">
        <v>19</v>
      </c>
      <c r="N448">
        <v>60</v>
      </c>
      <c r="O448">
        <v>7853</v>
      </c>
      <c r="P448" t="s">
        <v>41</v>
      </c>
      <c r="Q448" t="s">
        <v>27</v>
      </c>
      <c r="R448" t="s">
        <v>42</v>
      </c>
      <c r="S448" t="s">
        <v>34</v>
      </c>
      <c r="T448" t="s">
        <v>50</v>
      </c>
      <c r="U448">
        <f t="shared" si="30"/>
        <v>32965</v>
      </c>
      <c r="V448" t="str">
        <f t="shared" si="31"/>
        <v>Needs Improvement</v>
      </c>
      <c r="W448" t="str">
        <f t="shared" si="32"/>
        <v>Normal</v>
      </c>
      <c r="X448" t="str">
        <f t="shared" si="33"/>
        <v>Senior</v>
      </c>
      <c r="Y448" t="str">
        <f t="shared" si="34"/>
        <v>25-34</v>
      </c>
    </row>
    <row r="449" spans="1:25" x14ac:dyDescent="0.3">
      <c r="A449">
        <v>1448</v>
      </c>
      <c r="B449" t="s">
        <v>68</v>
      </c>
      <c r="C449" t="s">
        <v>37</v>
      </c>
      <c r="D449">
        <v>25</v>
      </c>
      <c r="E449" t="s">
        <v>91</v>
      </c>
      <c r="F449" t="s">
        <v>92</v>
      </c>
      <c r="G449" t="s">
        <v>24</v>
      </c>
      <c r="H449" t="s">
        <v>495</v>
      </c>
      <c r="I449">
        <v>0</v>
      </c>
      <c r="J449">
        <v>84821</v>
      </c>
      <c r="K449">
        <v>3.6</v>
      </c>
      <c r="L449">
        <v>86.2</v>
      </c>
      <c r="M449">
        <v>14</v>
      </c>
      <c r="N449">
        <v>41</v>
      </c>
      <c r="O449">
        <v>11118</v>
      </c>
      <c r="P449" t="s">
        <v>26</v>
      </c>
      <c r="Q449" t="s">
        <v>27</v>
      </c>
      <c r="R449" t="s">
        <v>28</v>
      </c>
      <c r="S449" t="s">
        <v>29</v>
      </c>
      <c r="T449" t="s">
        <v>30</v>
      </c>
      <c r="U449">
        <f t="shared" si="30"/>
        <v>95939</v>
      </c>
      <c r="V449" t="str">
        <f t="shared" si="31"/>
        <v>Needs Improvement</v>
      </c>
      <c r="W449" t="str">
        <f t="shared" si="32"/>
        <v>Normal</v>
      </c>
      <c r="X449" t="str">
        <f t="shared" si="33"/>
        <v>Junior</v>
      </c>
      <c r="Y449" t="str">
        <f t="shared" si="34"/>
        <v>25-34</v>
      </c>
    </row>
    <row r="450" spans="1:25" x14ac:dyDescent="0.3">
      <c r="A450">
        <v>1449</v>
      </c>
      <c r="B450" t="s">
        <v>20</v>
      </c>
      <c r="C450" t="s">
        <v>21</v>
      </c>
      <c r="D450">
        <v>44</v>
      </c>
      <c r="E450" t="s">
        <v>22</v>
      </c>
      <c r="F450" t="s">
        <v>66</v>
      </c>
      <c r="G450" t="s">
        <v>59</v>
      </c>
      <c r="H450" t="s">
        <v>496</v>
      </c>
      <c r="I450">
        <v>5</v>
      </c>
      <c r="K450">
        <v>4.5</v>
      </c>
      <c r="L450">
        <v>98.7</v>
      </c>
      <c r="M450">
        <v>6</v>
      </c>
      <c r="N450">
        <v>7</v>
      </c>
      <c r="O450">
        <v>10031</v>
      </c>
      <c r="P450" t="s">
        <v>47</v>
      </c>
      <c r="Q450" t="s">
        <v>27</v>
      </c>
      <c r="R450" t="s">
        <v>70</v>
      </c>
      <c r="S450" t="s">
        <v>49</v>
      </c>
      <c r="T450" t="s">
        <v>35</v>
      </c>
      <c r="U450">
        <f t="shared" si="30"/>
        <v>10031</v>
      </c>
      <c r="V450" t="str">
        <f t="shared" si="31"/>
        <v>Excellent</v>
      </c>
      <c r="W450" t="str">
        <f t="shared" si="32"/>
        <v>Normal</v>
      </c>
      <c r="X450" t="str">
        <f t="shared" si="33"/>
        <v>Mid</v>
      </c>
      <c r="Y450" t="str">
        <f t="shared" si="34"/>
        <v>35-44</v>
      </c>
    </row>
    <row r="451" spans="1:25" x14ac:dyDescent="0.3">
      <c r="A451">
        <v>1450</v>
      </c>
      <c r="B451" t="s">
        <v>36</v>
      </c>
      <c r="C451" t="s">
        <v>37</v>
      </c>
      <c r="D451">
        <v>44</v>
      </c>
      <c r="E451" t="s">
        <v>62</v>
      </c>
      <c r="F451" t="s">
        <v>97</v>
      </c>
      <c r="G451" t="s">
        <v>51</v>
      </c>
      <c r="H451" t="s">
        <v>497</v>
      </c>
      <c r="I451">
        <v>1</v>
      </c>
      <c r="J451">
        <v>92315</v>
      </c>
      <c r="K451">
        <v>3.3</v>
      </c>
      <c r="L451">
        <v>94.1</v>
      </c>
      <c r="M451">
        <v>18</v>
      </c>
      <c r="N451">
        <v>21</v>
      </c>
      <c r="O451">
        <v>14665</v>
      </c>
      <c r="P451" t="s">
        <v>26</v>
      </c>
      <c r="Q451" t="s">
        <v>48</v>
      </c>
      <c r="R451" t="s">
        <v>28</v>
      </c>
      <c r="S451" t="s">
        <v>29</v>
      </c>
      <c r="T451" t="s">
        <v>30</v>
      </c>
      <c r="U451">
        <f t="shared" ref="U451:U514" si="35">J451+O451</f>
        <v>106980</v>
      </c>
      <c r="V451" t="str">
        <f t="shared" ref="V451:V514" si="36">IF(L451&gt;=95,"Excellent","Needs Improvement")</f>
        <v>Needs Improvement</v>
      </c>
      <c r="W451" t="str">
        <f t="shared" ref="W451:W514" si="37">IF(M451&gt;20,"High","Normal")</f>
        <v>Normal</v>
      </c>
      <c r="X451" t="str">
        <f t="shared" ref="X451:X514" si="38">IF(I451&lt;3,"Junior",IF(I451&lt;7,"Mid","Senior"))</f>
        <v>Junior</v>
      </c>
      <c r="Y451" t="str">
        <f t="shared" ref="Y451:Y514" si="39">IF(D451&lt;25,"20-24",IF(D451&lt;35,"25-34",IF(D451&lt;45,"35-44","45+")))</f>
        <v>35-44</v>
      </c>
    </row>
    <row r="452" spans="1:25" x14ac:dyDescent="0.3">
      <c r="A452">
        <v>1451</v>
      </c>
      <c r="B452" t="s">
        <v>61</v>
      </c>
      <c r="C452" t="s">
        <v>37</v>
      </c>
      <c r="D452">
        <v>34</v>
      </c>
      <c r="E452" t="s">
        <v>55</v>
      </c>
      <c r="F452" t="s">
        <v>79</v>
      </c>
      <c r="G452" t="s">
        <v>51</v>
      </c>
      <c r="H452" t="s">
        <v>498</v>
      </c>
      <c r="I452">
        <v>3</v>
      </c>
      <c r="J452">
        <v>74441</v>
      </c>
      <c r="K452">
        <v>4</v>
      </c>
      <c r="L452">
        <v>89.7</v>
      </c>
      <c r="M452">
        <v>12</v>
      </c>
      <c r="N452">
        <v>37</v>
      </c>
      <c r="O452">
        <v>2761</v>
      </c>
      <c r="P452" t="s">
        <v>26</v>
      </c>
      <c r="Q452" t="s">
        <v>48</v>
      </c>
      <c r="R452" t="s">
        <v>58</v>
      </c>
      <c r="S452" t="s">
        <v>29</v>
      </c>
      <c r="T452" t="s">
        <v>35</v>
      </c>
      <c r="U452">
        <f t="shared" si="35"/>
        <v>77202</v>
      </c>
      <c r="V452" t="str">
        <f t="shared" si="36"/>
        <v>Needs Improvement</v>
      </c>
      <c r="W452" t="str">
        <f t="shared" si="37"/>
        <v>Normal</v>
      </c>
      <c r="X452" t="str">
        <f t="shared" si="38"/>
        <v>Mid</v>
      </c>
      <c r="Y452" t="str">
        <f t="shared" si="39"/>
        <v>25-34</v>
      </c>
    </row>
    <row r="453" spans="1:25" x14ac:dyDescent="0.3">
      <c r="A453">
        <v>1452</v>
      </c>
      <c r="B453" t="s">
        <v>121</v>
      </c>
      <c r="C453" t="s">
        <v>21</v>
      </c>
      <c r="D453">
        <v>22</v>
      </c>
      <c r="E453" t="s">
        <v>38</v>
      </c>
      <c r="F453" t="s">
        <v>39</v>
      </c>
      <c r="G453" t="s">
        <v>51</v>
      </c>
      <c r="H453" t="s">
        <v>498</v>
      </c>
      <c r="I453">
        <v>7</v>
      </c>
      <c r="J453">
        <v>76387</v>
      </c>
      <c r="K453">
        <v>4.9000000000000004</v>
      </c>
      <c r="L453">
        <v>91.9</v>
      </c>
      <c r="M453">
        <v>0</v>
      </c>
      <c r="N453">
        <v>10</v>
      </c>
      <c r="O453">
        <v>4836</v>
      </c>
      <c r="P453" t="s">
        <v>53</v>
      </c>
      <c r="Q453" t="s">
        <v>27</v>
      </c>
      <c r="R453" t="s">
        <v>70</v>
      </c>
      <c r="S453" t="s">
        <v>29</v>
      </c>
      <c r="T453" t="s">
        <v>50</v>
      </c>
      <c r="U453">
        <f t="shared" si="35"/>
        <v>81223</v>
      </c>
      <c r="V453" t="str">
        <f t="shared" si="36"/>
        <v>Needs Improvement</v>
      </c>
      <c r="W453" t="str">
        <f t="shared" si="37"/>
        <v>Normal</v>
      </c>
      <c r="X453" t="str">
        <f t="shared" si="38"/>
        <v>Senior</v>
      </c>
      <c r="Y453" t="str">
        <f t="shared" si="39"/>
        <v>20-24</v>
      </c>
    </row>
    <row r="454" spans="1:25" x14ac:dyDescent="0.3">
      <c r="A454">
        <v>1453</v>
      </c>
      <c r="B454" t="s">
        <v>20</v>
      </c>
      <c r="C454" t="s">
        <v>37</v>
      </c>
      <c r="D454">
        <v>28</v>
      </c>
      <c r="E454" t="s">
        <v>91</v>
      </c>
      <c r="F454" t="s">
        <v>92</v>
      </c>
      <c r="G454" t="s">
        <v>24</v>
      </c>
      <c r="H454" t="s">
        <v>389</v>
      </c>
      <c r="I454">
        <v>2</v>
      </c>
      <c r="J454">
        <v>63691</v>
      </c>
      <c r="K454">
        <v>2.5</v>
      </c>
      <c r="L454">
        <v>95.7</v>
      </c>
      <c r="M454">
        <v>8</v>
      </c>
      <c r="N454">
        <v>8</v>
      </c>
      <c r="O454">
        <v>12569</v>
      </c>
      <c r="P454" t="s">
        <v>53</v>
      </c>
      <c r="Q454" t="s">
        <v>27</v>
      </c>
      <c r="R454" t="s">
        <v>42</v>
      </c>
      <c r="S454" t="s">
        <v>49</v>
      </c>
      <c r="T454" t="s">
        <v>30</v>
      </c>
      <c r="U454">
        <f t="shared" si="35"/>
        <v>76260</v>
      </c>
      <c r="V454" t="str">
        <f t="shared" si="36"/>
        <v>Excellent</v>
      </c>
      <c r="W454" t="str">
        <f t="shared" si="37"/>
        <v>Normal</v>
      </c>
      <c r="X454" t="str">
        <f t="shared" si="38"/>
        <v>Junior</v>
      </c>
      <c r="Y454" t="str">
        <f t="shared" si="39"/>
        <v>25-34</v>
      </c>
    </row>
    <row r="455" spans="1:25" x14ac:dyDescent="0.3">
      <c r="A455">
        <v>1454</v>
      </c>
      <c r="B455" t="s">
        <v>178</v>
      </c>
      <c r="C455" t="s">
        <v>37</v>
      </c>
      <c r="D455">
        <v>32</v>
      </c>
      <c r="E455" t="s">
        <v>22</v>
      </c>
      <c r="F455" t="s">
        <v>23</v>
      </c>
      <c r="G455" t="s">
        <v>64</v>
      </c>
      <c r="H455" t="s">
        <v>499</v>
      </c>
      <c r="I455">
        <v>4</v>
      </c>
      <c r="J455">
        <v>82667</v>
      </c>
      <c r="K455">
        <v>4.0999999999999996</v>
      </c>
      <c r="L455">
        <v>88.8</v>
      </c>
      <c r="M455">
        <v>16</v>
      </c>
      <c r="N455">
        <v>19</v>
      </c>
      <c r="O455">
        <v>10435</v>
      </c>
      <c r="P455" t="s">
        <v>26</v>
      </c>
      <c r="Q455" t="s">
        <v>48</v>
      </c>
      <c r="R455" t="s">
        <v>58</v>
      </c>
      <c r="S455" t="s">
        <v>29</v>
      </c>
      <c r="T455" t="s">
        <v>35</v>
      </c>
      <c r="U455">
        <f t="shared" si="35"/>
        <v>93102</v>
      </c>
      <c r="V455" t="str">
        <f t="shared" si="36"/>
        <v>Needs Improvement</v>
      </c>
      <c r="W455" t="str">
        <f t="shared" si="37"/>
        <v>Normal</v>
      </c>
      <c r="X455" t="str">
        <f t="shared" si="38"/>
        <v>Mid</v>
      </c>
      <c r="Y455" t="str">
        <f t="shared" si="39"/>
        <v>25-34</v>
      </c>
    </row>
    <row r="456" spans="1:25" x14ac:dyDescent="0.3">
      <c r="A456">
        <v>1455</v>
      </c>
      <c r="B456" t="s">
        <v>178</v>
      </c>
      <c r="C456" t="s">
        <v>37</v>
      </c>
      <c r="D456">
        <v>45</v>
      </c>
      <c r="E456" t="s">
        <v>62</v>
      </c>
      <c r="F456" t="s">
        <v>63</v>
      </c>
      <c r="G456" t="s">
        <v>24</v>
      </c>
      <c r="H456" t="s">
        <v>500</v>
      </c>
      <c r="I456">
        <v>6</v>
      </c>
      <c r="J456">
        <v>83154</v>
      </c>
      <c r="K456">
        <v>4.5</v>
      </c>
      <c r="L456">
        <v>91.9</v>
      </c>
      <c r="M456">
        <v>11</v>
      </c>
      <c r="N456">
        <v>47</v>
      </c>
      <c r="O456">
        <v>14073</v>
      </c>
      <c r="P456" t="s">
        <v>47</v>
      </c>
      <c r="Q456" t="s">
        <v>48</v>
      </c>
      <c r="R456" t="s">
        <v>70</v>
      </c>
      <c r="S456" t="s">
        <v>29</v>
      </c>
      <c r="T456" t="s">
        <v>50</v>
      </c>
      <c r="U456">
        <f t="shared" si="35"/>
        <v>97227</v>
      </c>
      <c r="V456" t="str">
        <f t="shared" si="36"/>
        <v>Needs Improvement</v>
      </c>
      <c r="W456" t="str">
        <f t="shared" si="37"/>
        <v>Normal</v>
      </c>
      <c r="X456" t="str">
        <f t="shared" si="38"/>
        <v>Mid</v>
      </c>
      <c r="Y456" t="str">
        <f t="shared" si="39"/>
        <v>45+</v>
      </c>
    </row>
    <row r="457" spans="1:25" x14ac:dyDescent="0.3">
      <c r="A457">
        <v>1456</v>
      </c>
      <c r="B457" t="s">
        <v>36</v>
      </c>
      <c r="C457" t="s">
        <v>21</v>
      </c>
      <c r="D457">
        <v>23</v>
      </c>
      <c r="E457" t="s">
        <v>38</v>
      </c>
      <c r="F457" t="s">
        <v>44</v>
      </c>
      <c r="G457" t="s">
        <v>24</v>
      </c>
      <c r="H457" t="s">
        <v>501</v>
      </c>
      <c r="I457">
        <v>10</v>
      </c>
      <c r="J457">
        <v>79822</v>
      </c>
      <c r="K457">
        <v>4.9000000000000004</v>
      </c>
      <c r="L457">
        <v>90.9</v>
      </c>
      <c r="M457">
        <v>6</v>
      </c>
      <c r="N457">
        <v>45</v>
      </c>
      <c r="O457">
        <v>6612</v>
      </c>
      <c r="P457" t="s">
        <v>47</v>
      </c>
      <c r="Q457" t="s">
        <v>27</v>
      </c>
      <c r="R457" t="s">
        <v>70</v>
      </c>
      <c r="S457" t="s">
        <v>29</v>
      </c>
      <c r="T457" t="s">
        <v>50</v>
      </c>
      <c r="U457">
        <f t="shared" si="35"/>
        <v>86434</v>
      </c>
      <c r="V457" t="str">
        <f t="shared" si="36"/>
        <v>Needs Improvement</v>
      </c>
      <c r="W457" t="str">
        <f t="shared" si="37"/>
        <v>Normal</v>
      </c>
      <c r="X457" t="str">
        <f t="shared" si="38"/>
        <v>Senior</v>
      </c>
      <c r="Y457" t="str">
        <f t="shared" si="39"/>
        <v>20-24</v>
      </c>
    </row>
    <row r="458" spans="1:25" x14ac:dyDescent="0.3">
      <c r="A458">
        <v>1457</v>
      </c>
      <c r="B458" t="s">
        <v>178</v>
      </c>
      <c r="C458" t="s">
        <v>37</v>
      </c>
      <c r="D458">
        <v>41</v>
      </c>
      <c r="E458" t="s">
        <v>91</v>
      </c>
      <c r="F458" t="s">
        <v>101</v>
      </c>
      <c r="G458" t="s">
        <v>59</v>
      </c>
      <c r="H458" t="s">
        <v>502</v>
      </c>
      <c r="I458">
        <v>4</v>
      </c>
      <c r="J458">
        <v>68029</v>
      </c>
      <c r="K458">
        <v>3.1</v>
      </c>
      <c r="L458">
        <v>87.6</v>
      </c>
      <c r="M458">
        <v>2</v>
      </c>
      <c r="N458">
        <v>56</v>
      </c>
      <c r="O458">
        <v>2060</v>
      </c>
      <c r="P458" t="s">
        <v>47</v>
      </c>
      <c r="Q458" t="s">
        <v>27</v>
      </c>
      <c r="R458" t="s">
        <v>28</v>
      </c>
      <c r="S458" t="s">
        <v>49</v>
      </c>
      <c r="T458" t="s">
        <v>35</v>
      </c>
      <c r="U458">
        <f t="shared" si="35"/>
        <v>70089</v>
      </c>
      <c r="V458" t="str">
        <f t="shared" si="36"/>
        <v>Needs Improvement</v>
      </c>
      <c r="W458" t="str">
        <f t="shared" si="37"/>
        <v>Normal</v>
      </c>
      <c r="X458" t="str">
        <f t="shared" si="38"/>
        <v>Mid</v>
      </c>
      <c r="Y458" t="str">
        <f t="shared" si="39"/>
        <v>35-44</v>
      </c>
    </row>
    <row r="459" spans="1:25" x14ac:dyDescent="0.3">
      <c r="A459">
        <v>1458</v>
      </c>
      <c r="B459" t="s">
        <v>121</v>
      </c>
      <c r="C459" t="s">
        <v>37</v>
      </c>
      <c r="D459">
        <v>38</v>
      </c>
      <c r="E459" t="s">
        <v>38</v>
      </c>
      <c r="F459" t="s">
        <v>44</v>
      </c>
      <c r="G459" t="s">
        <v>45</v>
      </c>
      <c r="H459" t="s">
        <v>503</v>
      </c>
      <c r="I459">
        <v>4</v>
      </c>
      <c r="J459">
        <v>60725</v>
      </c>
      <c r="K459">
        <v>4.0999999999999996</v>
      </c>
      <c r="L459">
        <v>85.2</v>
      </c>
      <c r="M459">
        <v>12</v>
      </c>
      <c r="N459">
        <v>56</v>
      </c>
      <c r="O459">
        <v>14032</v>
      </c>
      <c r="P459" t="s">
        <v>26</v>
      </c>
      <c r="Q459" t="s">
        <v>27</v>
      </c>
      <c r="R459" t="s">
        <v>58</v>
      </c>
      <c r="S459" t="s">
        <v>49</v>
      </c>
      <c r="T459" t="s">
        <v>35</v>
      </c>
      <c r="U459">
        <f t="shared" si="35"/>
        <v>74757</v>
      </c>
      <c r="V459" t="str">
        <f t="shared" si="36"/>
        <v>Needs Improvement</v>
      </c>
      <c r="W459" t="str">
        <f t="shared" si="37"/>
        <v>Normal</v>
      </c>
      <c r="X459" t="str">
        <f t="shared" si="38"/>
        <v>Mid</v>
      </c>
      <c r="Y459" t="str">
        <f t="shared" si="39"/>
        <v>35-44</v>
      </c>
    </row>
    <row r="460" spans="1:25" x14ac:dyDescent="0.3">
      <c r="A460">
        <v>1459</v>
      </c>
      <c r="B460" t="s">
        <v>88</v>
      </c>
      <c r="C460" t="s">
        <v>37</v>
      </c>
      <c r="D460">
        <v>45</v>
      </c>
      <c r="E460" t="s">
        <v>91</v>
      </c>
      <c r="F460" t="s">
        <v>92</v>
      </c>
      <c r="G460" t="s">
        <v>51</v>
      </c>
      <c r="H460" t="s">
        <v>504</v>
      </c>
      <c r="I460">
        <v>2</v>
      </c>
      <c r="J460">
        <v>72911</v>
      </c>
      <c r="K460">
        <v>3.2</v>
      </c>
      <c r="L460">
        <v>95.1</v>
      </c>
      <c r="M460">
        <v>21</v>
      </c>
      <c r="N460">
        <v>13</v>
      </c>
      <c r="O460">
        <v>9641</v>
      </c>
      <c r="P460" t="s">
        <v>53</v>
      </c>
      <c r="Q460" t="s">
        <v>48</v>
      </c>
      <c r="R460" t="s">
        <v>28</v>
      </c>
      <c r="S460" t="s">
        <v>29</v>
      </c>
      <c r="T460" t="s">
        <v>30</v>
      </c>
      <c r="U460">
        <f t="shared" si="35"/>
        <v>82552</v>
      </c>
      <c r="V460" t="str">
        <f t="shared" si="36"/>
        <v>Excellent</v>
      </c>
      <c r="W460" t="str">
        <f t="shared" si="37"/>
        <v>High</v>
      </c>
      <c r="X460" t="str">
        <f t="shared" si="38"/>
        <v>Junior</v>
      </c>
      <c r="Y460" t="str">
        <f t="shared" si="39"/>
        <v>45+</v>
      </c>
    </row>
    <row r="461" spans="1:25" x14ac:dyDescent="0.3">
      <c r="A461">
        <v>1460</v>
      </c>
      <c r="B461" t="s">
        <v>43</v>
      </c>
      <c r="C461" t="s">
        <v>37</v>
      </c>
      <c r="D461">
        <v>34</v>
      </c>
      <c r="E461" t="s">
        <v>62</v>
      </c>
      <c r="F461" t="s">
        <v>63</v>
      </c>
      <c r="G461" t="s">
        <v>45</v>
      </c>
      <c r="H461" t="s">
        <v>505</v>
      </c>
      <c r="I461">
        <v>7</v>
      </c>
      <c r="J461">
        <v>35479</v>
      </c>
      <c r="K461">
        <v>4.9000000000000004</v>
      </c>
      <c r="L461">
        <v>98.1</v>
      </c>
      <c r="M461">
        <v>7</v>
      </c>
      <c r="N461">
        <v>27</v>
      </c>
      <c r="O461">
        <v>2902</v>
      </c>
      <c r="P461" t="s">
        <v>26</v>
      </c>
      <c r="Q461" t="s">
        <v>27</v>
      </c>
      <c r="R461" t="s">
        <v>70</v>
      </c>
      <c r="S461" t="s">
        <v>34</v>
      </c>
      <c r="T461" t="s">
        <v>50</v>
      </c>
      <c r="U461">
        <f t="shared" si="35"/>
        <v>38381</v>
      </c>
      <c r="V461" t="str">
        <f t="shared" si="36"/>
        <v>Excellent</v>
      </c>
      <c r="W461" t="str">
        <f t="shared" si="37"/>
        <v>Normal</v>
      </c>
      <c r="X461" t="str">
        <f t="shared" si="38"/>
        <v>Senior</v>
      </c>
      <c r="Y461" t="str">
        <f t="shared" si="39"/>
        <v>25-34</v>
      </c>
    </row>
    <row r="462" spans="1:25" x14ac:dyDescent="0.3">
      <c r="A462">
        <v>1461</v>
      </c>
      <c r="B462" t="s">
        <v>78</v>
      </c>
      <c r="C462" t="s">
        <v>37</v>
      </c>
      <c r="D462">
        <v>39</v>
      </c>
      <c r="E462" t="s">
        <v>38</v>
      </c>
      <c r="F462" t="s">
        <v>44</v>
      </c>
      <c r="G462" t="s">
        <v>24</v>
      </c>
      <c r="H462" t="s">
        <v>506</v>
      </c>
      <c r="I462">
        <v>5</v>
      </c>
      <c r="J462">
        <v>92690</v>
      </c>
      <c r="K462">
        <v>4.8</v>
      </c>
      <c r="L462">
        <v>95.9</v>
      </c>
      <c r="M462">
        <v>23</v>
      </c>
      <c r="N462">
        <v>36</v>
      </c>
      <c r="O462">
        <v>3645</v>
      </c>
      <c r="P462" t="s">
        <v>26</v>
      </c>
      <c r="Q462" t="s">
        <v>27</v>
      </c>
      <c r="R462" t="s">
        <v>70</v>
      </c>
      <c r="S462" t="s">
        <v>29</v>
      </c>
      <c r="T462" t="s">
        <v>35</v>
      </c>
      <c r="U462">
        <f t="shared" si="35"/>
        <v>96335</v>
      </c>
      <c r="V462" t="str">
        <f t="shared" si="36"/>
        <v>Excellent</v>
      </c>
      <c r="W462" t="str">
        <f t="shared" si="37"/>
        <v>High</v>
      </c>
      <c r="X462" t="str">
        <f t="shared" si="38"/>
        <v>Mid</v>
      </c>
      <c r="Y462" t="str">
        <f t="shared" si="39"/>
        <v>35-44</v>
      </c>
    </row>
    <row r="463" spans="1:25" x14ac:dyDescent="0.3">
      <c r="A463">
        <v>1462</v>
      </c>
      <c r="B463" t="s">
        <v>78</v>
      </c>
      <c r="C463" t="s">
        <v>21</v>
      </c>
      <c r="D463">
        <v>43</v>
      </c>
      <c r="E463" t="s">
        <v>62</v>
      </c>
      <c r="F463" t="s">
        <v>97</v>
      </c>
      <c r="G463" t="s">
        <v>51</v>
      </c>
      <c r="H463" t="s">
        <v>507</v>
      </c>
      <c r="I463">
        <v>9</v>
      </c>
      <c r="J463">
        <v>32520</v>
      </c>
      <c r="K463">
        <v>4.4000000000000004</v>
      </c>
      <c r="L463">
        <v>95.4</v>
      </c>
      <c r="M463">
        <v>20</v>
      </c>
      <c r="N463">
        <v>35</v>
      </c>
      <c r="O463">
        <v>9641</v>
      </c>
      <c r="P463" t="s">
        <v>47</v>
      </c>
      <c r="Q463" t="s">
        <v>48</v>
      </c>
      <c r="R463" t="s">
        <v>58</v>
      </c>
      <c r="S463" t="s">
        <v>34</v>
      </c>
      <c r="T463" t="s">
        <v>50</v>
      </c>
      <c r="U463">
        <f t="shared" si="35"/>
        <v>42161</v>
      </c>
      <c r="V463" t="str">
        <f t="shared" si="36"/>
        <v>Excellent</v>
      </c>
      <c r="W463" t="str">
        <f t="shared" si="37"/>
        <v>Normal</v>
      </c>
      <c r="X463" t="str">
        <f t="shared" si="38"/>
        <v>Senior</v>
      </c>
      <c r="Y463" t="str">
        <f t="shared" si="39"/>
        <v>35-44</v>
      </c>
    </row>
    <row r="464" spans="1:25" x14ac:dyDescent="0.3">
      <c r="A464">
        <v>1463</v>
      </c>
      <c r="B464" t="s">
        <v>121</v>
      </c>
      <c r="C464" t="s">
        <v>21</v>
      </c>
      <c r="D464">
        <v>31</v>
      </c>
      <c r="E464" t="s">
        <v>91</v>
      </c>
      <c r="F464" t="s">
        <v>101</v>
      </c>
      <c r="G464" t="s">
        <v>51</v>
      </c>
      <c r="H464" t="s">
        <v>258</v>
      </c>
      <c r="I464">
        <v>5</v>
      </c>
      <c r="J464">
        <v>44539</v>
      </c>
      <c r="K464">
        <v>2.6</v>
      </c>
      <c r="L464">
        <v>87.2</v>
      </c>
      <c r="M464">
        <v>8</v>
      </c>
      <c r="N464">
        <v>58</v>
      </c>
      <c r="O464">
        <v>3641</v>
      </c>
      <c r="P464" t="s">
        <v>41</v>
      </c>
      <c r="Q464" t="s">
        <v>48</v>
      </c>
      <c r="R464" t="s">
        <v>42</v>
      </c>
      <c r="S464" t="s">
        <v>34</v>
      </c>
      <c r="T464" t="s">
        <v>35</v>
      </c>
      <c r="U464">
        <f t="shared" si="35"/>
        <v>48180</v>
      </c>
      <c r="V464" t="str">
        <f t="shared" si="36"/>
        <v>Needs Improvement</v>
      </c>
      <c r="W464" t="str">
        <f t="shared" si="37"/>
        <v>Normal</v>
      </c>
      <c r="X464" t="str">
        <f t="shared" si="38"/>
        <v>Mid</v>
      </c>
      <c r="Y464" t="str">
        <f t="shared" si="39"/>
        <v>25-34</v>
      </c>
    </row>
    <row r="465" spans="1:25" x14ac:dyDescent="0.3">
      <c r="A465">
        <v>1464</v>
      </c>
      <c r="B465" t="s">
        <v>124</v>
      </c>
      <c r="C465" t="s">
        <v>21</v>
      </c>
      <c r="D465">
        <v>37</v>
      </c>
      <c r="E465" t="s">
        <v>22</v>
      </c>
      <c r="F465" t="s">
        <v>66</v>
      </c>
      <c r="G465" t="s">
        <v>45</v>
      </c>
      <c r="H465" t="s">
        <v>508</v>
      </c>
      <c r="I465">
        <v>3</v>
      </c>
      <c r="J465">
        <v>84073</v>
      </c>
      <c r="K465">
        <v>2.8</v>
      </c>
      <c r="L465">
        <v>96.8</v>
      </c>
      <c r="M465">
        <v>9</v>
      </c>
      <c r="N465">
        <v>18</v>
      </c>
      <c r="O465">
        <v>3247</v>
      </c>
      <c r="P465" t="s">
        <v>47</v>
      </c>
      <c r="Q465" t="s">
        <v>27</v>
      </c>
      <c r="R465" t="s">
        <v>42</v>
      </c>
      <c r="S465" t="s">
        <v>29</v>
      </c>
      <c r="T465" t="s">
        <v>35</v>
      </c>
      <c r="U465">
        <f t="shared" si="35"/>
        <v>87320</v>
      </c>
      <c r="V465" t="str">
        <f t="shared" si="36"/>
        <v>Excellent</v>
      </c>
      <c r="W465" t="str">
        <f t="shared" si="37"/>
        <v>Normal</v>
      </c>
      <c r="X465" t="str">
        <f t="shared" si="38"/>
        <v>Mid</v>
      </c>
      <c r="Y465" t="str">
        <f t="shared" si="39"/>
        <v>35-44</v>
      </c>
    </row>
    <row r="466" spans="1:25" x14ac:dyDescent="0.3">
      <c r="A466">
        <v>1465</v>
      </c>
      <c r="B466" t="s">
        <v>61</v>
      </c>
      <c r="C466" t="s">
        <v>21</v>
      </c>
      <c r="D466">
        <v>42</v>
      </c>
      <c r="E466" t="s">
        <v>55</v>
      </c>
      <c r="F466" t="s">
        <v>143</v>
      </c>
      <c r="G466" t="s">
        <v>45</v>
      </c>
      <c r="H466" t="s">
        <v>509</v>
      </c>
      <c r="I466">
        <v>0</v>
      </c>
      <c r="J466">
        <v>65843</v>
      </c>
      <c r="K466">
        <v>3.6</v>
      </c>
      <c r="L466">
        <v>100</v>
      </c>
      <c r="M466">
        <v>2</v>
      </c>
      <c r="N466">
        <v>6</v>
      </c>
      <c r="O466">
        <v>6611</v>
      </c>
      <c r="P466" t="s">
        <v>26</v>
      </c>
      <c r="Q466" t="s">
        <v>27</v>
      </c>
      <c r="R466" t="s">
        <v>28</v>
      </c>
      <c r="S466" t="s">
        <v>49</v>
      </c>
      <c r="T466" t="s">
        <v>30</v>
      </c>
      <c r="U466">
        <f t="shared" si="35"/>
        <v>72454</v>
      </c>
      <c r="V466" t="str">
        <f t="shared" si="36"/>
        <v>Excellent</v>
      </c>
      <c r="W466" t="str">
        <f t="shared" si="37"/>
        <v>Normal</v>
      </c>
      <c r="X466" t="str">
        <f t="shared" si="38"/>
        <v>Junior</v>
      </c>
      <c r="Y466" t="str">
        <f t="shared" si="39"/>
        <v>35-44</v>
      </c>
    </row>
    <row r="467" spans="1:25" x14ac:dyDescent="0.3">
      <c r="A467">
        <v>1466</v>
      </c>
      <c r="B467" t="s">
        <v>124</v>
      </c>
      <c r="C467" t="s">
        <v>21</v>
      </c>
      <c r="D467">
        <v>26</v>
      </c>
      <c r="E467" t="s">
        <v>38</v>
      </c>
      <c r="F467" t="s">
        <v>39</v>
      </c>
      <c r="G467" t="s">
        <v>59</v>
      </c>
      <c r="H467" t="s">
        <v>510</v>
      </c>
      <c r="I467">
        <v>4</v>
      </c>
      <c r="J467">
        <v>75531</v>
      </c>
      <c r="K467">
        <v>4.5999999999999996</v>
      </c>
      <c r="L467">
        <v>84.5</v>
      </c>
      <c r="M467">
        <v>8</v>
      </c>
      <c r="N467">
        <v>53</v>
      </c>
      <c r="O467">
        <v>12358</v>
      </c>
      <c r="P467" t="s">
        <v>47</v>
      </c>
      <c r="Q467" t="s">
        <v>27</v>
      </c>
      <c r="R467" t="s">
        <v>70</v>
      </c>
      <c r="S467" t="s">
        <v>29</v>
      </c>
      <c r="T467" t="s">
        <v>35</v>
      </c>
      <c r="U467">
        <f t="shared" si="35"/>
        <v>87889</v>
      </c>
      <c r="V467" t="str">
        <f t="shared" si="36"/>
        <v>Needs Improvement</v>
      </c>
      <c r="W467" t="str">
        <f t="shared" si="37"/>
        <v>Normal</v>
      </c>
      <c r="X467" t="str">
        <f t="shared" si="38"/>
        <v>Mid</v>
      </c>
      <c r="Y467" t="str">
        <f t="shared" si="39"/>
        <v>25-34</v>
      </c>
    </row>
    <row r="468" spans="1:25" x14ac:dyDescent="0.3">
      <c r="A468">
        <v>1467</v>
      </c>
      <c r="B468" t="s">
        <v>178</v>
      </c>
      <c r="C468" t="s">
        <v>37</v>
      </c>
      <c r="D468">
        <v>40</v>
      </c>
      <c r="E468" t="s">
        <v>22</v>
      </c>
      <c r="F468" t="s">
        <v>66</v>
      </c>
      <c r="G468" t="s">
        <v>51</v>
      </c>
      <c r="H468" t="s">
        <v>366</v>
      </c>
      <c r="I468">
        <v>0</v>
      </c>
      <c r="J468">
        <v>62270</v>
      </c>
      <c r="K468">
        <v>4.7</v>
      </c>
      <c r="L468">
        <v>86.9</v>
      </c>
      <c r="M468">
        <v>0</v>
      </c>
      <c r="N468">
        <v>49</v>
      </c>
      <c r="O468">
        <v>6422</v>
      </c>
      <c r="P468" t="s">
        <v>41</v>
      </c>
      <c r="Q468" t="s">
        <v>27</v>
      </c>
      <c r="R468" t="s">
        <v>70</v>
      </c>
      <c r="S468" t="s">
        <v>49</v>
      </c>
      <c r="T468" t="s">
        <v>30</v>
      </c>
      <c r="U468">
        <f t="shared" si="35"/>
        <v>68692</v>
      </c>
      <c r="V468" t="str">
        <f t="shared" si="36"/>
        <v>Needs Improvement</v>
      </c>
      <c r="W468" t="str">
        <f t="shared" si="37"/>
        <v>Normal</v>
      </c>
      <c r="X468" t="str">
        <f t="shared" si="38"/>
        <v>Junior</v>
      </c>
      <c r="Y468" t="str">
        <f t="shared" si="39"/>
        <v>35-44</v>
      </c>
    </row>
    <row r="469" spans="1:25" x14ac:dyDescent="0.3">
      <c r="A469">
        <v>1468</v>
      </c>
      <c r="B469" t="s">
        <v>36</v>
      </c>
      <c r="C469" t="s">
        <v>21</v>
      </c>
      <c r="D469">
        <v>27</v>
      </c>
      <c r="E469" t="s">
        <v>62</v>
      </c>
      <c r="F469" t="s">
        <v>97</v>
      </c>
      <c r="G469" t="s">
        <v>45</v>
      </c>
      <c r="H469" t="s">
        <v>511</v>
      </c>
      <c r="I469">
        <v>6</v>
      </c>
      <c r="J469">
        <v>87225</v>
      </c>
      <c r="K469">
        <v>2.8</v>
      </c>
      <c r="L469">
        <v>91.6</v>
      </c>
      <c r="M469">
        <v>7</v>
      </c>
      <c r="N469">
        <v>15</v>
      </c>
      <c r="O469">
        <v>14524</v>
      </c>
      <c r="P469" t="s">
        <v>33</v>
      </c>
      <c r="Q469" t="s">
        <v>27</v>
      </c>
      <c r="R469" t="s">
        <v>42</v>
      </c>
      <c r="S469" t="s">
        <v>29</v>
      </c>
      <c r="T469" t="s">
        <v>50</v>
      </c>
      <c r="U469">
        <f t="shared" si="35"/>
        <v>101749</v>
      </c>
      <c r="V469" t="str">
        <f t="shared" si="36"/>
        <v>Needs Improvement</v>
      </c>
      <c r="W469" t="str">
        <f t="shared" si="37"/>
        <v>Normal</v>
      </c>
      <c r="X469" t="str">
        <f t="shared" si="38"/>
        <v>Mid</v>
      </c>
      <c r="Y469" t="str">
        <f t="shared" si="39"/>
        <v>25-34</v>
      </c>
    </row>
    <row r="470" spans="1:25" x14ac:dyDescent="0.3">
      <c r="A470">
        <v>1469</v>
      </c>
      <c r="B470" t="s">
        <v>61</v>
      </c>
      <c r="C470" t="s">
        <v>37</v>
      </c>
      <c r="D470">
        <v>41</v>
      </c>
      <c r="E470" t="s">
        <v>55</v>
      </c>
      <c r="F470" t="s">
        <v>79</v>
      </c>
      <c r="G470" t="s">
        <v>64</v>
      </c>
      <c r="H470" t="s">
        <v>278</v>
      </c>
      <c r="I470">
        <v>10</v>
      </c>
      <c r="J470">
        <v>49949</v>
      </c>
      <c r="K470">
        <v>3.3</v>
      </c>
      <c r="L470">
        <v>83.8</v>
      </c>
      <c r="M470">
        <v>23</v>
      </c>
      <c r="N470">
        <v>56</v>
      </c>
      <c r="O470">
        <v>3774</v>
      </c>
      <c r="P470" t="s">
        <v>47</v>
      </c>
      <c r="Q470" t="s">
        <v>27</v>
      </c>
      <c r="R470" t="s">
        <v>28</v>
      </c>
      <c r="S470" t="s">
        <v>34</v>
      </c>
      <c r="T470" t="s">
        <v>50</v>
      </c>
      <c r="U470">
        <f t="shared" si="35"/>
        <v>53723</v>
      </c>
      <c r="V470" t="str">
        <f t="shared" si="36"/>
        <v>Needs Improvement</v>
      </c>
      <c r="W470" t="str">
        <f t="shared" si="37"/>
        <v>High</v>
      </c>
      <c r="X470" t="str">
        <f t="shared" si="38"/>
        <v>Senior</v>
      </c>
      <c r="Y470" t="str">
        <f t="shared" si="39"/>
        <v>35-44</v>
      </c>
    </row>
    <row r="471" spans="1:25" x14ac:dyDescent="0.3">
      <c r="A471">
        <v>1470</v>
      </c>
      <c r="B471" t="s">
        <v>71</v>
      </c>
      <c r="C471" t="s">
        <v>37</v>
      </c>
      <c r="D471">
        <v>42</v>
      </c>
      <c r="E471" t="s">
        <v>22</v>
      </c>
      <c r="F471" t="s">
        <v>23</v>
      </c>
      <c r="G471" t="s">
        <v>59</v>
      </c>
      <c r="H471" t="s">
        <v>512</v>
      </c>
      <c r="I471">
        <v>0</v>
      </c>
      <c r="J471">
        <v>75869</v>
      </c>
      <c r="K471">
        <v>4.8</v>
      </c>
      <c r="L471">
        <v>94.1</v>
      </c>
      <c r="M471">
        <v>12</v>
      </c>
      <c r="N471">
        <v>5</v>
      </c>
      <c r="O471">
        <v>6347</v>
      </c>
      <c r="P471" t="s">
        <v>26</v>
      </c>
      <c r="Q471" t="s">
        <v>27</v>
      </c>
      <c r="R471" t="s">
        <v>70</v>
      </c>
      <c r="S471" t="s">
        <v>29</v>
      </c>
      <c r="T471" t="s">
        <v>30</v>
      </c>
      <c r="U471">
        <f t="shared" si="35"/>
        <v>82216</v>
      </c>
      <c r="V471" t="str">
        <f t="shared" si="36"/>
        <v>Needs Improvement</v>
      </c>
      <c r="W471" t="str">
        <f t="shared" si="37"/>
        <v>Normal</v>
      </c>
      <c r="X471" t="str">
        <f t="shared" si="38"/>
        <v>Junior</v>
      </c>
      <c r="Y471" t="str">
        <f t="shared" si="39"/>
        <v>35-44</v>
      </c>
    </row>
    <row r="472" spans="1:25" x14ac:dyDescent="0.3">
      <c r="A472">
        <v>1471</v>
      </c>
      <c r="B472" t="s">
        <v>36</v>
      </c>
      <c r="C472" t="s">
        <v>21</v>
      </c>
      <c r="D472">
        <v>35</v>
      </c>
      <c r="E472" t="s">
        <v>62</v>
      </c>
      <c r="F472" t="s">
        <v>63</v>
      </c>
      <c r="G472" t="s">
        <v>59</v>
      </c>
      <c r="H472" t="s">
        <v>513</v>
      </c>
      <c r="I472">
        <v>0</v>
      </c>
      <c r="J472">
        <v>71780</v>
      </c>
      <c r="K472">
        <v>4.5</v>
      </c>
      <c r="L472">
        <v>85</v>
      </c>
      <c r="M472">
        <v>19</v>
      </c>
      <c r="N472">
        <v>50</v>
      </c>
      <c r="O472">
        <v>9992</v>
      </c>
      <c r="P472" t="s">
        <v>41</v>
      </c>
      <c r="Q472" t="s">
        <v>27</v>
      </c>
      <c r="R472" t="s">
        <v>70</v>
      </c>
      <c r="S472" t="s">
        <v>29</v>
      </c>
      <c r="T472" t="s">
        <v>30</v>
      </c>
      <c r="U472">
        <f t="shared" si="35"/>
        <v>81772</v>
      </c>
      <c r="V472" t="str">
        <f t="shared" si="36"/>
        <v>Needs Improvement</v>
      </c>
      <c r="W472" t="str">
        <f t="shared" si="37"/>
        <v>Normal</v>
      </c>
      <c r="X472" t="str">
        <f t="shared" si="38"/>
        <v>Junior</v>
      </c>
      <c r="Y472" t="str">
        <f t="shared" si="39"/>
        <v>35-44</v>
      </c>
    </row>
    <row r="473" spans="1:25" x14ac:dyDescent="0.3">
      <c r="A473">
        <v>1472</v>
      </c>
      <c r="B473" t="s">
        <v>54</v>
      </c>
      <c r="C473" t="s">
        <v>37</v>
      </c>
      <c r="D473">
        <v>33</v>
      </c>
      <c r="E473" t="s">
        <v>91</v>
      </c>
      <c r="F473" t="s">
        <v>92</v>
      </c>
      <c r="G473" t="s">
        <v>45</v>
      </c>
      <c r="H473" t="s">
        <v>514</v>
      </c>
      <c r="I473">
        <v>0</v>
      </c>
      <c r="J473">
        <v>59267</v>
      </c>
      <c r="K473">
        <v>3.9</v>
      </c>
      <c r="L473">
        <v>89.8</v>
      </c>
      <c r="M473">
        <v>3</v>
      </c>
      <c r="N473">
        <v>29</v>
      </c>
      <c r="O473">
        <v>3288</v>
      </c>
      <c r="P473" t="s">
        <v>41</v>
      </c>
      <c r="Q473" t="s">
        <v>27</v>
      </c>
      <c r="R473" t="s">
        <v>28</v>
      </c>
      <c r="S473" t="s">
        <v>49</v>
      </c>
      <c r="T473" t="s">
        <v>30</v>
      </c>
      <c r="U473">
        <f t="shared" si="35"/>
        <v>62555</v>
      </c>
      <c r="V473" t="str">
        <f t="shared" si="36"/>
        <v>Needs Improvement</v>
      </c>
      <c r="W473" t="str">
        <f t="shared" si="37"/>
        <v>Normal</v>
      </c>
      <c r="X473" t="str">
        <f t="shared" si="38"/>
        <v>Junior</v>
      </c>
      <c r="Y473" t="str">
        <f t="shared" si="39"/>
        <v>25-34</v>
      </c>
    </row>
    <row r="474" spans="1:25" x14ac:dyDescent="0.3">
      <c r="A474">
        <v>1473</v>
      </c>
      <c r="B474" t="s">
        <v>178</v>
      </c>
      <c r="C474" t="s">
        <v>21</v>
      </c>
      <c r="D474">
        <v>25</v>
      </c>
      <c r="E474" t="s">
        <v>55</v>
      </c>
      <c r="F474" t="s">
        <v>143</v>
      </c>
      <c r="G474" t="s">
        <v>59</v>
      </c>
      <c r="H474" t="s">
        <v>515</v>
      </c>
      <c r="I474">
        <v>4</v>
      </c>
      <c r="J474">
        <v>25397</v>
      </c>
      <c r="K474">
        <v>2.6</v>
      </c>
      <c r="L474">
        <v>89.4</v>
      </c>
      <c r="M474">
        <v>11</v>
      </c>
      <c r="N474">
        <v>5</v>
      </c>
      <c r="O474">
        <v>4981</v>
      </c>
      <c r="P474" t="s">
        <v>53</v>
      </c>
      <c r="Q474" t="s">
        <v>27</v>
      </c>
      <c r="R474" t="s">
        <v>42</v>
      </c>
      <c r="S474" t="s">
        <v>34</v>
      </c>
      <c r="T474" t="s">
        <v>35</v>
      </c>
      <c r="U474">
        <f t="shared" si="35"/>
        <v>30378</v>
      </c>
      <c r="V474" t="str">
        <f t="shared" si="36"/>
        <v>Needs Improvement</v>
      </c>
      <c r="W474" t="str">
        <f t="shared" si="37"/>
        <v>Normal</v>
      </c>
      <c r="X474" t="str">
        <f t="shared" si="38"/>
        <v>Mid</v>
      </c>
      <c r="Y474" t="str">
        <f t="shared" si="39"/>
        <v>25-34</v>
      </c>
    </row>
    <row r="475" spans="1:25" x14ac:dyDescent="0.3">
      <c r="A475">
        <v>1474</v>
      </c>
      <c r="B475" t="s">
        <v>85</v>
      </c>
      <c r="C475" t="s">
        <v>37</v>
      </c>
      <c r="D475">
        <v>39</v>
      </c>
      <c r="E475" t="s">
        <v>55</v>
      </c>
      <c r="F475" t="s">
        <v>56</v>
      </c>
      <c r="G475" t="s">
        <v>51</v>
      </c>
      <c r="H475" t="s">
        <v>516</v>
      </c>
      <c r="I475">
        <v>9</v>
      </c>
      <c r="J475">
        <v>66469</v>
      </c>
      <c r="K475">
        <v>4.9000000000000004</v>
      </c>
      <c r="L475">
        <v>84.5</v>
      </c>
      <c r="M475">
        <v>10</v>
      </c>
      <c r="N475">
        <v>20</v>
      </c>
      <c r="O475">
        <v>5446</v>
      </c>
      <c r="P475" t="s">
        <v>26</v>
      </c>
      <c r="Q475" t="s">
        <v>27</v>
      </c>
      <c r="R475" t="s">
        <v>70</v>
      </c>
      <c r="S475" t="s">
        <v>49</v>
      </c>
      <c r="T475" t="s">
        <v>50</v>
      </c>
      <c r="U475">
        <f t="shared" si="35"/>
        <v>71915</v>
      </c>
      <c r="V475" t="str">
        <f t="shared" si="36"/>
        <v>Needs Improvement</v>
      </c>
      <c r="W475" t="str">
        <f t="shared" si="37"/>
        <v>Normal</v>
      </c>
      <c r="X475" t="str">
        <f t="shared" si="38"/>
        <v>Senior</v>
      </c>
      <c r="Y475" t="str">
        <f t="shared" si="39"/>
        <v>35-44</v>
      </c>
    </row>
    <row r="476" spans="1:25" x14ac:dyDescent="0.3">
      <c r="A476">
        <v>1475</v>
      </c>
      <c r="B476" t="s">
        <v>111</v>
      </c>
      <c r="C476" t="s">
        <v>37</v>
      </c>
      <c r="D476">
        <v>44</v>
      </c>
      <c r="E476" t="s">
        <v>91</v>
      </c>
      <c r="F476" t="s">
        <v>101</v>
      </c>
      <c r="G476" t="s">
        <v>59</v>
      </c>
      <c r="H476" t="s">
        <v>517</v>
      </c>
      <c r="I476">
        <v>8</v>
      </c>
      <c r="J476">
        <v>58863</v>
      </c>
      <c r="K476">
        <v>2.9</v>
      </c>
      <c r="L476">
        <v>82.3</v>
      </c>
      <c r="M476">
        <v>8</v>
      </c>
      <c r="N476">
        <v>7</v>
      </c>
      <c r="O476">
        <v>9080</v>
      </c>
      <c r="P476" t="s">
        <v>53</v>
      </c>
      <c r="Q476" t="s">
        <v>48</v>
      </c>
      <c r="R476" t="s">
        <v>42</v>
      </c>
      <c r="S476" t="s">
        <v>49</v>
      </c>
      <c r="T476" t="s">
        <v>50</v>
      </c>
      <c r="U476">
        <f t="shared" si="35"/>
        <v>67943</v>
      </c>
      <c r="V476" t="str">
        <f t="shared" si="36"/>
        <v>Needs Improvement</v>
      </c>
      <c r="W476" t="str">
        <f t="shared" si="37"/>
        <v>Normal</v>
      </c>
      <c r="X476" t="str">
        <f t="shared" si="38"/>
        <v>Senior</v>
      </c>
      <c r="Y476" t="str">
        <f t="shared" si="39"/>
        <v>35-44</v>
      </c>
    </row>
    <row r="477" spans="1:25" x14ac:dyDescent="0.3">
      <c r="A477">
        <v>1476</v>
      </c>
      <c r="B477" t="s">
        <v>78</v>
      </c>
      <c r="C477" t="s">
        <v>37</v>
      </c>
      <c r="D477">
        <v>41</v>
      </c>
      <c r="E477" t="s">
        <v>38</v>
      </c>
      <c r="F477" t="s">
        <v>44</v>
      </c>
      <c r="G477" t="s">
        <v>45</v>
      </c>
      <c r="H477" t="s">
        <v>518</v>
      </c>
      <c r="I477">
        <v>5</v>
      </c>
      <c r="J477">
        <v>41925</v>
      </c>
      <c r="K477">
        <v>4.9000000000000004</v>
      </c>
      <c r="L477">
        <v>84.9</v>
      </c>
      <c r="M477">
        <v>6</v>
      </c>
      <c r="N477">
        <v>55</v>
      </c>
      <c r="O477">
        <v>6984</v>
      </c>
      <c r="P477" t="s">
        <v>53</v>
      </c>
      <c r="Q477" t="s">
        <v>48</v>
      </c>
      <c r="R477" t="s">
        <v>70</v>
      </c>
      <c r="S477" t="s">
        <v>34</v>
      </c>
      <c r="T477" t="s">
        <v>35</v>
      </c>
      <c r="U477">
        <f t="shared" si="35"/>
        <v>48909</v>
      </c>
      <c r="V477" t="str">
        <f t="shared" si="36"/>
        <v>Needs Improvement</v>
      </c>
      <c r="W477" t="str">
        <f t="shared" si="37"/>
        <v>Normal</v>
      </c>
      <c r="X477" t="str">
        <f t="shared" si="38"/>
        <v>Mid</v>
      </c>
      <c r="Y477" t="str">
        <f t="shared" si="39"/>
        <v>35-44</v>
      </c>
    </row>
    <row r="478" spans="1:25" x14ac:dyDescent="0.3">
      <c r="A478">
        <v>1477</v>
      </c>
      <c r="B478" t="s">
        <v>20</v>
      </c>
      <c r="C478" t="s">
        <v>37</v>
      </c>
      <c r="D478">
        <v>44</v>
      </c>
      <c r="E478" t="s">
        <v>91</v>
      </c>
      <c r="F478" t="s">
        <v>92</v>
      </c>
      <c r="G478" t="s">
        <v>24</v>
      </c>
      <c r="H478" t="s">
        <v>519</v>
      </c>
      <c r="I478">
        <v>1</v>
      </c>
      <c r="J478">
        <v>81628</v>
      </c>
      <c r="K478">
        <v>3.2</v>
      </c>
      <c r="L478">
        <v>94.3</v>
      </c>
      <c r="M478">
        <v>3</v>
      </c>
      <c r="N478">
        <v>55</v>
      </c>
      <c r="O478">
        <v>9544</v>
      </c>
      <c r="P478" t="s">
        <v>47</v>
      </c>
      <c r="Q478" t="s">
        <v>27</v>
      </c>
      <c r="R478" t="s">
        <v>28</v>
      </c>
      <c r="S478" t="s">
        <v>29</v>
      </c>
      <c r="T478" t="s">
        <v>30</v>
      </c>
      <c r="U478">
        <f t="shared" si="35"/>
        <v>91172</v>
      </c>
      <c r="V478" t="str">
        <f t="shared" si="36"/>
        <v>Needs Improvement</v>
      </c>
      <c r="W478" t="str">
        <f t="shared" si="37"/>
        <v>Normal</v>
      </c>
      <c r="X478" t="str">
        <f t="shared" si="38"/>
        <v>Junior</v>
      </c>
      <c r="Y478" t="str">
        <f t="shared" si="39"/>
        <v>35-44</v>
      </c>
    </row>
    <row r="479" spans="1:25" x14ac:dyDescent="0.3">
      <c r="A479">
        <v>1478</v>
      </c>
      <c r="B479" t="s">
        <v>83</v>
      </c>
      <c r="C479" t="s">
        <v>37</v>
      </c>
      <c r="D479">
        <v>37</v>
      </c>
      <c r="E479" t="s">
        <v>62</v>
      </c>
      <c r="F479" t="s">
        <v>63</v>
      </c>
      <c r="G479" t="s">
        <v>59</v>
      </c>
      <c r="H479" t="s">
        <v>520</v>
      </c>
      <c r="I479">
        <v>0</v>
      </c>
      <c r="J479">
        <v>37555</v>
      </c>
      <c r="K479">
        <v>2.8</v>
      </c>
      <c r="L479">
        <v>84.2</v>
      </c>
      <c r="M479">
        <v>1</v>
      </c>
      <c r="N479">
        <v>34</v>
      </c>
      <c r="O479">
        <v>6235</v>
      </c>
      <c r="P479" t="s">
        <v>33</v>
      </c>
      <c r="Q479" t="s">
        <v>27</v>
      </c>
      <c r="R479" t="s">
        <v>42</v>
      </c>
      <c r="S479" t="s">
        <v>34</v>
      </c>
      <c r="T479" t="s">
        <v>30</v>
      </c>
      <c r="U479">
        <f t="shared" si="35"/>
        <v>43790</v>
      </c>
      <c r="V479" t="str">
        <f t="shared" si="36"/>
        <v>Needs Improvement</v>
      </c>
      <c r="W479" t="str">
        <f t="shared" si="37"/>
        <v>Normal</v>
      </c>
      <c r="X479" t="str">
        <f t="shared" si="38"/>
        <v>Junior</v>
      </c>
      <c r="Y479" t="str">
        <f t="shared" si="39"/>
        <v>35-44</v>
      </c>
    </row>
    <row r="480" spans="1:25" x14ac:dyDescent="0.3">
      <c r="A480">
        <v>1479</v>
      </c>
      <c r="B480" t="s">
        <v>36</v>
      </c>
      <c r="C480" t="s">
        <v>21</v>
      </c>
      <c r="D480">
        <v>27</v>
      </c>
      <c r="E480" t="s">
        <v>38</v>
      </c>
      <c r="F480" t="s">
        <v>39</v>
      </c>
      <c r="G480" t="s">
        <v>59</v>
      </c>
      <c r="H480" t="s">
        <v>521</v>
      </c>
      <c r="I480">
        <v>7</v>
      </c>
      <c r="J480">
        <v>40757</v>
      </c>
      <c r="K480">
        <v>2.6</v>
      </c>
      <c r="L480">
        <v>95.4</v>
      </c>
      <c r="M480">
        <v>16</v>
      </c>
      <c r="N480">
        <v>36</v>
      </c>
      <c r="O480">
        <v>12682</v>
      </c>
      <c r="P480" t="s">
        <v>26</v>
      </c>
      <c r="Q480" t="s">
        <v>48</v>
      </c>
      <c r="R480" t="s">
        <v>42</v>
      </c>
      <c r="S480" t="s">
        <v>34</v>
      </c>
      <c r="T480" t="s">
        <v>50</v>
      </c>
      <c r="U480">
        <f t="shared" si="35"/>
        <v>53439</v>
      </c>
      <c r="V480" t="str">
        <f t="shared" si="36"/>
        <v>Excellent</v>
      </c>
      <c r="W480" t="str">
        <f t="shared" si="37"/>
        <v>Normal</v>
      </c>
      <c r="X480" t="str">
        <f t="shared" si="38"/>
        <v>Senior</v>
      </c>
      <c r="Y480" t="str">
        <f t="shared" si="39"/>
        <v>25-34</v>
      </c>
    </row>
    <row r="481" spans="1:25" x14ac:dyDescent="0.3">
      <c r="A481">
        <v>1480</v>
      </c>
      <c r="B481" t="s">
        <v>148</v>
      </c>
      <c r="C481" t="s">
        <v>21</v>
      </c>
      <c r="D481">
        <v>34</v>
      </c>
      <c r="E481" t="s">
        <v>91</v>
      </c>
      <c r="F481" t="s">
        <v>92</v>
      </c>
      <c r="G481" t="s">
        <v>51</v>
      </c>
      <c r="H481" t="s">
        <v>522</v>
      </c>
      <c r="I481">
        <v>8</v>
      </c>
      <c r="J481">
        <v>28527</v>
      </c>
      <c r="K481">
        <v>4.2</v>
      </c>
      <c r="L481">
        <v>99.1</v>
      </c>
      <c r="M481">
        <v>8</v>
      </c>
      <c r="N481">
        <v>52</v>
      </c>
      <c r="O481">
        <v>9530</v>
      </c>
      <c r="P481" t="s">
        <v>53</v>
      </c>
      <c r="Q481" t="s">
        <v>27</v>
      </c>
      <c r="R481" t="s">
        <v>58</v>
      </c>
      <c r="S481" t="s">
        <v>34</v>
      </c>
      <c r="T481" t="s">
        <v>50</v>
      </c>
      <c r="U481">
        <f t="shared" si="35"/>
        <v>38057</v>
      </c>
      <c r="V481" t="str">
        <f t="shared" si="36"/>
        <v>Excellent</v>
      </c>
      <c r="W481" t="str">
        <f t="shared" si="37"/>
        <v>Normal</v>
      </c>
      <c r="X481" t="str">
        <f t="shared" si="38"/>
        <v>Senior</v>
      </c>
      <c r="Y481" t="str">
        <f t="shared" si="39"/>
        <v>25-34</v>
      </c>
    </row>
    <row r="482" spans="1:25" x14ac:dyDescent="0.3">
      <c r="A482">
        <v>1481</v>
      </c>
      <c r="B482" t="s">
        <v>54</v>
      </c>
      <c r="C482" t="s">
        <v>21</v>
      </c>
      <c r="D482">
        <v>44</v>
      </c>
      <c r="E482" t="s">
        <v>38</v>
      </c>
      <c r="F482" t="s">
        <v>39</v>
      </c>
      <c r="G482" t="s">
        <v>59</v>
      </c>
      <c r="H482" t="s">
        <v>523</v>
      </c>
      <c r="I482">
        <v>4</v>
      </c>
      <c r="J482">
        <v>37651</v>
      </c>
      <c r="K482">
        <v>3.2</v>
      </c>
      <c r="L482">
        <v>91.4</v>
      </c>
      <c r="M482">
        <v>0</v>
      </c>
      <c r="N482">
        <v>42</v>
      </c>
      <c r="O482">
        <v>5990</v>
      </c>
      <c r="P482" t="s">
        <v>33</v>
      </c>
      <c r="Q482" t="s">
        <v>27</v>
      </c>
      <c r="R482" t="s">
        <v>28</v>
      </c>
      <c r="S482" t="s">
        <v>34</v>
      </c>
      <c r="T482" t="s">
        <v>35</v>
      </c>
      <c r="U482">
        <f t="shared" si="35"/>
        <v>43641</v>
      </c>
      <c r="V482" t="str">
        <f t="shared" si="36"/>
        <v>Needs Improvement</v>
      </c>
      <c r="W482" t="str">
        <f t="shared" si="37"/>
        <v>Normal</v>
      </c>
      <c r="X482" t="str">
        <f t="shared" si="38"/>
        <v>Mid</v>
      </c>
      <c r="Y482" t="str">
        <f t="shared" si="39"/>
        <v>35-44</v>
      </c>
    </row>
    <row r="483" spans="1:25" x14ac:dyDescent="0.3">
      <c r="A483">
        <v>1482</v>
      </c>
      <c r="B483" t="s">
        <v>99</v>
      </c>
      <c r="C483" t="s">
        <v>37</v>
      </c>
      <c r="D483">
        <v>33</v>
      </c>
      <c r="E483" t="s">
        <v>62</v>
      </c>
      <c r="F483" t="s">
        <v>63</v>
      </c>
      <c r="G483" t="s">
        <v>24</v>
      </c>
      <c r="H483" t="s">
        <v>430</v>
      </c>
      <c r="I483">
        <v>4</v>
      </c>
      <c r="J483">
        <v>92479</v>
      </c>
      <c r="K483">
        <v>4.5999999999999996</v>
      </c>
      <c r="L483">
        <v>96.9</v>
      </c>
      <c r="M483">
        <v>20</v>
      </c>
      <c r="N483">
        <v>52</v>
      </c>
      <c r="O483">
        <v>13972</v>
      </c>
      <c r="P483" t="s">
        <v>33</v>
      </c>
      <c r="Q483" t="s">
        <v>48</v>
      </c>
      <c r="R483" t="s">
        <v>70</v>
      </c>
      <c r="S483" t="s">
        <v>29</v>
      </c>
      <c r="T483" t="s">
        <v>35</v>
      </c>
      <c r="U483">
        <f t="shared" si="35"/>
        <v>106451</v>
      </c>
      <c r="V483" t="str">
        <f t="shared" si="36"/>
        <v>Excellent</v>
      </c>
      <c r="W483" t="str">
        <f t="shared" si="37"/>
        <v>Normal</v>
      </c>
      <c r="X483" t="str">
        <f t="shared" si="38"/>
        <v>Mid</v>
      </c>
      <c r="Y483" t="str">
        <f t="shared" si="39"/>
        <v>25-34</v>
      </c>
    </row>
    <row r="484" spans="1:25" x14ac:dyDescent="0.3">
      <c r="A484">
        <v>1483</v>
      </c>
      <c r="B484" t="s">
        <v>54</v>
      </c>
      <c r="C484" t="s">
        <v>21</v>
      </c>
      <c r="D484">
        <v>44</v>
      </c>
      <c r="E484" t="s">
        <v>55</v>
      </c>
      <c r="F484" t="s">
        <v>56</v>
      </c>
      <c r="G484" t="s">
        <v>45</v>
      </c>
      <c r="H484" t="s">
        <v>524</v>
      </c>
      <c r="I484">
        <v>3</v>
      </c>
      <c r="J484">
        <v>37824</v>
      </c>
      <c r="K484">
        <v>4.3</v>
      </c>
      <c r="L484">
        <v>99.4</v>
      </c>
      <c r="M484">
        <v>6</v>
      </c>
      <c r="N484">
        <v>6</v>
      </c>
      <c r="O484">
        <v>11856</v>
      </c>
      <c r="P484" t="s">
        <v>47</v>
      </c>
      <c r="Q484" t="s">
        <v>27</v>
      </c>
      <c r="R484" t="s">
        <v>58</v>
      </c>
      <c r="S484" t="s">
        <v>34</v>
      </c>
      <c r="T484" t="s">
        <v>35</v>
      </c>
      <c r="U484">
        <f t="shared" si="35"/>
        <v>49680</v>
      </c>
      <c r="V484" t="str">
        <f t="shared" si="36"/>
        <v>Excellent</v>
      </c>
      <c r="W484" t="str">
        <f t="shared" si="37"/>
        <v>Normal</v>
      </c>
      <c r="X484" t="str">
        <f t="shared" si="38"/>
        <v>Mid</v>
      </c>
      <c r="Y484" t="str">
        <f t="shared" si="39"/>
        <v>35-44</v>
      </c>
    </row>
    <row r="485" spans="1:25" x14ac:dyDescent="0.3">
      <c r="A485">
        <v>1484</v>
      </c>
      <c r="B485" t="s">
        <v>85</v>
      </c>
      <c r="C485" t="s">
        <v>21</v>
      </c>
      <c r="D485">
        <v>42</v>
      </c>
      <c r="E485" t="s">
        <v>62</v>
      </c>
      <c r="F485" t="s">
        <v>63</v>
      </c>
      <c r="G485" t="s">
        <v>24</v>
      </c>
      <c r="H485" t="s">
        <v>525</v>
      </c>
      <c r="I485">
        <v>7</v>
      </c>
      <c r="J485">
        <v>92267</v>
      </c>
      <c r="K485">
        <v>3</v>
      </c>
      <c r="L485">
        <v>92.5</v>
      </c>
      <c r="M485">
        <v>3</v>
      </c>
      <c r="N485">
        <v>15</v>
      </c>
      <c r="O485">
        <v>2700</v>
      </c>
      <c r="P485" t="s">
        <v>47</v>
      </c>
      <c r="Q485" t="s">
        <v>48</v>
      </c>
      <c r="R485" t="s">
        <v>28</v>
      </c>
      <c r="S485" t="s">
        <v>29</v>
      </c>
      <c r="T485" t="s">
        <v>50</v>
      </c>
      <c r="U485">
        <f t="shared" si="35"/>
        <v>94967</v>
      </c>
      <c r="V485" t="str">
        <f t="shared" si="36"/>
        <v>Needs Improvement</v>
      </c>
      <c r="W485" t="str">
        <f t="shared" si="37"/>
        <v>Normal</v>
      </c>
      <c r="X485" t="str">
        <f t="shared" si="38"/>
        <v>Senior</v>
      </c>
      <c r="Y485" t="str">
        <f t="shared" si="39"/>
        <v>35-44</v>
      </c>
    </row>
    <row r="486" spans="1:25" x14ac:dyDescent="0.3">
      <c r="A486">
        <v>1485</v>
      </c>
      <c r="B486" t="s">
        <v>20</v>
      </c>
      <c r="C486" t="s">
        <v>21</v>
      </c>
      <c r="D486">
        <v>42</v>
      </c>
      <c r="E486" t="s">
        <v>55</v>
      </c>
      <c r="F486" t="s">
        <v>79</v>
      </c>
      <c r="G486" t="s">
        <v>24</v>
      </c>
      <c r="H486" t="s">
        <v>526</v>
      </c>
      <c r="I486">
        <v>4</v>
      </c>
      <c r="J486">
        <v>70063</v>
      </c>
      <c r="K486">
        <v>4</v>
      </c>
      <c r="L486">
        <v>99.7</v>
      </c>
      <c r="M486">
        <v>12</v>
      </c>
      <c r="N486">
        <v>15</v>
      </c>
      <c r="O486">
        <v>14274</v>
      </c>
      <c r="P486" t="s">
        <v>26</v>
      </c>
      <c r="Q486" t="s">
        <v>27</v>
      </c>
      <c r="R486" t="s">
        <v>58</v>
      </c>
      <c r="S486" t="s">
        <v>29</v>
      </c>
      <c r="T486" t="s">
        <v>35</v>
      </c>
      <c r="U486">
        <f t="shared" si="35"/>
        <v>84337</v>
      </c>
      <c r="V486" t="str">
        <f t="shared" si="36"/>
        <v>Excellent</v>
      </c>
      <c r="W486" t="str">
        <f t="shared" si="37"/>
        <v>Normal</v>
      </c>
      <c r="X486" t="str">
        <f t="shared" si="38"/>
        <v>Mid</v>
      </c>
      <c r="Y486" t="str">
        <f t="shared" si="39"/>
        <v>35-44</v>
      </c>
    </row>
    <row r="487" spans="1:25" x14ac:dyDescent="0.3">
      <c r="A487">
        <v>1486</v>
      </c>
      <c r="B487" t="s">
        <v>43</v>
      </c>
      <c r="C487" t="s">
        <v>21</v>
      </c>
      <c r="D487">
        <v>45</v>
      </c>
      <c r="E487" t="s">
        <v>91</v>
      </c>
      <c r="F487" t="s">
        <v>101</v>
      </c>
      <c r="G487" t="s">
        <v>45</v>
      </c>
      <c r="H487" t="s">
        <v>527</v>
      </c>
      <c r="I487">
        <v>10</v>
      </c>
      <c r="J487">
        <v>85186</v>
      </c>
      <c r="K487">
        <v>3.5</v>
      </c>
      <c r="L487">
        <v>86.5</v>
      </c>
      <c r="M487">
        <v>13</v>
      </c>
      <c r="N487">
        <v>37</v>
      </c>
      <c r="O487">
        <v>9236</v>
      </c>
      <c r="P487" t="s">
        <v>33</v>
      </c>
      <c r="Q487" t="s">
        <v>48</v>
      </c>
      <c r="R487" t="s">
        <v>28</v>
      </c>
      <c r="S487" t="s">
        <v>29</v>
      </c>
      <c r="T487" t="s">
        <v>50</v>
      </c>
      <c r="U487">
        <f t="shared" si="35"/>
        <v>94422</v>
      </c>
      <c r="V487" t="str">
        <f t="shared" si="36"/>
        <v>Needs Improvement</v>
      </c>
      <c r="W487" t="str">
        <f t="shared" si="37"/>
        <v>Normal</v>
      </c>
      <c r="X487" t="str">
        <f t="shared" si="38"/>
        <v>Senior</v>
      </c>
      <c r="Y487" t="str">
        <f t="shared" si="39"/>
        <v>45+</v>
      </c>
    </row>
    <row r="488" spans="1:25" x14ac:dyDescent="0.3">
      <c r="A488">
        <v>1487</v>
      </c>
      <c r="B488" t="s">
        <v>68</v>
      </c>
      <c r="C488" t="s">
        <v>37</v>
      </c>
      <c r="D488">
        <v>24</v>
      </c>
      <c r="E488" t="s">
        <v>38</v>
      </c>
      <c r="F488" t="s">
        <v>39</v>
      </c>
      <c r="G488" t="s">
        <v>45</v>
      </c>
      <c r="H488" t="s">
        <v>528</v>
      </c>
      <c r="I488">
        <v>0</v>
      </c>
      <c r="J488">
        <v>27266</v>
      </c>
      <c r="K488">
        <v>3.8</v>
      </c>
      <c r="L488">
        <v>84</v>
      </c>
      <c r="M488">
        <v>8</v>
      </c>
      <c r="N488">
        <v>25</v>
      </c>
      <c r="O488">
        <v>1987</v>
      </c>
      <c r="P488" t="s">
        <v>47</v>
      </c>
      <c r="Q488" t="s">
        <v>48</v>
      </c>
      <c r="R488" t="s">
        <v>28</v>
      </c>
      <c r="S488" t="s">
        <v>34</v>
      </c>
      <c r="T488" t="s">
        <v>30</v>
      </c>
      <c r="U488">
        <f t="shared" si="35"/>
        <v>29253</v>
      </c>
      <c r="V488" t="str">
        <f t="shared" si="36"/>
        <v>Needs Improvement</v>
      </c>
      <c r="W488" t="str">
        <f t="shared" si="37"/>
        <v>Normal</v>
      </c>
      <c r="X488" t="str">
        <f t="shared" si="38"/>
        <v>Junior</v>
      </c>
      <c r="Y488" t="str">
        <f t="shared" si="39"/>
        <v>20-24</v>
      </c>
    </row>
    <row r="489" spans="1:25" x14ac:dyDescent="0.3">
      <c r="A489">
        <v>1488</v>
      </c>
      <c r="B489" t="s">
        <v>124</v>
      </c>
      <c r="C489" t="s">
        <v>37</v>
      </c>
      <c r="D489">
        <v>40</v>
      </c>
      <c r="E489" t="s">
        <v>38</v>
      </c>
      <c r="F489" t="s">
        <v>44</v>
      </c>
      <c r="G489" t="s">
        <v>45</v>
      </c>
      <c r="H489" t="s">
        <v>529</v>
      </c>
      <c r="I489">
        <v>9</v>
      </c>
      <c r="J489">
        <v>81759</v>
      </c>
      <c r="K489">
        <v>3.5</v>
      </c>
      <c r="L489">
        <v>93.3</v>
      </c>
      <c r="M489">
        <v>12</v>
      </c>
      <c r="N489">
        <v>5</v>
      </c>
      <c r="O489">
        <v>12337</v>
      </c>
      <c r="P489" t="s">
        <v>41</v>
      </c>
      <c r="Q489" t="s">
        <v>48</v>
      </c>
      <c r="R489" t="s">
        <v>28</v>
      </c>
      <c r="S489" t="s">
        <v>29</v>
      </c>
      <c r="T489" t="s">
        <v>50</v>
      </c>
      <c r="U489">
        <f t="shared" si="35"/>
        <v>94096</v>
      </c>
      <c r="V489" t="str">
        <f t="shared" si="36"/>
        <v>Needs Improvement</v>
      </c>
      <c r="W489" t="str">
        <f t="shared" si="37"/>
        <v>Normal</v>
      </c>
      <c r="X489" t="str">
        <f t="shared" si="38"/>
        <v>Senior</v>
      </c>
      <c r="Y489" t="str">
        <f t="shared" si="39"/>
        <v>35-44</v>
      </c>
    </row>
    <row r="490" spans="1:25" x14ac:dyDescent="0.3">
      <c r="A490">
        <v>1489</v>
      </c>
      <c r="B490" t="s">
        <v>75</v>
      </c>
      <c r="C490" t="s">
        <v>21</v>
      </c>
      <c r="D490">
        <v>31</v>
      </c>
      <c r="E490" t="s">
        <v>22</v>
      </c>
      <c r="F490" t="s">
        <v>23</v>
      </c>
      <c r="G490" t="s">
        <v>51</v>
      </c>
      <c r="H490" t="s">
        <v>530</v>
      </c>
      <c r="I490">
        <v>0</v>
      </c>
      <c r="J490">
        <v>88614</v>
      </c>
      <c r="K490">
        <v>2.7</v>
      </c>
      <c r="L490">
        <v>85.4</v>
      </c>
      <c r="M490">
        <v>7</v>
      </c>
      <c r="N490">
        <v>8</v>
      </c>
      <c r="O490">
        <v>5857</v>
      </c>
      <c r="P490" t="s">
        <v>47</v>
      </c>
      <c r="Q490" t="s">
        <v>27</v>
      </c>
      <c r="R490" t="s">
        <v>42</v>
      </c>
      <c r="S490" t="s">
        <v>29</v>
      </c>
      <c r="T490" t="s">
        <v>30</v>
      </c>
      <c r="U490">
        <f t="shared" si="35"/>
        <v>94471</v>
      </c>
      <c r="V490" t="str">
        <f t="shared" si="36"/>
        <v>Needs Improvement</v>
      </c>
      <c r="W490" t="str">
        <f t="shared" si="37"/>
        <v>Normal</v>
      </c>
      <c r="X490" t="str">
        <f t="shared" si="38"/>
        <v>Junior</v>
      </c>
      <c r="Y490" t="str">
        <f t="shared" si="39"/>
        <v>25-34</v>
      </c>
    </row>
    <row r="491" spans="1:25" x14ac:dyDescent="0.3">
      <c r="A491">
        <v>1490</v>
      </c>
      <c r="B491" t="s">
        <v>121</v>
      </c>
      <c r="C491" t="s">
        <v>21</v>
      </c>
      <c r="D491">
        <v>44</v>
      </c>
      <c r="E491" t="s">
        <v>22</v>
      </c>
      <c r="F491" t="s">
        <v>23</v>
      </c>
      <c r="G491" t="s">
        <v>64</v>
      </c>
      <c r="H491" t="s">
        <v>531</v>
      </c>
      <c r="I491">
        <v>1</v>
      </c>
      <c r="J491">
        <v>80258</v>
      </c>
      <c r="K491">
        <v>3.4</v>
      </c>
      <c r="L491">
        <v>88.4</v>
      </c>
      <c r="M491">
        <v>8</v>
      </c>
      <c r="N491">
        <v>33</v>
      </c>
      <c r="O491">
        <v>3951</v>
      </c>
      <c r="P491" t="s">
        <v>33</v>
      </c>
      <c r="Q491" t="s">
        <v>27</v>
      </c>
      <c r="R491" t="s">
        <v>28</v>
      </c>
      <c r="S491" t="s">
        <v>29</v>
      </c>
      <c r="T491" t="s">
        <v>30</v>
      </c>
      <c r="U491">
        <f t="shared" si="35"/>
        <v>84209</v>
      </c>
      <c r="V491" t="str">
        <f t="shared" si="36"/>
        <v>Needs Improvement</v>
      </c>
      <c r="W491" t="str">
        <f t="shared" si="37"/>
        <v>Normal</v>
      </c>
      <c r="X491" t="str">
        <f t="shared" si="38"/>
        <v>Junior</v>
      </c>
      <c r="Y491" t="str">
        <f t="shared" si="39"/>
        <v>35-44</v>
      </c>
    </row>
    <row r="492" spans="1:25" x14ac:dyDescent="0.3">
      <c r="A492">
        <v>1491</v>
      </c>
      <c r="B492" t="s">
        <v>148</v>
      </c>
      <c r="C492" t="s">
        <v>21</v>
      </c>
      <c r="D492">
        <v>32</v>
      </c>
      <c r="E492" t="s">
        <v>38</v>
      </c>
      <c r="F492" t="s">
        <v>39</v>
      </c>
      <c r="G492" t="s">
        <v>64</v>
      </c>
      <c r="H492" t="s">
        <v>532</v>
      </c>
      <c r="I492">
        <v>9</v>
      </c>
      <c r="J492">
        <v>88584</v>
      </c>
      <c r="K492">
        <v>4</v>
      </c>
      <c r="L492">
        <v>88.6</v>
      </c>
      <c r="M492">
        <v>19</v>
      </c>
      <c r="N492">
        <v>34</v>
      </c>
      <c r="O492">
        <v>1581</v>
      </c>
      <c r="P492" t="s">
        <v>41</v>
      </c>
      <c r="Q492" t="s">
        <v>48</v>
      </c>
      <c r="R492" t="s">
        <v>58</v>
      </c>
      <c r="S492" t="s">
        <v>29</v>
      </c>
      <c r="T492" t="s">
        <v>50</v>
      </c>
      <c r="U492">
        <f t="shared" si="35"/>
        <v>90165</v>
      </c>
      <c r="V492" t="str">
        <f t="shared" si="36"/>
        <v>Needs Improvement</v>
      </c>
      <c r="W492" t="str">
        <f t="shared" si="37"/>
        <v>Normal</v>
      </c>
      <c r="X492" t="str">
        <f t="shared" si="38"/>
        <v>Senior</v>
      </c>
      <c r="Y492" t="str">
        <f t="shared" si="39"/>
        <v>25-34</v>
      </c>
    </row>
    <row r="493" spans="1:25" x14ac:dyDescent="0.3">
      <c r="A493">
        <v>1492</v>
      </c>
      <c r="B493" t="s">
        <v>31</v>
      </c>
      <c r="C493" t="s">
        <v>21</v>
      </c>
      <c r="D493">
        <v>23</v>
      </c>
      <c r="E493" t="s">
        <v>22</v>
      </c>
      <c r="F493" t="s">
        <v>66</v>
      </c>
      <c r="G493" t="s">
        <v>51</v>
      </c>
      <c r="H493" t="s">
        <v>533</v>
      </c>
      <c r="I493">
        <v>10</v>
      </c>
      <c r="J493">
        <v>46420</v>
      </c>
      <c r="K493">
        <v>4.0999999999999996</v>
      </c>
      <c r="L493">
        <v>99.8</v>
      </c>
      <c r="M493">
        <v>14</v>
      </c>
      <c r="N493">
        <v>40</v>
      </c>
      <c r="O493">
        <v>7714</v>
      </c>
      <c r="P493" t="s">
        <v>33</v>
      </c>
      <c r="Q493" t="s">
        <v>48</v>
      </c>
      <c r="R493" t="s">
        <v>58</v>
      </c>
      <c r="S493" t="s">
        <v>34</v>
      </c>
      <c r="T493" t="s">
        <v>50</v>
      </c>
      <c r="U493">
        <f t="shared" si="35"/>
        <v>54134</v>
      </c>
      <c r="V493" t="str">
        <f t="shared" si="36"/>
        <v>Excellent</v>
      </c>
      <c r="W493" t="str">
        <f t="shared" si="37"/>
        <v>Normal</v>
      </c>
      <c r="X493" t="str">
        <f t="shared" si="38"/>
        <v>Senior</v>
      </c>
      <c r="Y493" t="str">
        <f t="shared" si="39"/>
        <v>20-24</v>
      </c>
    </row>
    <row r="494" spans="1:25" x14ac:dyDescent="0.3">
      <c r="A494">
        <v>1493</v>
      </c>
      <c r="B494" t="s">
        <v>73</v>
      </c>
      <c r="C494" t="s">
        <v>37</v>
      </c>
      <c r="D494">
        <v>39</v>
      </c>
      <c r="E494" t="s">
        <v>62</v>
      </c>
      <c r="F494" t="s">
        <v>63</v>
      </c>
      <c r="G494" t="s">
        <v>59</v>
      </c>
      <c r="H494" t="s">
        <v>534</v>
      </c>
      <c r="I494">
        <v>6</v>
      </c>
      <c r="J494">
        <v>37275</v>
      </c>
      <c r="K494">
        <v>3.2</v>
      </c>
      <c r="L494">
        <v>88.8</v>
      </c>
      <c r="M494">
        <v>12</v>
      </c>
      <c r="N494">
        <v>45</v>
      </c>
      <c r="O494">
        <v>10705</v>
      </c>
      <c r="P494" t="s">
        <v>26</v>
      </c>
      <c r="Q494" t="s">
        <v>27</v>
      </c>
      <c r="R494" t="s">
        <v>28</v>
      </c>
      <c r="S494" t="s">
        <v>34</v>
      </c>
      <c r="T494" t="s">
        <v>50</v>
      </c>
      <c r="U494">
        <f t="shared" si="35"/>
        <v>47980</v>
      </c>
      <c r="V494" t="str">
        <f t="shared" si="36"/>
        <v>Needs Improvement</v>
      </c>
      <c r="W494" t="str">
        <f t="shared" si="37"/>
        <v>Normal</v>
      </c>
      <c r="X494" t="str">
        <f t="shared" si="38"/>
        <v>Mid</v>
      </c>
      <c r="Y494" t="str">
        <f t="shared" si="39"/>
        <v>35-44</v>
      </c>
    </row>
    <row r="495" spans="1:25" x14ac:dyDescent="0.3">
      <c r="A495">
        <v>1494</v>
      </c>
      <c r="B495" t="s">
        <v>20</v>
      </c>
      <c r="C495" t="s">
        <v>37</v>
      </c>
      <c r="D495">
        <v>28</v>
      </c>
      <c r="E495" t="s">
        <v>55</v>
      </c>
      <c r="F495" t="s">
        <v>143</v>
      </c>
      <c r="G495" t="s">
        <v>45</v>
      </c>
      <c r="H495" t="s">
        <v>535</v>
      </c>
      <c r="I495">
        <v>6</v>
      </c>
      <c r="J495">
        <v>90352</v>
      </c>
      <c r="K495">
        <v>3.2</v>
      </c>
      <c r="L495">
        <v>88.7</v>
      </c>
      <c r="M495">
        <v>4</v>
      </c>
      <c r="N495">
        <v>59</v>
      </c>
      <c r="O495">
        <v>3252</v>
      </c>
      <c r="P495" t="s">
        <v>53</v>
      </c>
      <c r="Q495" t="s">
        <v>27</v>
      </c>
      <c r="R495" t="s">
        <v>28</v>
      </c>
      <c r="S495" t="s">
        <v>29</v>
      </c>
      <c r="T495" t="s">
        <v>50</v>
      </c>
      <c r="U495">
        <f t="shared" si="35"/>
        <v>93604</v>
      </c>
      <c r="V495" t="str">
        <f t="shared" si="36"/>
        <v>Needs Improvement</v>
      </c>
      <c r="W495" t="str">
        <f t="shared" si="37"/>
        <v>Normal</v>
      </c>
      <c r="X495" t="str">
        <f t="shared" si="38"/>
        <v>Mid</v>
      </c>
      <c r="Y495" t="str">
        <f t="shared" si="39"/>
        <v>25-34</v>
      </c>
    </row>
    <row r="496" spans="1:25" x14ac:dyDescent="0.3">
      <c r="A496">
        <v>1495</v>
      </c>
      <c r="B496" t="s">
        <v>99</v>
      </c>
      <c r="C496" t="s">
        <v>37</v>
      </c>
      <c r="D496">
        <v>38</v>
      </c>
      <c r="E496" t="s">
        <v>62</v>
      </c>
      <c r="F496" t="s">
        <v>97</v>
      </c>
      <c r="G496" t="s">
        <v>59</v>
      </c>
      <c r="H496" t="s">
        <v>482</v>
      </c>
      <c r="I496">
        <v>1</v>
      </c>
      <c r="J496">
        <v>42891</v>
      </c>
      <c r="K496">
        <v>4.2</v>
      </c>
      <c r="L496">
        <v>97.7</v>
      </c>
      <c r="M496">
        <v>17</v>
      </c>
      <c r="N496">
        <v>18</v>
      </c>
      <c r="O496">
        <v>14942</v>
      </c>
      <c r="P496" t="s">
        <v>47</v>
      </c>
      <c r="Q496" t="s">
        <v>27</v>
      </c>
      <c r="R496" t="s">
        <v>58</v>
      </c>
      <c r="S496" t="s">
        <v>34</v>
      </c>
      <c r="T496" t="s">
        <v>30</v>
      </c>
      <c r="U496">
        <f t="shared" si="35"/>
        <v>57833</v>
      </c>
      <c r="V496" t="str">
        <f t="shared" si="36"/>
        <v>Excellent</v>
      </c>
      <c r="W496" t="str">
        <f t="shared" si="37"/>
        <v>Normal</v>
      </c>
      <c r="X496" t="str">
        <f t="shared" si="38"/>
        <v>Junior</v>
      </c>
      <c r="Y496" t="str">
        <f t="shared" si="39"/>
        <v>35-44</v>
      </c>
    </row>
    <row r="497" spans="1:25" x14ac:dyDescent="0.3">
      <c r="A497">
        <v>1496</v>
      </c>
      <c r="B497" t="s">
        <v>73</v>
      </c>
      <c r="C497" t="s">
        <v>37</v>
      </c>
      <c r="D497">
        <v>25</v>
      </c>
      <c r="E497" t="s">
        <v>91</v>
      </c>
      <c r="F497" t="s">
        <v>101</v>
      </c>
      <c r="G497" t="s">
        <v>59</v>
      </c>
      <c r="H497" t="s">
        <v>536</v>
      </c>
      <c r="I497">
        <v>9</v>
      </c>
      <c r="J497">
        <v>65137</v>
      </c>
      <c r="K497">
        <v>2.8</v>
      </c>
      <c r="L497">
        <v>94.8</v>
      </c>
      <c r="M497">
        <v>16</v>
      </c>
      <c r="N497">
        <v>51</v>
      </c>
      <c r="O497">
        <v>2860</v>
      </c>
      <c r="P497" t="s">
        <v>41</v>
      </c>
      <c r="Q497" t="s">
        <v>27</v>
      </c>
      <c r="R497" t="s">
        <v>42</v>
      </c>
      <c r="S497" t="s">
        <v>49</v>
      </c>
      <c r="T497" t="s">
        <v>50</v>
      </c>
      <c r="U497">
        <f t="shared" si="35"/>
        <v>67997</v>
      </c>
      <c r="V497" t="str">
        <f t="shared" si="36"/>
        <v>Needs Improvement</v>
      </c>
      <c r="W497" t="str">
        <f t="shared" si="37"/>
        <v>Normal</v>
      </c>
      <c r="X497" t="str">
        <f t="shared" si="38"/>
        <v>Senior</v>
      </c>
      <c r="Y497" t="str">
        <f t="shared" si="39"/>
        <v>25-34</v>
      </c>
    </row>
    <row r="498" spans="1:25" x14ac:dyDescent="0.3">
      <c r="A498">
        <v>1497</v>
      </c>
      <c r="B498" t="s">
        <v>68</v>
      </c>
      <c r="C498" t="s">
        <v>21</v>
      </c>
      <c r="D498">
        <v>37</v>
      </c>
      <c r="E498" t="s">
        <v>91</v>
      </c>
      <c r="F498" t="s">
        <v>92</v>
      </c>
      <c r="G498" t="s">
        <v>45</v>
      </c>
      <c r="H498" t="s">
        <v>218</v>
      </c>
      <c r="I498">
        <v>6</v>
      </c>
      <c r="J498">
        <v>25836</v>
      </c>
      <c r="K498">
        <v>3.5</v>
      </c>
      <c r="L498">
        <v>82.9</v>
      </c>
      <c r="M498">
        <v>20</v>
      </c>
      <c r="N498">
        <v>59</v>
      </c>
      <c r="O498">
        <v>9925</v>
      </c>
      <c r="P498" t="s">
        <v>26</v>
      </c>
      <c r="Q498" t="s">
        <v>48</v>
      </c>
      <c r="R498" t="s">
        <v>28</v>
      </c>
      <c r="S498" t="s">
        <v>34</v>
      </c>
      <c r="T498" t="s">
        <v>50</v>
      </c>
      <c r="U498">
        <f t="shared" si="35"/>
        <v>35761</v>
      </c>
      <c r="V498" t="str">
        <f t="shared" si="36"/>
        <v>Needs Improvement</v>
      </c>
      <c r="W498" t="str">
        <f t="shared" si="37"/>
        <v>Normal</v>
      </c>
      <c r="X498" t="str">
        <f t="shared" si="38"/>
        <v>Mid</v>
      </c>
      <c r="Y498" t="str">
        <f t="shared" si="39"/>
        <v>35-44</v>
      </c>
    </row>
    <row r="499" spans="1:25" x14ac:dyDescent="0.3">
      <c r="A499">
        <v>1498</v>
      </c>
      <c r="B499" t="s">
        <v>54</v>
      </c>
      <c r="C499" t="s">
        <v>37</v>
      </c>
      <c r="D499">
        <v>36</v>
      </c>
      <c r="E499" t="s">
        <v>62</v>
      </c>
      <c r="F499" t="s">
        <v>63</v>
      </c>
      <c r="G499" t="s">
        <v>45</v>
      </c>
      <c r="H499" t="s">
        <v>537</v>
      </c>
      <c r="I499">
        <v>6</v>
      </c>
      <c r="J499">
        <v>31666</v>
      </c>
      <c r="K499">
        <v>2.5</v>
      </c>
      <c r="L499">
        <v>96.9</v>
      </c>
      <c r="M499">
        <v>20</v>
      </c>
      <c r="N499">
        <v>42</v>
      </c>
      <c r="O499">
        <v>10622</v>
      </c>
      <c r="P499" t="s">
        <v>26</v>
      </c>
      <c r="Q499" t="s">
        <v>27</v>
      </c>
      <c r="R499" t="s">
        <v>42</v>
      </c>
      <c r="S499" t="s">
        <v>34</v>
      </c>
      <c r="T499" t="s">
        <v>50</v>
      </c>
      <c r="U499">
        <f t="shared" si="35"/>
        <v>42288</v>
      </c>
      <c r="V499" t="str">
        <f t="shared" si="36"/>
        <v>Excellent</v>
      </c>
      <c r="W499" t="str">
        <f t="shared" si="37"/>
        <v>Normal</v>
      </c>
      <c r="X499" t="str">
        <f t="shared" si="38"/>
        <v>Mid</v>
      </c>
      <c r="Y499" t="str">
        <f t="shared" si="39"/>
        <v>35-44</v>
      </c>
    </row>
    <row r="500" spans="1:25" x14ac:dyDescent="0.3">
      <c r="A500">
        <v>1499</v>
      </c>
      <c r="B500" t="s">
        <v>54</v>
      </c>
      <c r="C500" t="s">
        <v>37</v>
      </c>
      <c r="D500">
        <v>44</v>
      </c>
      <c r="E500" t="s">
        <v>55</v>
      </c>
      <c r="F500" t="s">
        <v>143</v>
      </c>
      <c r="G500" t="s">
        <v>51</v>
      </c>
      <c r="H500" t="s">
        <v>538</v>
      </c>
      <c r="I500">
        <v>4</v>
      </c>
      <c r="J500">
        <v>26443</v>
      </c>
      <c r="K500">
        <v>4.7</v>
      </c>
      <c r="L500">
        <v>83.9</v>
      </c>
      <c r="M500">
        <v>4</v>
      </c>
      <c r="N500">
        <v>26</v>
      </c>
      <c r="O500">
        <v>3245</v>
      </c>
      <c r="P500" t="s">
        <v>33</v>
      </c>
      <c r="Q500" t="s">
        <v>27</v>
      </c>
      <c r="R500" t="s">
        <v>70</v>
      </c>
      <c r="S500" t="s">
        <v>34</v>
      </c>
      <c r="T500" t="s">
        <v>35</v>
      </c>
      <c r="U500">
        <f t="shared" si="35"/>
        <v>29688</v>
      </c>
      <c r="V500" t="str">
        <f t="shared" si="36"/>
        <v>Needs Improvement</v>
      </c>
      <c r="W500" t="str">
        <f t="shared" si="37"/>
        <v>Normal</v>
      </c>
      <c r="X500" t="str">
        <f t="shared" si="38"/>
        <v>Mid</v>
      </c>
      <c r="Y500" t="str">
        <f t="shared" si="39"/>
        <v>35-44</v>
      </c>
    </row>
    <row r="501" spans="1:25" x14ac:dyDescent="0.3">
      <c r="A501">
        <v>1500</v>
      </c>
      <c r="B501" t="s">
        <v>61</v>
      </c>
      <c r="C501" t="s">
        <v>37</v>
      </c>
      <c r="D501">
        <v>33</v>
      </c>
      <c r="E501" t="s">
        <v>91</v>
      </c>
      <c r="F501" t="s">
        <v>101</v>
      </c>
      <c r="G501" t="s">
        <v>45</v>
      </c>
      <c r="H501" t="s">
        <v>539</v>
      </c>
      <c r="I501">
        <v>5</v>
      </c>
      <c r="J501">
        <v>28100</v>
      </c>
      <c r="K501">
        <v>4.3</v>
      </c>
      <c r="L501">
        <v>99</v>
      </c>
      <c r="M501">
        <v>16</v>
      </c>
      <c r="N501">
        <v>43</v>
      </c>
      <c r="O501">
        <v>1109</v>
      </c>
      <c r="P501" t="s">
        <v>41</v>
      </c>
      <c r="Q501" t="s">
        <v>27</v>
      </c>
      <c r="R501" t="s">
        <v>58</v>
      </c>
      <c r="S501" t="s">
        <v>34</v>
      </c>
      <c r="T501" t="s">
        <v>35</v>
      </c>
      <c r="U501">
        <f t="shared" si="35"/>
        <v>29209</v>
      </c>
      <c r="V501" t="str">
        <f t="shared" si="36"/>
        <v>Excellent</v>
      </c>
      <c r="W501" t="str">
        <f t="shared" si="37"/>
        <v>Normal</v>
      </c>
      <c r="X501" t="str">
        <f t="shared" si="38"/>
        <v>Mid</v>
      </c>
      <c r="Y501" t="str">
        <f t="shared" si="39"/>
        <v>25-34</v>
      </c>
    </row>
    <row r="502" spans="1:25" x14ac:dyDescent="0.3">
      <c r="A502">
        <v>1501</v>
      </c>
      <c r="B502" t="s">
        <v>88</v>
      </c>
      <c r="C502" t="s">
        <v>37</v>
      </c>
      <c r="D502">
        <v>27</v>
      </c>
      <c r="E502" t="s">
        <v>62</v>
      </c>
      <c r="F502" t="s">
        <v>63</v>
      </c>
      <c r="G502" t="s">
        <v>64</v>
      </c>
      <c r="H502" t="s">
        <v>540</v>
      </c>
      <c r="I502">
        <v>2</v>
      </c>
      <c r="J502">
        <v>79852</v>
      </c>
      <c r="K502">
        <v>4.5</v>
      </c>
      <c r="L502">
        <v>84</v>
      </c>
      <c r="M502">
        <v>25</v>
      </c>
      <c r="N502">
        <v>54</v>
      </c>
      <c r="O502">
        <v>3421</v>
      </c>
      <c r="P502" t="s">
        <v>26</v>
      </c>
      <c r="Q502" t="s">
        <v>48</v>
      </c>
      <c r="R502" t="s">
        <v>70</v>
      </c>
      <c r="S502" t="s">
        <v>29</v>
      </c>
      <c r="T502" t="s">
        <v>30</v>
      </c>
      <c r="U502">
        <f t="shared" si="35"/>
        <v>83273</v>
      </c>
      <c r="V502" t="str">
        <f t="shared" si="36"/>
        <v>Needs Improvement</v>
      </c>
      <c r="W502" t="str">
        <f t="shared" si="37"/>
        <v>High</v>
      </c>
      <c r="X502" t="str">
        <f t="shared" si="38"/>
        <v>Junior</v>
      </c>
      <c r="Y502" t="str">
        <f t="shared" si="39"/>
        <v>25-34</v>
      </c>
    </row>
    <row r="503" spans="1:25" x14ac:dyDescent="0.3">
      <c r="A503">
        <v>1502</v>
      </c>
      <c r="B503" t="s">
        <v>36</v>
      </c>
      <c r="C503" t="s">
        <v>21</v>
      </c>
      <c r="D503">
        <v>44</v>
      </c>
      <c r="E503" t="s">
        <v>91</v>
      </c>
      <c r="F503" t="s">
        <v>92</v>
      </c>
      <c r="G503" t="s">
        <v>45</v>
      </c>
      <c r="H503" t="s">
        <v>541</v>
      </c>
      <c r="I503">
        <v>4</v>
      </c>
      <c r="J503">
        <v>88197</v>
      </c>
      <c r="K503">
        <v>3.3</v>
      </c>
      <c r="L503">
        <v>83.1</v>
      </c>
      <c r="M503">
        <v>19</v>
      </c>
      <c r="N503">
        <v>21</v>
      </c>
      <c r="O503">
        <v>1735</v>
      </c>
      <c r="P503" t="s">
        <v>41</v>
      </c>
      <c r="Q503" t="s">
        <v>27</v>
      </c>
      <c r="R503" t="s">
        <v>28</v>
      </c>
      <c r="S503" t="s">
        <v>29</v>
      </c>
      <c r="T503" t="s">
        <v>35</v>
      </c>
      <c r="U503">
        <f t="shared" si="35"/>
        <v>89932</v>
      </c>
      <c r="V503" t="str">
        <f t="shared" si="36"/>
        <v>Needs Improvement</v>
      </c>
      <c r="W503" t="str">
        <f t="shared" si="37"/>
        <v>Normal</v>
      </c>
      <c r="X503" t="str">
        <f t="shared" si="38"/>
        <v>Mid</v>
      </c>
      <c r="Y503" t="str">
        <f t="shared" si="39"/>
        <v>35-44</v>
      </c>
    </row>
    <row r="504" spans="1:25" x14ac:dyDescent="0.3">
      <c r="A504">
        <v>1503</v>
      </c>
      <c r="B504" t="s">
        <v>99</v>
      </c>
      <c r="C504" t="s">
        <v>21</v>
      </c>
      <c r="D504">
        <v>24</v>
      </c>
      <c r="E504" t="s">
        <v>55</v>
      </c>
      <c r="F504" t="s">
        <v>79</v>
      </c>
      <c r="G504" t="s">
        <v>59</v>
      </c>
      <c r="H504" t="s">
        <v>276</v>
      </c>
      <c r="I504">
        <v>10</v>
      </c>
      <c r="J504">
        <v>43236</v>
      </c>
      <c r="K504">
        <v>3.2</v>
      </c>
      <c r="L504">
        <v>91.5</v>
      </c>
      <c r="M504">
        <v>18</v>
      </c>
      <c r="N504">
        <v>38</v>
      </c>
      <c r="O504">
        <v>9401</v>
      </c>
      <c r="P504" t="s">
        <v>33</v>
      </c>
      <c r="Q504" t="s">
        <v>48</v>
      </c>
      <c r="R504" t="s">
        <v>28</v>
      </c>
      <c r="S504" t="s">
        <v>34</v>
      </c>
      <c r="T504" t="s">
        <v>50</v>
      </c>
      <c r="U504">
        <f t="shared" si="35"/>
        <v>52637</v>
      </c>
      <c r="V504" t="str">
        <f t="shared" si="36"/>
        <v>Needs Improvement</v>
      </c>
      <c r="W504" t="str">
        <f t="shared" si="37"/>
        <v>Normal</v>
      </c>
      <c r="X504" t="str">
        <f t="shared" si="38"/>
        <v>Senior</v>
      </c>
      <c r="Y504" t="str">
        <f t="shared" si="39"/>
        <v>20-24</v>
      </c>
    </row>
    <row r="505" spans="1:25" x14ac:dyDescent="0.3">
      <c r="A505">
        <v>1504</v>
      </c>
      <c r="B505" t="s">
        <v>75</v>
      </c>
      <c r="C505" t="s">
        <v>37</v>
      </c>
      <c r="D505">
        <v>34</v>
      </c>
      <c r="E505" t="s">
        <v>22</v>
      </c>
      <c r="F505" t="s">
        <v>23</v>
      </c>
      <c r="G505" t="s">
        <v>64</v>
      </c>
      <c r="H505" t="s">
        <v>542</v>
      </c>
      <c r="I505">
        <v>5</v>
      </c>
      <c r="J505">
        <v>53854</v>
      </c>
      <c r="K505">
        <v>4.9000000000000004</v>
      </c>
      <c r="L505">
        <v>86.3</v>
      </c>
      <c r="M505">
        <v>15</v>
      </c>
      <c r="N505">
        <v>29</v>
      </c>
      <c r="O505">
        <v>2339</v>
      </c>
      <c r="P505" t="s">
        <v>26</v>
      </c>
      <c r="Q505" t="s">
        <v>48</v>
      </c>
      <c r="R505" t="s">
        <v>70</v>
      </c>
      <c r="S505" t="s">
        <v>49</v>
      </c>
      <c r="T505" t="s">
        <v>35</v>
      </c>
      <c r="U505">
        <f t="shared" si="35"/>
        <v>56193</v>
      </c>
      <c r="V505" t="str">
        <f t="shared" si="36"/>
        <v>Needs Improvement</v>
      </c>
      <c r="W505" t="str">
        <f t="shared" si="37"/>
        <v>Normal</v>
      </c>
      <c r="X505" t="str">
        <f t="shared" si="38"/>
        <v>Mid</v>
      </c>
      <c r="Y505" t="str">
        <f t="shared" si="39"/>
        <v>25-34</v>
      </c>
    </row>
    <row r="506" spans="1:25" x14ac:dyDescent="0.3">
      <c r="A506">
        <v>1505</v>
      </c>
      <c r="B506" t="s">
        <v>83</v>
      </c>
      <c r="C506" t="s">
        <v>21</v>
      </c>
      <c r="D506">
        <v>32</v>
      </c>
      <c r="E506" t="s">
        <v>22</v>
      </c>
      <c r="F506" t="s">
        <v>23</v>
      </c>
      <c r="G506" t="s">
        <v>59</v>
      </c>
      <c r="H506" t="s">
        <v>543</v>
      </c>
      <c r="I506">
        <v>8</v>
      </c>
      <c r="J506">
        <v>89806</v>
      </c>
      <c r="K506">
        <v>4.0999999999999996</v>
      </c>
      <c r="L506">
        <v>97.6</v>
      </c>
      <c r="M506">
        <v>19</v>
      </c>
      <c r="N506">
        <v>46</v>
      </c>
      <c r="O506">
        <v>7662</v>
      </c>
      <c r="P506" t="s">
        <v>33</v>
      </c>
      <c r="Q506" t="s">
        <v>48</v>
      </c>
      <c r="R506" t="s">
        <v>58</v>
      </c>
      <c r="S506" t="s">
        <v>29</v>
      </c>
      <c r="T506" t="s">
        <v>50</v>
      </c>
      <c r="U506">
        <f t="shared" si="35"/>
        <v>97468</v>
      </c>
      <c r="V506" t="str">
        <f t="shared" si="36"/>
        <v>Excellent</v>
      </c>
      <c r="W506" t="str">
        <f t="shared" si="37"/>
        <v>Normal</v>
      </c>
      <c r="X506" t="str">
        <f t="shared" si="38"/>
        <v>Senior</v>
      </c>
      <c r="Y506" t="str">
        <f t="shared" si="39"/>
        <v>25-34</v>
      </c>
    </row>
    <row r="507" spans="1:25" x14ac:dyDescent="0.3">
      <c r="A507">
        <v>1506</v>
      </c>
      <c r="B507" t="s">
        <v>78</v>
      </c>
      <c r="C507" t="s">
        <v>21</v>
      </c>
      <c r="D507">
        <v>36</v>
      </c>
      <c r="E507" t="s">
        <v>22</v>
      </c>
      <c r="F507" t="s">
        <v>66</v>
      </c>
      <c r="G507" t="s">
        <v>45</v>
      </c>
      <c r="H507" t="s">
        <v>544</v>
      </c>
      <c r="I507">
        <v>7</v>
      </c>
      <c r="J507">
        <v>38713</v>
      </c>
      <c r="K507">
        <v>2.8</v>
      </c>
      <c r="L507">
        <v>82.1</v>
      </c>
      <c r="M507">
        <v>4</v>
      </c>
      <c r="N507">
        <v>51</v>
      </c>
      <c r="O507">
        <v>14628</v>
      </c>
      <c r="P507" t="s">
        <v>26</v>
      </c>
      <c r="Q507" t="s">
        <v>27</v>
      </c>
      <c r="R507" t="s">
        <v>42</v>
      </c>
      <c r="S507" t="s">
        <v>34</v>
      </c>
      <c r="T507" t="s">
        <v>50</v>
      </c>
      <c r="U507">
        <f t="shared" si="35"/>
        <v>53341</v>
      </c>
      <c r="V507" t="str">
        <f t="shared" si="36"/>
        <v>Needs Improvement</v>
      </c>
      <c r="W507" t="str">
        <f t="shared" si="37"/>
        <v>Normal</v>
      </c>
      <c r="X507" t="str">
        <f t="shared" si="38"/>
        <v>Senior</v>
      </c>
      <c r="Y507" t="str">
        <f t="shared" si="39"/>
        <v>35-44</v>
      </c>
    </row>
    <row r="508" spans="1:25" x14ac:dyDescent="0.3">
      <c r="A508">
        <v>1507</v>
      </c>
      <c r="B508" t="s">
        <v>36</v>
      </c>
      <c r="C508" t="s">
        <v>21</v>
      </c>
      <c r="D508">
        <v>39</v>
      </c>
      <c r="E508" t="s">
        <v>91</v>
      </c>
      <c r="F508" t="s">
        <v>92</v>
      </c>
      <c r="G508" t="s">
        <v>51</v>
      </c>
      <c r="H508" t="s">
        <v>155</v>
      </c>
      <c r="I508">
        <v>0</v>
      </c>
      <c r="J508">
        <v>91148</v>
      </c>
      <c r="K508">
        <v>5</v>
      </c>
      <c r="L508">
        <v>86.8</v>
      </c>
      <c r="M508">
        <v>20</v>
      </c>
      <c r="N508">
        <v>59</v>
      </c>
      <c r="O508">
        <v>3452</v>
      </c>
      <c r="P508" t="s">
        <v>33</v>
      </c>
      <c r="Q508" t="s">
        <v>48</v>
      </c>
      <c r="R508" t="s">
        <v>70</v>
      </c>
      <c r="S508" t="s">
        <v>29</v>
      </c>
      <c r="T508" t="s">
        <v>30</v>
      </c>
      <c r="U508">
        <f t="shared" si="35"/>
        <v>94600</v>
      </c>
      <c r="V508" t="str">
        <f t="shared" si="36"/>
        <v>Needs Improvement</v>
      </c>
      <c r="W508" t="str">
        <f t="shared" si="37"/>
        <v>Normal</v>
      </c>
      <c r="X508" t="str">
        <f t="shared" si="38"/>
        <v>Junior</v>
      </c>
      <c r="Y508" t="str">
        <f t="shared" si="39"/>
        <v>35-44</v>
      </c>
    </row>
    <row r="509" spans="1:25" x14ac:dyDescent="0.3">
      <c r="A509">
        <v>1508</v>
      </c>
      <c r="B509" t="s">
        <v>71</v>
      </c>
      <c r="C509" t="s">
        <v>37</v>
      </c>
      <c r="D509">
        <v>29</v>
      </c>
      <c r="E509" t="s">
        <v>62</v>
      </c>
      <c r="F509" t="s">
        <v>63</v>
      </c>
      <c r="G509" t="s">
        <v>64</v>
      </c>
      <c r="H509" t="s">
        <v>545</v>
      </c>
      <c r="I509">
        <v>3</v>
      </c>
      <c r="J509">
        <v>76277</v>
      </c>
      <c r="K509">
        <v>3.7</v>
      </c>
      <c r="L509">
        <v>93.4</v>
      </c>
      <c r="M509">
        <v>19</v>
      </c>
      <c r="N509">
        <v>39</v>
      </c>
      <c r="O509">
        <v>13257</v>
      </c>
      <c r="P509" t="s">
        <v>53</v>
      </c>
      <c r="Q509" t="s">
        <v>48</v>
      </c>
      <c r="R509" t="s">
        <v>28</v>
      </c>
      <c r="S509" t="s">
        <v>29</v>
      </c>
      <c r="T509" t="s">
        <v>35</v>
      </c>
      <c r="U509">
        <f t="shared" si="35"/>
        <v>89534</v>
      </c>
      <c r="V509" t="str">
        <f t="shared" si="36"/>
        <v>Needs Improvement</v>
      </c>
      <c r="W509" t="str">
        <f t="shared" si="37"/>
        <v>Normal</v>
      </c>
      <c r="X509" t="str">
        <f t="shared" si="38"/>
        <v>Mid</v>
      </c>
      <c r="Y509" t="str">
        <f t="shared" si="39"/>
        <v>25-34</v>
      </c>
    </row>
    <row r="510" spans="1:25" x14ac:dyDescent="0.3">
      <c r="A510">
        <v>1509</v>
      </c>
      <c r="B510" t="s">
        <v>99</v>
      </c>
      <c r="C510" t="s">
        <v>37</v>
      </c>
      <c r="D510">
        <v>38</v>
      </c>
      <c r="E510" t="s">
        <v>38</v>
      </c>
      <c r="F510" t="s">
        <v>44</v>
      </c>
      <c r="G510" t="s">
        <v>64</v>
      </c>
      <c r="H510" t="s">
        <v>546</v>
      </c>
      <c r="I510">
        <v>1</v>
      </c>
      <c r="J510">
        <v>32673</v>
      </c>
      <c r="K510">
        <v>2.7</v>
      </c>
      <c r="L510">
        <v>92.9</v>
      </c>
      <c r="M510">
        <v>18</v>
      </c>
      <c r="N510">
        <v>32</v>
      </c>
      <c r="O510">
        <v>6323</v>
      </c>
      <c r="P510" t="s">
        <v>41</v>
      </c>
      <c r="Q510" t="s">
        <v>27</v>
      </c>
      <c r="R510" t="s">
        <v>42</v>
      </c>
      <c r="S510" t="s">
        <v>34</v>
      </c>
      <c r="T510" t="s">
        <v>30</v>
      </c>
      <c r="U510">
        <f t="shared" si="35"/>
        <v>38996</v>
      </c>
      <c r="V510" t="str">
        <f t="shared" si="36"/>
        <v>Needs Improvement</v>
      </c>
      <c r="W510" t="str">
        <f t="shared" si="37"/>
        <v>Normal</v>
      </c>
      <c r="X510" t="str">
        <f t="shared" si="38"/>
        <v>Junior</v>
      </c>
      <c r="Y510" t="str">
        <f t="shared" si="39"/>
        <v>35-44</v>
      </c>
    </row>
    <row r="511" spans="1:25" x14ac:dyDescent="0.3">
      <c r="A511">
        <v>1510</v>
      </c>
      <c r="B511" t="s">
        <v>54</v>
      </c>
      <c r="C511" t="s">
        <v>37</v>
      </c>
      <c r="D511">
        <v>33</v>
      </c>
      <c r="E511" t="s">
        <v>22</v>
      </c>
      <c r="F511" t="s">
        <v>66</v>
      </c>
      <c r="G511" t="s">
        <v>51</v>
      </c>
      <c r="H511" t="s">
        <v>547</v>
      </c>
      <c r="I511">
        <v>9</v>
      </c>
      <c r="J511">
        <v>94322</v>
      </c>
      <c r="K511">
        <v>3</v>
      </c>
      <c r="L511">
        <v>92.6</v>
      </c>
      <c r="M511">
        <v>15</v>
      </c>
      <c r="N511">
        <v>20</v>
      </c>
      <c r="O511">
        <v>12052</v>
      </c>
      <c r="P511" t="s">
        <v>47</v>
      </c>
      <c r="Q511" t="s">
        <v>27</v>
      </c>
      <c r="R511" t="s">
        <v>28</v>
      </c>
      <c r="S511" t="s">
        <v>29</v>
      </c>
      <c r="T511" t="s">
        <v>50</v>
      </c>
      <c r="U511">
        <f t="shared" si="35"/>
        <v>106374</v>
      </c>
      <c r="V511" t="str">
        <f t="shared" si="36"/>
        <v>Needs Improvement</v>
      </c>
      <c r="W511" t="str">
        <f t="shared" si="37"/>
        <v>Normal</v>
      </c>
      <c r="X511" t="str">
        <f t="shared" si="38"/>
        <v>Senior</v>
      </c>
      <c r="Y511" t="str">
        <f t="shared" si="39"/>
        <v>25-34</v>
      </c>
    </row>
    <row r="512" spans="1:25" x14ac:dyDescent="0.3">
      <c r="A512">
        <v>1511</v>
      </c>
      <c r="B512" t="s">
        <v>85</v>
      </c>
      <c r="C512" t="s">
        <v>37</v>
      </c>
      <c r="D512">
        <v>45</v>
      </c>
      <c r="E512" t="s">
        <v>62</v>
      </c>
      <c r="F512" t="s">
        <v>97</v>
      </c>
      <c r="G512" t="s">
        <v>24</v>
      </c>
      <c r="H512" t="s">
        <v>548</v>
      </c>
      <c r="I512">
        <v>8</v>
      </c>
      <c r="J512">
        <v>35354</v>
      </c>
      <c r="K512">
        <v>2.7</v>
      </c>
      <c r="L512">
        <v>97</v>
      </c>
      <c r="M512">
        <v>4</v>
      </c>
      <c r="N512">
        <v>23</v>
      </c>
      <c r="O512">
        <v>12110</v>
      </c>
      <c r="P512" t="s">
        <v>41</v>
      </c>
      <c r="Q512" t="s">
        <v>27</v>
      </c>
      <c r="R512" t="s">
        <v>42</v>
      </c>
      <c r="S512" t="s">
        <v>34</v>
      </c>
      <c r="T512" t="s">
        <v>50</v>
      </c>
      <c r="U512">
        <f t="shared" si="35"/>
        <v>47464</v>
      </c>
      <c r="V512" t="str">
        <f t="shared" si="36"/>
        <v>Excellent</v>
      </c>
      <c r="W512" t="str">
        <f t="shared" si="37"/>
        <v>Normal</v>
      </c>
      <c r="X512" t="str">
        <f t="shared" si="38"/>
        <v>Senior</v>
      </c>
      <c r="Y512" t="str">
        <f t="shared" si="39"/>
        <v>45+</v>
      </c>
    </row>
    <row r="513" spans="1:25" x14ac:dyDescent="0.3">
      <c r="A513">
        <v>1512</v>
      </c>
      <c r="B513" t="s">
        <v>78</v>
      </c>
      <c r="C513" t="s">
        <v>37</v>
      </c>
      <c r="D513">
        <v>40</v>
      </c>
      <c r="E513" t="s">
        <v>62</v>
      </c>
      <c r="F513" t="s">
        <v>97</v>
      </c>
      <c r="G513" t="s">
        <v>45</v>
      </c>
      <c r="H513" t="s">
        <v>549</v>
      </c>
      <c r="I513">
        <v>2</v>
      </c>
      <c r="J513">
        <v>40500</v>
      </c>
      <c r="K513">
        <v>4.7</v>
      </c>
      <c r="L513">
        <v>98.3</v>
      </c>
      <c r="M513">
        <v>25</v>
      </c>
      <c r="N513">
        <v>30</v>
      </c>
      <c r="O513">
        <v>8894</v>
      </c>
      <c r="P513" t="s">
        <v>33</v>
      </c>
      <c r="Q513" t="s">
        <v>48</v>
      </c>
      <c r="R513" t="s">
        <v>70</v>
      </c>
      <c r="S513" t="s">
        <v>34</v>
      </c>
      <c r="T513" t="s">
        <v>30</v>
      </c>
      <c r="U513">
        <f t="shared" si="35"/>
        <v>49394</v>
      </c>
      <c r="V513" t="str">
        <f t="shared" si="36"/>
        <v>Excellent</v>
      </c>
      <c r="W513" t="str">
        <f t="shared" si="37"/>
        <v>High</v>
      </c>
      <c r="X513" t="str">
        <f t="shared" si="38"/>
        <v>Junior</v>
      </c>
      <c r="Y513" t="str">
        <f t="shared" si="39"/>
        <v>35-44</v>
      </c>
    </row>
    <row r="514" spans="1:25" x14ac:dyDescent="0.3">
      <c r="A514">
        <v>1513</v>
      </c>
      <c r="B514" t="s">
        <v>85</v>
      </c>
      <c r="C514" t="s">
        <v>37</v>
      </c>
      <c r="D514">
        <v>45</v>
      </c>
      <c r="E514" t="s">
        <v>62</v>
      </c>
      <c r="F514" t="s">
        <v>97</v>
      </c>
      <c r="G514" t="s">
        <v>59</v>
      </c>
      <c r="H514" t="s">
        <v>550</v>
      </c>
      <c r="I514">
        <v>10</v>
      </c>
      <c r="J514">
        <v>70033</v>
      </c>
      <c r="K514">
        <v>4.3</v>
      </c>
      <c r="L514">
        <v>95.2</v>
      </c>
      <c r="M514">
        <v>25</v>
      </c>
      <c r="N514">
        <v>22</v>
      </c>
      <c r="O514">
        <v>4461</v>
      </c>
      <c r="P514" t="s">
        <v>41</v>
      </c>
      <c r="Q514" t="s">
        <v>48</v>
      </c>
      <c r="R514" t="s">
        <v>58</v>
      </c>
      <c r="S514" t="s">
        <v>29</v>
      </c>
      <c r="T514" t="s">
        <v>50</v>
      </c>
      <c r="U514">
        <f t="shared" si="35"/>
        <v>74494</v>
      </c>
      <c r="V514" t="str">
        <f t="shared" si="36"/>
        <v>Excellent</v>
      </c>
      <c r="W514" t="str">
        <f t="shared" si="37"/>
        <v>High</v>
      </c>
      <c r="X514" t="str">
        <f t="shared" si="38"/>
        <v>Senior</v>
      </c>
      <c r="Y514" t="str">
        <f t="shared" si="39"/>
        <v>45+</v>
      </c>
    </row>
    <row r="515" spans="1:25" x14ac:dyDescent="0.3">
      <c r="A515">
        <v>1514</v>
      </c>
      <c r="B515" t="s">
        <v>121</v>
      </c>
      <c r="C515" t="s">
        <v>37</v>
      </c>
      <c r="D515">
        <v>44</v>
      </c>
      <c r="E515" t="s">
        <v>22</v>
      </c>
      <c r="F515" t="s">
        <v>66</v>
      </c>
      <c r="G515" t="s">
        <v>45</v>
      </c>
      <c r="H515" t="s">
        <v>551</v>
      </c>
      <c r="I515">
        <v>8</v>
      </c>
      <c r="J515">
        <v>34619</v>
      </c>
      <c r="K515">
        <v>4.3</v>
      </c>
      <c r="L515">
        <v>83</v>
      </c>
      <c r="M515">
        <v>11</v>
      </c>
      <c r="N515">
        <v>59</v>
      </c>
      <c r="O515">
        <v>2707</v>
      </c>
      <c r="P515" t="s">
        <v>41</v>
      </c>
      <c r="Q515" t="s">
        <v>48</v>
      </c>
      <c r="R515" t="s">
        <v>58</v>
      </c>
      <c r="S515" t="s">
        <v>34</v>
      </c>
      <c r="T515" t="s">
        <v>50</v>
      </c>
      <c r="U515">
        <f t="shared" ref="U515:U578" si="40">J515+O515</f>
        <v>37326</v>
      </c>
      <c r="V515" t="str">
        <f t="shared" ref="V515:V578" si="41">IF(L515&gt;=95,"Excellent","Needs Improvement")</f>
        <v>Needs Improvement</v>
      </c>
      <c r="W515" t="str">
        <f t="shared" ref="W515:W578" si="42">IF(M515&gt;20,"High","Normal")</f>
        <v>Normal</v>
      </c>
      <c r="X515" t="str">
        <f t="shared" ref="X515:X578" si="43">IF(I515&lt;3,"Junior",IF(I515&lt;7,"Mid","Senior"))</f>
        <v>Senior</v>
      </c>
      <c r="Y515" t="str">
        <f t="shared" ref="Y515:Y578" si="44">IF(D515&lt;25,"20-24",IF(D515&lt;35,"25-34",IF(D515&lt;45,"35-44","45+")))</f>
        <v>35-44</v>
      </c>
    </row>
    <row r="516" spans="1:25" x14ac:dyDescent="0.3">
      <c r="A516">
        <v>1515</v>
      </c>
      <c r="B516" t="s">
        <v>71</v>
      </c>
      <c r="C516" t="s">
        <v>37</v>
      </c>
      <c r="D516">
        <v>45</v>
      </c>
      <c r="E516" t="s">
        <v>55</v>
      </c>
      <c r="F516" t="s">
        <v>143</v>
      </c>
      <c r="G516" t="s">
        <v>59</v>
      </c>
      <c r="H516" t="s">
        <v>552</v>
      </c>
      <c r="I516">
        <v>9</v>
      </c>
      <c r="J516">
        <v>72716</v>
      </c>
      <c r="K516">
        <v>3.7</v>
      </c>
      <c r="L516">
        <v>94.2</v>
      </c>
      <c r="M516">
        <v>17</v>
      </c>
      <c r="N516">
        <v>10</v>
      </c>
      <c r="O516">
        <v>5799</v>
      </c>
      <c r="P516" t="s">
        <v>41</v>
      </c>
      <c r="Q516" t="s">
        <v>27</v>
      </c>
      <c r="R516" t="s">
        <v>28</v>
      </c>
      <c r="S516" t="s">
        <v>29</v>
      </c>
      <c r="T516" t="s">
        <v>50</v>
      </c>
      <c r="U516">
        <f t="shared" si="40"/>
        <v>78515</v>
      </c>
      <c r="V516" t="str">
        <f t="shared" si="41"/>
        <v>Needs Improvement</v>
      </c>
      <c r="W516" t="str">
        <f t="shared" si="42"/>
        <v>Normal</v>
      </c>
      <c r="X516" t="str">
        <f t="shared" si="43"/>
        <v>Senior</v>
      </c>
      <c r="Y516" t="str">
        <f t="shared" si="44"/>
        <v>45+</v>
      </c>
    </row>
    <row r="517" spans="1:25" x14ac:dyDescent="0.3">
      <c r="A517">
        <v>1516</v>
      </c>
      <c r="B517" t="s">
        <v>85</v>
      </c>
      <c r="C517" t="s">
        <v>21</v>
      </c>
      <c r="D517">
        <v>23</v>
      </c>
      <c r="E517" t="s">
        <v>91</v>
      </c>
      <c r="F517" t="s">
        <v>101</v>
      </c>
      <c r="G517" t="s">
        <v>24</v>
      </c>
      <c r="H517" t="s">
        <v>553</v>
      </c>
      <c r="I517">
        <v>2</v>
      </c>
      <c r="J517">
        <v>73273</v>
      </c>
      <c r="K517">
        <v>4</v>
      </c>
      <c r="L517">
        <v>82.3</v>
      </c>
      <c r="M517">
        <v>11</v>
      </c>
      <c r="N517">
        <v>23</v>
      </c>
      <c r="O517">
        <v>12778</v>
      </c>
      <c r="P517" t="s">
        <v>33</v>
      </c>
      <c r="Q517" t="s">
        <v>48</v>
      </c>
      <c r="R517" t="s">
        <v>58</v>
      </c>
      <c r="S517" t="s">
        <v>29</v>
      </c>
      <c r="T517" t="s">
        <v>30</v>
      </c>
      <c r="U517">
        <f t="shared" si="40"/>
        <v>86051</v>
      </c>
      <c r="V517" t="str">
        <f t="shared" si="41"/>
        <v>Needs Improvement</v>
      </c>
      <c r="W517" t="str">
        <f t="shared" si="42"/>
        <v>Normal</v>
      </c>
      <c r="X517" t="str">
        <f t="shared" si="43"/>
        <v>Junior</v>
      </c>
      <c r="Y517" t="str">
        <f t="shared" si="44"/>
        <v>20-24</v>
      </c>
    </row>
    <row r="518" spans="1:25" x14ac:dyDescent="0.3">
      <c r="A518">
        <v>1517</v>
      </c>
      <c r="B518" t="s">
        <v>178</v>
      </c>
      <c r="C518" t="s">
        <v>21</v>
      </c>
      <c r="D518">
        <v>42</v>
      </c>
      <c r="E518" t="s">
        <v>38</v>
      </c>
      <c r="F518" t="s">
        <v>39</v>
      </c>
      <c r="G518" t="s">
        <v>51</v>
      </c>
      <c r="H518" t="s">
        <v>554</v>
      </c>
      <c r="I518">
        <v>2</v>
      </c>
      <c r="J518">
        <v>48643</v>
      </c>
      <c r="K518">
        <v>4.5</v>
      </c>
      <c r="L518">
        <v>96.7</v>
      </c>
      <c r="M518">
        <v>4</v>
      </c>
      <c r="N518">
        <v>21</v>
      </c>
      <c r="O518">
        <v>8343</v>
      </c>
      <c r="P518" t="s">
        <v>47</v>
      </c>
      <c r="Q518" t="s">
        <v>27</v>
      </c>
      <c r="R518" t="s">
        <v>70</v>
      </c>
      <c r="S518" t="s">
        <v>34</v>
      </c>
      <c r="T518" t="s">
        <v>30</v>
      </c>
      <c r="U518">
        <f t="shared" si="40"/>
        <v>56986</v>
      </c>
      <c r="V518" t="str">
        <f t="shared" si="41"/>
        <v>Excellent</v>
      </c>
      <c r="W518" t="str">
        <f t="shared" si="42"/>
        <v>Normal</v>
      </c>
      <c r="X518" t="str">
        <f t="shared" si="43"/>
        <v>Junior</v>
      </c>
      <c r="Y518" t="str">
        <f t="shared" si="44"/>
        <v>35-44</v>
      </c>
    </row>
    <row r="519" spans="1:25" x14ac:dyDescent="0.3">
      <c r="A519">
        <v>1518</v>
      </c>
      <c r="B519" t="s">
        <v>99</v>
      </c>
      <c r="C519" t="s">
        <v>21</v>
      </c>
      <c r="D519">
        <v>37</v>
      </c>
      <c r="E519" t="s">
        <v>22</v>
      </c>
      <c r="F519" t="s">
        <v>23</v>
      </c>
      <c r="G519" t="s">
        <v>24</v>
      </c>
      <c r="H519" t="s">
        <v>439</v>
      </c>
      <c r="I519">
        <v>2</v>
      </c>
      <c r="J519">
        <v>47837</v>
      </c>
      <c r="K519">
        <v>3.2</v>
      </c>
      <c r="L519">
        <v>99.9</v>
      </c>
      <c r="M519">
        <v>2</v>
      </c>
      <c r="N519">
        <v>36</v>
      </c>
      <c r="O519">
        <v>4034</v>
      </c>
      <c r="P519" t="s">
        <v>47</v>
      </c>
      <c r="Q519" t="s">
        <v>48</v>
      </c>
      <c r="R519" t="s">
        <v>28</v>
      </c>
      <c r="S519" t="s">
        <v>34</v>
      </c>
      <c r="T519" t="s">
        <v>30</v>
      </c>
      <c r="U519">
        <f t="shared" si="40"/>
        <v>51871</v>
      </c>
      <c r="V519" t="str">
        <f t="shared" si="41"/>
        <v>Excellent</v>
      </c>
      <c r="W519" t="str">
        <f t="shared" si="42"/>
        <v>Normal</v>
      </c>
      <c r="X519" t="str">
        <f t="shared" si="43"/>
        <v>Junior</v>
      </c>
      <c r="Y519" t="str">
        <f t="shared" si="44"/>
        <v>35-44</v>
      </c>
    </row>
    <row r="520" spans="1:25" x14ac:dyDescent="0.3">
      <c r="A520">
        <v>1519</v>
      </c>
      <c r="B520" t="s">
        <v>85</v>
      </c>
      <c r="C520" t="s">
        <v>37</v>
      </c>
      <c r="D520">
        <v>25</v>
      </c>
      <c r="E520" t="s">
        <v>91</v>
      </c>
      <c r="F520" t="s">
        <v>92</v>
      </c>
      <c r="G520" t="s">
        <v>59</v>
      </c>
      <c r="H520" t="s">
        <v>555</v>
      </c>
      <c r="I520">
        <v>1</v>
      </c>
      <c r="J520">
        <v>40882</v>
      </c>
      <c r="K520">
        <v>2.7</v>
      </c>
      <c r="L520">
        <v>87.4</v>
      </c>
      <c r="M520">
        <v>17</v>
      </c>
      <c r="N520">
        <v>5</v>
      </c>
      <c r="O520">
        <v>9491</v>
      </c>
      <c r="P520" t="s">
        <v>33</v>
      </c>
      <c r="Q520" t="s">
        <v>48</v>
      </c>
      <c r="R520" t="s">
        <v>42</v>
      </c>
      <c r="S520" t="s">
        <v>34</v>
      </c>
      <c r="T520" t="s">
        <v>30</v>
      </c>
      <c r="U520">
        <f t="shared" si="40"/>
        <v>50373</v>
      </c>
      <c r="V520" t="str">
        <f t="shared" si="41"/>
        <v>Needs Improvement</v>
      </c>
      <c r="W520" t="str">
        <f t="shared" si="42"/>
        <v>Normal</v>
      </c>
      <c r="X520" t="str">
        <f t="shared" si="43"/>
        <v>Junior</v>
      </c>
      <c r="Y520" t="str">
        <f t="shared" si="44"/>
        <v>25-34</v>
      </c>
    </row>
    <row r="521" spans="1:25" x14ac:dyDescent="0.3">
      <c r="A521">
        <v>1520</v>
      </c>
      <c r="B521" t="s">
        <v>73</v>
      </c>
      <c r="C521" t="s">
        <v>21</v>
      </c>
      <c r="D521">
        <v>40</v>
      </c>
      <c r="E521" t="s">
        <v>91</v>
      </c>
      <c r="F521" t="s">
        <v>92</v>
      </c>
      <c r="G521" t="s">
        <v>51</v>
      </c>
      <c r="H521" t="s">
        <v>556</v>
      </c>
      <c r="I521">
        <v>5</v>
      </c>
      <c r="J521">
        <v>53351</v>
      </c>
      <c r="K521">
        <v>4.5</v>
      </c>
      <c r="L521">
        <v>95.4</v>
      </c>
      <c r="M521">
        <v>23</v>
      </c>
      <c r="N521">
        <v>59</v>
      </c>
      <c r="O521">
        <v>8391</v>
      </c>
      <c r="P521" t="s">
        <v>41</v>
      </c>
      <c r="Q521" t="s">
        <v>27</v>
      </c>
      <c r="R521" t="s">
        <v>70</v>
      </c>
      <c r="S521" t="s">
        <v>49</v>
      </c>
      <c r="T521" t="s">
        <v>35</v>
      </c>
      <c r="U521">
        <f t="shared" si="40"/>
        <v>61742</v>
      </c>
      <c r="V521" t="str">
        <f t="shared" si="41"/>
        <v>Excellent</v>
      </c>
      <c r="W521" t="str">
        <f t="shared" si="42"/>
        <v>High</v>
      </c>
      <c r="X521" t="str">
        <f t="shared" si="43"/>
        <v>Mid</v>
      </c>
      <c r="Y521" t="str">
        <f t="shared" si="44"/>
        <v>35-44</v>
      </c>
    </row>
    <row r="522" spans="1:25" x14ac:dyDescent="0.3">
      <c r="A522">
        <v>1521</v>
      </c>
      <c r="B522" t="s">
        <v>178</v>
      </c>
      <c r="C522" t="s">
        <v>21</v>
      </c>
      <c r="D522">
        <v>26</v>
      </c>
      <c r="E522" t="s">
        <v>38</v>
      </c>
      <c r="F522" t="s">
        <v>39</v>
      </c>
      <c r="G522" t="s">
        <v>24</v>
      </c>
      <c r="H522" t="s">
        <v>557</v>
      </c>
      <c r="I522">
        <v>2</v>
      </c>
      <c r="J522">
        <v>85094</v>
      </c>
      <c r="K522">
        <v>3.6</v>
      </c>
      <c r="L522">
        <v>97.3</v>
      </c>
      <c r="M522">
        <v>3</v>
      </c>
      <c r="N522">
        <v>42</v>
      </c>
      <c r="O522">
        <v>10137</v>
      </c>
      <c r="P522" t="s">
        <v>47</v>
      </c>
      <c r="Q522" t="s">
        <v>27</v>
      </c>
      <c r="R522" t="s">
        <v>28</v>
      </c>
      <c r="S522" t="s">
        <v>29</v>
      </c>
      <c r="T522" t="s">
        <v>30</v>
      </c>
      <c r="U522">
        <f t="shared" si="40"/>
        <v>95231</v>
      </c>
      <c r="V522" t="str">
        <f t="shared" si="41"/>
        <v>Excellent</v>
      </c>
      <c r="W522" t="str">
        <f t="shared" si="42"/>
        <v>Normal</v>
      </c>
      <c r="X522" t="str">
        <f t="shared" si="43"/>
        <v>Junior</v>
      </c>
      <c r="Y522" t="str">
        <f t="shared" si="44"/>
        <v>25-34</v>
      </c>
    </row>
    <row r="523" spans="1:25" x14ac:dyDescent="0.3">
      <c r="A523">
        <v>1522</v>
      </c>
      <c r="B523" t="s">
        <v>68</v>
      </c>
      <c r="C523" t="s">
        <v>37</v>
      </c>
      <c r="D523">
        <v>30</v>
      </c>
      <c r="E523" t="s">
        <v>55</v>
      </c>
      <c r="F523" t="s">
        <v>143</v>
      </c>
      <c r="G523" t="s">
        <v>24</v>
      </c>
      <c r="H523" t="s">
        <v>558</v>
      </c>
      <c r="I523">
        <v>1</v>
      </c>
      <c r="J523">
        <v>68414</v>
      </c>
      <c r="K523">
        <v>3.3</v>
      </c>
      <c r="L523">
        <v>89.1</v>
      </c>
      <c r="M523">
        <v>17</v>
      </c>
      <c r="N523">
        <v>40</v>
      </c>
      <c r="O523">
        <v>9038</v>
      </c>
      <c r="P523" t="s">
        <v>33</v>
      </c>
      <c r="Q523" t="s">
        <v>27</v>
      </c>
      <c r="R523" t="s">
        <v>28</v>
      </c>
      <c r="S523" t="s">
        <v>49</v>
      </c>
      <c r="T523" t="s">
        <v>30</v>
      </c>
      <c r="U523">
        <f t="shared" si="40"/>
        <v>77452</v>
      </c>
      <c r="V523" t="str">
        <f t="shared" si="41"/>
        <v>Needs Improvement</v>
      </c>
      <c r="W523" t="str">
        <f t="shared" si="42"/>
        <v>Normal</v>
      </c>
      <c r="X523" t="str">
        <f t="shared" si="43"/>
        <v>Junior</v>
      </c>
      <c r="Y523" t="str">
        <f t="shared" si="44"/>
        <v>25-34</v>
      </c>
    </row>
    <row r="524" spans="1:25" x14ac:dyDescent="0.3">
      <c r="A524">
        <v>1523</v>
      </c>
      <c r="B524" t="s">
        <v>36</v>
      </c>
      <c r="C524" t="s">
        <v>21</v>
      </c>
      <c r="D524">
        <v>27</v>
      </c>
      <c r="E524" t="s">
        <v>91</v>
      </c>
      <c r="F524" t="s">
        <v>101</v>
      </c>
      <c r="G524" t="s">
        <v>24</v>
      </c>
      <c r="H524" t="s">
        <v>32</v>
      </c>
      <c r="I524">
        <v>7</v>
      </c>
      <c r="J524">
        <v>27030</v>
      </c>
      <c r="K524">
        <v>4.0999999999999996</v>
      </c>
      <c r="L524">
        <v>83.8</v>
      </c>
      <c r="M524">
        <v>12</v>
      </c>
      <c r="N524">
        <v>13</v>
      </c>
      <c r="O524">
        <v>9846</v>
      </c>
      <c r="P524" t="s">
        <v>53</v>
      </c>
      <c r="Q524" t="s">
        <v>27</v>
      </c>
      <c r="R524" t="s">
        <v>58</v>
      </c>
      <c r="S524" t="s">
        <v>34</v>
      </c>
      <c r="T524" t="s">
        <v>50</v>
      </c>
      <c r="U524">
        <f t="shared" si="40"/>
        <v>36876</v>
      </c>
      <c r="V524" t="str">
        <f t="shared" si="41"/>
        <v>Needs Improvement</v>
      </c>
      <c r="W524" t="str">
        <f t="shared" si="42"/>
        <v>Normal</v>
      </c>
      <c r="X524" t="str">
        <f t="shared" si="43"/>
        <v>Senior</v>
      </c>
      <c r="Y524" t="str">
        <f t="shared" si="44"/>
        <v>25-34</v>
      </c>
    </row>
    <row r="525" spans="1:25" x14ac:dyDescent="0.3">
      <c r="A525">
        <v>1524</v>
      </c>
      <c r="B525" t="s">
        <v>78</v>
      </c>
      <c r="C525" t="s">
        <v>37</v>
      </c>
      <c r="D525">
        <v>25</v>
      </c>
      <c r="E525" t="s">
        <v>62</v>
      </c>
      <c r="F525" t="s">
        <v>97</v>
      </c>
      <c r="G525" t="s">
        <v>64</v>
      </c>
      <c r="H525" t="s">
        <v>559</v>
      </c>
      <c r="I525">
        <v>3</v>
      </c>
      <c r="J525">
        <v>33307</v>
      </c>
      <c r="K525">
        <v>3.8</v>
      </c>
      <c r="L525">
        <v>95.8</v>
      </c>
      <c r="M525">
        <v>8</v>
      </c>
      <c r="N525">
        <v>60</v>
      </c>
      <c r="O525">
        <v>6914</v>
      </c>
      <c r="P525" t="s">
        <v>53</v>
      </c>
      <c r="Q525" t="s">
        <v>27</v>
      </c>
      <c r="R525" t="s">
        <v>28</v>
      </c>
      <c r="S525" t="s">
        <v>34</v>
      </c>
      <c r="T525" t="s">
        <v>35</v>
      </c>
      <c r="U525">
        <f t="shared" si="40"/>
        <v>40221</v>
      </c>
      <c r="V525" t="str">
        <f t="shared" si="41"/>
        <v>Excellent</v>
      </c>
      <c r="W525" t="str">
        <f t="shared" si="42"/>
        <v>Normal</v>
      </c>
      <c r="X525" t="str">
        <f t="shared" si="43"/>
        <v>Mid</v>
      </c>
      <c r="Y525" t="str">
        <f t="shared" si="44"/>
        <v>25-34</v>
      </c>
    </row>
    <row r="526" spans="1:25" x14ac:dyDescent="0.3">
      <c r="A526">
        <v>1525</v>
      </c>
      <c r="B526" t="s">
        <v>85</v>
      </c>
      <c r="C526" t="s">
        <v>21</v>
      </c>
      <c r="D526">
        <v>41</v>
      </c>
      <c r="E526" t="s">
        <v>55</v>
      </c>
      <c r="F526" t="s">
        <v>143</v>
      </c>
      <c r="G526" t="s">
        <v>64</v>
      </c>
      <c r="H526" t="s">
        <v>295</v>
      </c>
      <c r="I526">
        <v>1</v>
      </c>
      <c r="J526">
        <v>42141</v>
      </c>
      <c r="K526">
        <v>4.7</v>
      </c>
      <c r="L526">
        <v>96</v>
      </c>
      <c r="M526">
        <v>20</v>
      </c>
      <c r="N526">
        <v>30</v>
      </c>
      <c r="O526">
        <v>4087</v>
      </c>
      <c r="P526" t="s">
        <v>33</v>
      </c>
      <c r="Q526" t="s">
        <v>27</v>
      </c>
      <c r="R526" t="s">
        <v>70</v>
      </c>
      <c r="S526" t="s">
        <v>34</v>
      </c>
      <c r="T526" t="s">
        <v>30</v>
      </c>
      <c r="U526">
        <f t="shared" si="40"/>
        <v>46228</v>
      </c>
      <c r="V526" t="str">
        <f t="shared" si="41"/>
        <v>Excellent</v>
      </c>
      <c r="W526" t="str">
        <f t="shared" si="42"/>
        <v>Normal</v>
      </c>
      <c r="X526" t="str">
        <f t="shared" si="43"/>
        <v>Junior</v>
      </c>
      <c r="Y526" t="str">
        <f t="shared" si="44"/>
        <v>35-44</v>
      </c>
    </row>
    <row r="527" spans="1:25" x14ac:dyDescent="0.3">
      <c r="A527">
        <v>1526</v>
      </c>
      <c r="B527" t="s">
        <v>20</v>
      </c>
      <c r="C527" t="s">
        <v>37</v>
      </c>
      <c r="D527">
        <v>44</v>
      </c>
      <c r="E527" t="s">
        <v>55</v>
      </c>
      <c r="F527" t="s">
        <v>143</v>
      </c>
      <c r="G527" t="s">
        <v>59</v>
      </c>
      <c r="H527" t="s">
        <v>312</v>
      </c>
      <c r="I527">
        <v>0</v>
      </c>
      <c r="J527">
        <v>92085</v>
      </c>
      <c r="K527">
        <v>2.6</v>
      </c>
      <c r="L527">
        <v>99.9</v>
      </c>
      <c r="M527">
        <v>9</v>
      </c>
      <c r="N527">
        <v>22</v>
      </c>
      <c r="O527">
        <v>2761</v>
      </c>
      <c r="P527" t="s">
        <v>47</v>
      </c>
      <c r="Q527" t="s">
        <v>27</v>
      </c>
      <c r="R527" t="s">
        <v>42</v>
      </c>
      <c r="S527" t="s">
        <v>29</v>
      </c>
      <c r="T527" t="s">
        <v>30</v>
      </c>
      <c r="U527">
        <f t="shared" si="40"/>
        <v>94846</v>
      </c>
      <c r="V527" t="str">
        <f t="shared" si="41"/>
        <v>Excellent</v>
      </c>
      <c r="W527" t="str">
        <f t="shared" si="42"/>
        <v>Normal</v>
      </c>
      <c r="X527" t="str">
        <f t="shared" si="43"/>
        <v>Junior</v>
      </c>
      <c r="Y527" t="str">
        <f t="shared" si="44"/>
        <v>35-44</v>
      </c>
    </row>
    <row r="528" spans="1:25" x14ac:dyDescent="0.3">
      <c r="A528">
        <v>1527</v>
      </c>
      <c r="B528" t="s">
        <v>54</v>
      </c>
      <c r="C528" t="s">
        <v>21</v>
      </c>
      <c r="D528">
        <v>45</v>
      </c>
      <c r="E528" t="s">
        <v>91</v>
      </c>
      <c r="F528" t="s">
        <v>92</v>
      </c>
      <c r="G528" t="s">
        <v>64</v>
      </c>
      <c r="H528" t="s">
        <v>560</v>
      </c>
      <c r="I528">
        <v>1</v>
      </c>
      <c r="J528">
        <v>53933</v>
      </c>
      <c r="K528">
        <v>4.0999999999999996</v>
      </c>
      <c r="L528">
        <v>99.1</v>
      </c>
      <c r="M528">
        <v>12</v>
      </c>
      <c r="N528">
        <v>17</v>
      </c>
      <c r="O528">
        <v>4476</v>
      </c>
      <c r="P528" t="s">
        <v>33</v>
      </c>
      <c r="Q528" t="s">
        <v>48</v>
      </c>
      <c r="R528" t="s">
        <v>58</v>
      </c>
      <c r="S528" t="s">
        <v>49</v>
      </c>
      <c r="T528" t="s">
        <v>30</v>
      </c>
      <c r="U528">
        <f t="shared" si="40"/>
        <v>58409</v>
      </c>
      <c r="V528" t="str">
        <f t="shared" si="41"/>
        <v>Excellent</v>
      </c>
      <c r="W528" t="str">
        <f t="shared" si="42"/>
        <v>Normal</v>
      </c>
      <c r="X528" t="str">
        <f t="shared" si="43"/>
        <v>Junior</v>
      </c>
      <c r="Y528" t="str">
        <f t="shared" si="44"/>
        <v>45+</v>
      </c>
    </row>
    <row r="529" spans="1:25" x14ac:dyDescent="0.3">
      <c r="A529">
        <v>1528</v>
      </c>
      <c r="B529" t="s">
        <v>20</v>
      </c>
      <c r="C529" t="s">
        <v>21</v>
      </c>
      <c r="D529">
        <v>39</v>
      </c>
      <c r="E529" t="s">
        <v>55</v>
      </c>
      <c r="F529" t="s">
        <v>79</v>
      </c>
      <c r="G529" t="s">
        <v>64</v>
      </c>
      <c r="H529" t="s">
        <v>543</v>
      </c>
      <c r="I529">
        <v>9</v>
      </c>
      <c r="J529">
        <v>36182</v>
      </c>
      <c r="K529">
        <v>3.3</v>
      </c>
      <c r="L529">
        <v>97.4</v>
      </c>
      <c r="M529">
        <v>17</v>
      </c>
      <c r="N529">
        <v>25</v>
      </c>
      <c r="O529">
        <v>11065</v>
      </c>
      <c r="P529" t="s">
        <v>53</v>
      </c>
      <c r="Q529" t="s">
        <v>48</v>
      </c>
      <c r="R529" t="s">
        <v>28</v>
      </c>
      <c r="S529" t="s">
        <v>34</v>
      </c>
      <c r="T529" t="s">
        <v>50</v>
      </c>
      <c r="U529">
        <f t="shared" si="40"/>
        <v>47247</v>
      </c>
      <c r="V529" t="str">
        <f t="shared" si="41"/>
        <v>Excellent</v>
      </c>
      <c r="W529" t="str">
        <f t="shared" si="42"/>
        <v>Normal</v>
      </c>
      <c r="X529" t="str">
        <f t="shared" si="43"/>
        <v>Senior</v>
      </c>
      <c r="Y529" t="str">
        <f t="shared" si="44"/>
        <v>35-44</v>
      </c>
    </row>
    <row r="530" spans="1:25" x14ac:dyDescent="0.3">
      <c r="A530">
        <v>1529</v>
      </c>
      <c r="B530" t="s">
        <v>75</v>
      </c>
      <c r="C530" t="s">
        <v>21</v>
      </c>
      <c r="D530">
        <v>22</v>
      </c>
      <c r="E530" t="s">
        <v>62</v>
      </c>
      <c r="F530" t="s">
        <v>63</v>
      </c>
      <c r="G530" t="s">
        <v>24</v>
      </c>
      <c r="H530" t="s">
        <v>561</v>
      </c>
      <c r="I530">
        <v>1</v>
      </c>
      <c r="J530">
        <v>32509</v>
      </c>
      <c r="K530">
        <v>3</v>
      </c>
      <c r="L530">
        <v>92.1</v>
      </c>
      <c r="M530">
        <v>2</v>
      </c>
      <c r="N530">
        <v>45</v>
      </c>
      <c r="O530">
        <v>7130</v>
      </c>
      <c r="P530" t="s">
        <v>33</v>
      </c>
      <c r="Q530" t="s">
        <v>27</v>
      </c>
      <c r="R530" t="s">
        <v>28</v>
      </c>
      <c r="S530" t="s">
        <v>34</v>
      </c>
      <c r="T530" t="s">
        <v>30</v>
      </c>
      <c r="U530">
        <f t="shared" si="40"/>
        <v>39639</v>
      </c>
      <c r="V530" t="str">
        <f t="shared" si="41"/>
        <v>Needs Improvement</v>
      </c>
      <c r="W530" t="str">
        <f t="shared" si="42"/>
        <v>Normal</v>
      </c>
      <c r="X530" t="str">
        <f t="shared" si="43"/>
        <v>Junior</v>
      </c>
      <c r="Y530" t="str">
        <f t="shared" si="44"/>
        <v>20-24</v>
      </c>
    </row>
    <row r="531" spans="1:25" x14ac:dyDescent="0.3">
      <c r="A531">
        <v>1530</v>
      </c>
      <c r="B531" t="s">
        <v>148</v>
      </c>
      <c r="C531" t="s">
        <v>21</v>
      </c>
      <c r="D531">
        <v>31</v>
      </c>
      <c r="E531" t="s">
        <v>55</v>
      </c>
      <c r="F531" t="s">
        <v>79</v>
      </c>
      <c r="G531" t="s">
        <v>24</v>
      </c>
      <c r="H531" t="s">
        <v>562</v>
      </c>
      <c r="I531">
        <v>2</v>
      </c>
      <c r="J531">
        <v>47193</v>
      </c>
      <c r="K531">
        <v>3.7</v>
      </c>
      <c r="L531">
        <v>96</v>
      </c>
      <c r="M531">
        <v>7</v>
      </c>
      <c r="N531">
        <v>8</v>
      </c>
      <c r="O531">
        <v>12845</v>
      </c>
      <c r="P531" t="s">
        <v>53</v>
      </c>
      <c r="Q531" t="s">
        <v>27</v>
      </c>
      <c r="R531" t="s">
        <v>28</v>
      </c>
      <c r="S531" t="s">
        <v>34</v>
      </c>
      <c r="T531" t="s">
        <v>30</v>
      </c>
      <c r="U531">
        <f t="shared" si="40"/>
        <v>60038</v>
      </c>
      <c r="V531" t="str">
        <f t="shared" si="41"/>
        <v>Excellent</v>
      </c>
      <c r="W531" t="str">
        <f t="shared" si="42"/>
        <v>Normal</v>
      </c>
      <c r="X531" t="str">
        <f t="shared" si="43"/>
        <v>Junior</v>
      </c>
      <c r="Y531" t="str">
        <f t="shared" si="44"/>
        <v>25-34</v>
      </c>
    </row>
    <row r="532" spans="1:25" x14ac:dyDescent="0.3">
      <c r="A532">
        <v>1531</v>
      </c>
      <c r="B532" t="s">
        <v>99</v>
      </c>
      <c r="C532" t="s">
        <v>37</v>
      </c>
      <c r="D532">
        <v>28</v>
      </c>
      <c r="E532" t="s">
        <v>22</v>
      </c>
      <c r="F532" t="s">
        <v>66</v>
      </c>
      <c r="G532" t="s">
        <v>45</v>
      </c>
      <c r="H532" t="s">
        <v>557</v>
      </c>
      <c r="I532">
        <v>3</v>
      </c>
      <c r="J532">
        <v>87671</v>
      </c>
      <c r="K532">
        <v>3</v>
      </c>
      <c r="L532">
        <v>97</v>
      </c>
      <c r="M532">
        <v>0</v>
      </c>
      <c r="N532">
        <v>50</v>
      </c>
      <c r="O532">
        <v>8509</v>
      </c>
      <c r="P532" t="s">
        <v>26</v>
      </c>
      <c r="Q532" t="s">
        <v>48</v>
      </c>
      <c r="R532" t="s">
        <v>28</v>
      </c>
      <c r="S532" t="s">
        <v>29</v>
      </c>
      <c r="T532" t="s">
        <v>35</v>
      </c>
      <c r="U532">
        <f t="shared" si="40"/>
        <v>96180</v>
      </c>
      <c r="V532" t="str">
        <f t="shared" si="41"/>
        <v>Excellent</v>
      </c>
      <c r="W532" t="str">
        <f t="shared" si="42"/>
        <v>Normal</v>
      </c>
      <c r="X532" t="str">
        <f t="shared" si="43"/>
        <v>Mid</v>
      </c>
      <c r="Y532" t="str">
        <f t="shared" si="44"/>
        <v>25-34</v>
      </c>
    </row>
    <row r="533" spans="1:25" x14ac:dyDescent="0.3">
      <c r="A533">
        <v>1532</v>
      </c>
      <c r="B533" t="s">
        <v>121</v>
      </c>
      <c r="C533" t="s">
        <v>21</v>
      </c>
      <c r="D533">
        <v>23</v>
      </c>
      <c r="E533" t="s">
        <v>55</v>
      </c>
      <c r="F533" t="s">
        <v>56</v>
      </c>
      <c r="G533" t="s">
        <v>24</v>
      </c>
      <c r="H533" t="s">
        <v>243</v>
      </c>
      <c r="I533">
        <v>3</v>
      </c>
      <c r="J533">
        <v>44944</v>
      </c>
      <c r="K533">
        <v>2.7</v>
      </c>
      <c r="L533">
        <v>89.9</v>
      </c>
      <c r="M533">
        <v>6</v>
      </c>
      <c r="N533">
        <v>57</v>
      </c>
      <c r="O533">
        <v>5873</v>
      </c>
      <c r="P533" t="s">
        <v>26</v>
      </c>
      <c r="Q533" t="s">
        <v>27</v>
      </c>
      <c r="R533" t="s">
        <v>42</v>
      </c>
      <c r="S533" t="s">
        <v>34</v>
      </c>
      <c r="T533" t="s">
        <v>35</v>
      </c>
      <c r="U533">
        <f t="shared" si="40"/>
        <v>50817</v>
      </c>
      <c r="V533" t="str">
        <f t="shared" si="41"/>
        <v>Needs Improvement</v>
      </c>
      <c r="W533" t="str">
        <f t="shared" si="42"/>
        <v>Normal</v>
      </c>
      <c r="X533" t="str">
        <f t="shared" si="43"/>
        <v>Mid</v>
      </c>
      <c r="Y533" t="str">
        <f t="shared" si="44"/>
        <v>20-24</v>
      </c>
    </row>
    <row r="534" spans="1:25" x14ac:dyDescent="0.3">
      <c r="A534">
        <v>1533</v>
      </c>
      <c r="B534" t="s">
        <v>71</v>
      </c>
      <c r="C534" t="s">
        <v>37</v>
      </c>
      <c r="D534">
        <v>34</v>
      </c>
      <c r="E534" t="s">
        <v>22</v>
      </c>
      <c r="F534" t="s">
        <v>23</v>
      </c>
      <c r="G534" t="s">
        <v>51</v>
      </c>
      <c r="H534" t="s">
        <v>563</v>
      </c>
      <c r="I534">
        <v>0</v>
      </c>
      <c r="J534">
        <v>87450</v>
      </c>
      <c r="K534">
        <v>3.7</v>
      </c>
      <c r="L534">
        <v>84.4</v>
      </c>
      <c r="M534">
        <v>21</v>
      </c>
      <c r="N534">
        <v>36</v>
      </c>
      <c r="O534">
        <v>8157</v>
      </c>
      <c r="P534" t="s">
        <v>26</v>
      </c>
      <c r="Q534" t="s">
        <v>27</v>
      </c>
      <c r="R534" t="s">
        <v>28</v>
      </c>
      <c r="S534" t="s">
        <v>29</v>
      </c>
      <c r="T534" t="s">
        <v>30</v>
      </c>
      <c r="U534">
        <f t="shared" si="40"/>
        <v>95607</v>
      </c>
      <c r="V534" t="str">
        <f t="shared" si="41"/>
        <v>Needs Improvement</v>
      </c>
      <c r="W534" t="str">
        <f t="shared" si="42"/>
        <v>High</v>
      </c>
      <c r="X534" t="str">
        <f t="shared" si="43"/>
        <v>Junior</v>
      </c>
      <c r="Y534" t="str">
        <f t="shared" si="44"/>
        <v>25-34</v>
      </c>
    </row>
    <row r="535" spans="1:25" x14ac:dyDescent="0.3">
      <c r="A535">
        <v>1534</v>
      </c>
      <c r="B535" t="s">
        <v>20</v>
      </c>
      <c r="C535" t="s">
        <v>37</v>
      </c>
      <c r="D535">
        <v>41</v>
      </c>
      <c r="E535" t="s">
        <v>62</v>
      </c>
      <c r="F535" t="s">
        <v>63</v>
      </c>
      <c r="G535" t="s">
        <v>45</v>
      </c>
      <c r="H535" t="s">
        <v>564</v>
      </c>
      <c r="I535">
        <v>9</v>
      </c>
      <c r="J535">
        <v>69215</v>
      </c>
      <c r="K535">
        <v>4.0999999999999996</v>
      </c>
      <c r="L535">
        <v>82.8</v>
      </c>
      <c r="M535">
        <v>2</v>
      </c>
      <c r="N535">
        <v>56</v>
      </c>
      <c r="O535">
        <v>11426</v>
      </c>
      <c r="P535" t="s">
        <v>47</v>
      </c>
      <c r="Q535" t="s">
        <v>48</v>
      </c>
      <c r="R535" t="s">
        <v>58</v>
      </c>
      <c r="S535" t="s">
        <v>49</v>
      </c>
      <c r="T535" t="s">
        <v>50</v>
      </c>
      <c r="U535">
        <f t="shared" si="40"/>
        <v>80641</v>
      </c>
      <c r="V535" t="str">
        <f t="shared" si="41"/>
        <v>Needs Improvement</v>
      </c>
      <c r="W535" t="str">
        <f t="shared" si="42"/>
        <v>Normal</v>
      </c>
      <c r="X535" t="str">
        <f t="shared" si="43"/>
        <v>Senior</v>
      </c>
      <c r="Y535" t="str">
        <f t="shared" si="44"/>
        <v>35-44</v>
      </c>
    </row>
    <row r="536" spans="1:25" x14ac:dyDescent="0.3">
      <c r="A536">
        <v>1535</v>
      </c>
      <c r="B536" t="s">
        <v>85</v>
      </c>
      <c r="C536" t="s">
        <v>21</v>
      </c>
      <c r="D536">
        <v>22</v>
      </c>
      <c r="E536" t="s">
        <v>91</v>
      </c>
      <c r="F536" t="s">
        <v>101</v>
      </c>
      <c r="G536" t="s">
        <v>45</v>
      </c>
      <c r="H536" t="s">
        <v>565</v>
      </c>
      <c r="I536">
        <v>4</v>
      </c>
      <c r="J536">
        <v>64643</v>
      </c>
      <c r="K536">
        <v>4.7</v>
      </c>
      <c r="L536">
        <v>88.1</v>
      </c>
      <c r="M536">
        <v>16</v>
      </c>
      <c r="N536">
        <v>28</v>
      </c>
      <c r="O536">
        <v>1280</v>
      </c>
      <c r="P536" t="s">
        <v>41</v>
      </c>
      <c r="Q536" t="s">
        <v>27</v>
      </c>
      <c r="R536" t="s">
        <v>70</v>
      </c>
      <c r="S536" t="s">
        <v>49</v>
      </c>
      <c r="T536" t="s">
        <v>35</v>
      </c>
      <c r="U536">
        <f t="shared" si="40"/>
        <v>65923</v>
      </c>
      <c r="V536" t="str">
        <f t="shared" si="41"/>
        <v>Needs Improvement</v>
      </c>
      <c r="W536" t="str">
        <f t="shared" si="42"/>
        <v>Normal</v>
      </c>
      <c r="X536" t="str">
        <f t="shared" si="43"/>
        <v>Mid</v>
      </c>
      <c r="Y536" t="str">
        <f t="shared" si="44"/>
        <v>20-24</v>
      </c>
    </row>
    <row r="537" spans="1:25" x14ac:dyDescent="0.3">
      <c r="A537">
        <v>1536</v>
      </c>
      <c r="B537" t="s">
        <v>43</v>
      </c>
      <c r="C537" t="s">
        <v>37</v>
      </c>
      <c r="D537">
        <v>30</v>
      </c>
      <c r="E537" t="s">
        <v>22</v>
      </c>
      <c r="F537" t="s">
        <v>66</v>
      </c>
      <c r="G537" t="s">
        <v>45</v>
      </c>
      <c r="H537" t="s">
        <v>301</v>
      </c>
      <c r="I537">
        <v>10</v>
      </c>
      <c r="J537">
        <v>25622</v>
      </c>
      <c r="K537">
        <v>4.0999999999999996</v>
      </c>
      <c r="L537">
        <v>84</v>
      </c>
      <c r="M537">
        <v>18</v>
      </c>
      <c r="N537">
        <v>43</v>
      </c>
      <c r="O537">
        <v>10552</v>
      </c>
      <c r="P537" t="s">
        <v>33</v>
      </c>
      <c r="Q537" t="s">
        <v>27</v>
      </c>
      <c r="R537" t="s">
        <v>58</v>
      </c>
      <c r="S537" t="s">
        <v>34</v>
      </c>
      <c r="T537" t="s">
        <v>50</v>
      </c>
      <c r="U537">
        <f t="shared" si="40"/>
        <v>36174</v>
      </c>
      <c r="V537" t="str">
        <f t="shared" si="41"/>
        <v>Needs Improvement</v>
      </c>
      <c r="W537" t="str">
        <f t="shared" si="42"/>
        <v>Normal</v>
      </c>
      <c r="X537" t="str">
        <f t="shared" si="43"/>
        <v>Senior</v>
      </c>
      <c r="Y537" t="str">
        <f t="shared" si="44"/>
        <v>25-34</v>
      </c>
    </row>
    <row r="538" spans="1:25" x14ac:dyDescent="0.3">
      <c r="A538">
        <v>1537</v>
      </c>
      <c r="B538" t="s">
        <v>85</v>
      </c>
      <c r="C538" t="s">
        <v>37</v>
      </c>
      <c r="D538">
        <v>36</v>
      </c>
      <c r="E538" t="s">
        <v>22</v>
      </c>
      <c r="F538" t="s">
        <v>66</v>
      </c>
      <c r="G538" t="s">
        <v>51</v>
      </c>
      <c r="H538" t="s">
        <v>566</v>
      </c>
      <c r="I538">
        <v>6</v>
      </c>
      <c r="J538">
        <v>28407</v>
      </c>
      <c r="K538">
        <v>2.9</v>
      </c>
      <c r="L538">
        <v>97.9</v>
      </c>
      <c r="M538">
        <v>17</v>
      </c>
      <c r="N538">
        <v>27</v>
      </c>
      <c r="O538">
        <v>1543</v>
      </c>
      <c r="P538" t="s">
        <v>26</v>
      </c>
      <c r="Q538" t="s">
        <v>27</v>
      </c>
      <c r="R538" t="s">
        <v>42</v>
      </c>
      <c r="S538" t="s">
        <v>34</v>
      </c>
      <c r="T538" t="s">
        <v>50</v>
      </c>
      <c r="U538">
        <f t="shared" si="40"/>
        <v>29950</v>
      </c>
      <c r="V538" t="str">
        <f t="shared" si="41"/>
        <v>Excellent</v>
      </c>
      <c r="W538" t="str">
        <f t="shared" si="42"/>
        <v>Normal</v>
      </c>
      <c r="X538" t="str">
        <f t="shared" si="43"/>
        <v>Mid</v>
      </c>
      <c r="Y538" t="str">
        <f t="shared" si="44"/>
        <v>35-44</v>
      </c>
    </row>
    <row r="539" spans="1:25" x14ac:dyDescent="0.3">
      <c r="A539">
        <v>1538</v>
      </c>
      <c r="B539" t="s">
        <v>88</v>
      </c>
      <c r="C539" t="s">
        <v>37</v>
      </c>
      <c r="D539">
        <v>31</v>
      </c>
      <c r="E539" t="s">
        <v>55</v>
      </c>
      <c r="F539" t="s">
        <v>143</v>
      </c>
      <c r="G539" t="s">
        <v>64</v>
      </c>
      <c r="H539" t="s">
        <v>567</v>
      </c>
      <c r="I539">
        <v>1</v>
      </c>
      <c r="J539">
        <v>39402</v>
      </c>
      <c r="K539">
        <v>3.3</v>
      </c>
      <c r="L539">
        <v>91.6</v>
      </c>
      <c r="M539">
        <v>22</v>
      </c>
      <c r="N539">
        <v>43</v>
      </c>
      <c r="O539">
        <v>2033</v>
      </c>
      <c r="P539" t="s">
        <v>53</v>
      </c>
      <c r="Q539" t="s">
        <v>48</v>
      </c>
      <c r="R539" t="s">
        <v>28</v>
      </c>
      <c r="S539" t="s">
        <v>34</v>
      </c>
      <c r="T539" t="s">
        <v>30</v>
      </c>
      <c r="U539">
        <f t="shared" si="40"/>
        <v>41435</v>
      </c>
      <c r="V539" t="str">
        <f t="shared" si="41"/>
        <v>Needs Improvement</v>
      </c>
      <c r="W539" t="str">
        <f t="shared" si="42"/>
        <v>High</v>
      </c>
      <c r="X539" t="str">
        <f t="shared" si="43"/>
        <v>Junior</v>
      </c>
      <c r="Y539" t="str">
        <f t="shared" si="44"/>
        <v>25-34</v>
      </c>
    </row>
    <row r="540" spans="1:25" x14ac:dyDescent="0.3">
      <c r="A540">
        <v>1539</v>
      </c>
      <c r="B540" t="s">
        <v>124</v>
      </c>
      <c r="C540" t="s">
        <v>37</v>
      </c>
      <c r="D540">
        <v>37</v>
      </c>
      <c r="E540" t="s">
        <v>91</v>
      </c>
      <c r="F540" t="s">
        <v>92</v>
      </c>
      <c r="G540" t="s">
        <v>51</v>
      </c>
      <c r="H540" t="s">
        <v>568</v>
      </c>
      <c r="I540">
        <v>6</v>
      </c>
      <c r="J540">
        <v>79651</v>
      </c>
      <c r="K540">
        <v>4.4000000000000004</v>
      </c>
      <c r="L540">
        <v>94</v>
      </c>
      <c r="M540">
        <v>25</v>
      </c>
      <c r="N540">
        <v>22</v>
      </c>
      <c r="O540">
        <v>2277</v>
      </c>
      <c r="P540" t="s">
        <v>47</v>
      </c>
      <c r="Q540" t="s">
        <v>27</v>
      </c>
      <c r="R540" t="s">
        <v>58</v>
      </c>
      <c r="S540" t="s">
        <v>29</v>
      </c>
      <c r="T540" t="s">
        <v>50</v>
      </c>
      <c r="U540">
        <f t="shared" si="40"/>
        <v>81928</v>
      </c>
      <c r="V540" t="str">
        <f t="shared" si="41"/>
        <v>Needs Improvement</v>
      </c>
      <c r="W540" t="str">
        <f t="shared" si="42"/>
        <v>High</v>
      </c>
      <c r="X540" t="str">
        <f t="shared" si="43"/>
        <v>Mid</v>
      </c>
      <c r="Y540" t="str">
        <f t="shared" si="44"/>
        <v>35-44</v>
      </c>
    </row>
    <row r="541" spans="1:25" x14ac:dyDescent="0.3">
      <c r="A541">
        <v>1540</v>
      </c>
      <c r="B541" t="s">
        <v>71</v>
      </c>
      <c r="C541" t="s">
        <v>21</v>
      </c>
      <c r="D541">
        <v>44</v>
      </c>
      <c r="E541" t="s">
        <v>55</v>
      </c>
      <c r="F541" t="s">
        <v>143</v>
      </c>
      <c r="G541" t="s">
        <v>51</v>
      </c>
      <c r="H541" t="s">
        <v>569</v>
      </c>
      <c r="I541">
        <v>2</v>
      </c>
      <c r="J541">
        <v>49931</v>
      </c>
      <c r="K541">
        <v>3.4</v>
      </c>
      <c r="L541">
        <v>83</v>
      </c>
      <c r="M541">
        <v>16</v>
      </c>
      <c r="N541">
        <v>12</v>
      </c>
      <c r="O541">
        <v>2358</v>
      </c>
      <c r="P541" t="s">
        <v>47</v>
      </c>
      <c r="Q541" t="s">
        <v>48</v>
      </c>
      <c r="R541" t="s">
        <v>28</v>
      </c>
      <c r="S541" t="s">
        <v>34</v>
      </c>
      <c r="T541" t="s">
        <v>30</v>
      </c>
      <c r="U541">
        <f t="shared" si="40"/>
        <v>52289</v>
      </c>
      <c r="V541" t="str">
        <f t="shared" si="41"/>
        <v>Needs Improvement</v>
      </c>
      <c r="W541" t="str">
        <f t="shared" si="42"/>
        <v>Normal</v>
      </c>
      <c r="X541" t="str">
        <f t="shared" si="43"/>
        <v>Junior</v>
      </c>
      <c r="Y541" t="str">
        <f t="shared" si="44"/>
        <v>35-44</v>
      </c>
    </row>
    <row r="542" spans="1:25" x14ac:dyDescent="0.3">
      <c r="A542">
        <v>1541</v>
      </c>
      <c r="B542" t="s">
        <v>75</v>
      </c>
      <c r="C542" t="s">
        <v>37</v>
      </c>
      <c r="D542">
        <v>33</v>
      </c>
      <c r="E542" t="s">
        <v>55</v>
      </c>
      <c r="F542" t="s">
        <v>56</v>
      </c>
      <c r="G542" t="s">
        <v>64</v>
      </c>
      <c r="H542" t="s">
        <v>570</v>
      </c>
      <c r="I542">
        <v>9</v>
      </c>
      <c r="J542">
        <v>46269</v>
      </c>
      <c r="K542">
        <v>4.5999999999999996</v>
      </c>
      <c r="L542">
        <v>82.6</v>
      </c>
      <c r="M542">
        <v>2</v>
      </c>
      <c r="N542">
        <v>43</v>
      </c>
      <c r="O542">
        <v>8185</v>
      </c>
      <c r="P542" t="s">
        <v>26</v>
      </c>
      <c r="Q542" t="s">
        <v>48</v>
      </c>
      <c r="R542" t="s">
        <v>70</v>
      </c>
      <c r="S542" t="s">
        <v>34</v>
      </c>
      <c r="T542" t="s">
        <v>50</v>
      </c>
      <c r="U542">
        <f t="shared" si="40"/>
        <v>54454</v>
      </c>
      <c r="V542" t="str">
        <f t="shared" si="41"/>
        <v>Needs Improvement</v>
      </c>
      <c r="W542" t="str">
        <f t="shared" si="42"/>
        <v>Normal</v>
      </c>
      <c r="X542" t="str">
        <f t="shared" si="43"/>
        <v>Senior</v>
      </c>
      <c r="Y542" t="str">
        <f t="shared" si="44"/>
        <v>25-34</v>
      </c>
    </row>
    <row r="543" spans="1:25" x14ac:dyDescent="0.3">
      <c r="A543">
        <v>1542</v>
      </c>
      <c r="B543" t="s">
        <v>88</v>
      </c>
      <c r="C543" t="s">
        <v>37</v>
      </c>
      <c r="D543">
        <v>37</v>
      </c>
      <c r="E543" t="s">
        <v>62</v>
      </c>
      <c r="F543" t="s">
        <v>63</v>
      </c>
      <c r="G543" t="s">
        <v>51</v>
      </c>
      <c r="H543" t="s">
        <v>571</v>
      </c>
      <c r="I543">
        <v>5</v>
      </c>
      <c r="J543">
        <v>73526</v>
      </c>
      <c r="K543">
        <v>2.9</v>
      </c>
      <c r="L543">
        <v>86.1</v>
      </c>
      <c r="M543">
        <v>5</v>
      </c>
      <c r="N543">
        <v>48</v>
      </c>
      <c r="O543">
        <v>9783</v>
      </c>
      <c r="P543" t="s">
        <v>33</v>
      </c>
      <c r="Q543" t="s">
        <v>48</v>
      </c>
      <c r="R543" t="s">
        <v>42</v>
      </c>
      <c r="S543" t="s">
        <v>29</v>
      </c>
      <c r="T543" t="s">
        <v>35</v>
      </c>
      <c r="U543">
        <f t="shared" si="40"/>
        <v>83309</v>
      </c>
      <c r="V543" t="str">
        <f t="shared" si="41"/>
        <v>Needs Improvement</v>
      </c>
      <c r="W543" t="str">
        <f t="shared" si="42"/>
        <v>Normal</v>
      </c>
      <c r="X543" t="str">
        <f t="shared" si="43"/>
        <v>Mid</v>
      </c>
      <c r="Y543" t="str">
        <f t="shared" si="44"/>
        <v>35-44</v>
      </c>
    </row>
    <row r="544" spans="1:25" x14ac:dyDescent="0.3">
      <c r="A544">
        <v>1543</v>
      </c>
      <c r="B544" t="s">
        <v>148</v>
      </c>
      <c r="C544" t="s">
        <v>21</v>
      </c>
      <c r="D544">
        <v>40</v>
      </c>
      <c r="E544" t="s">
        <v>62</v>
      </c>
      <c r="F544" t="s">
        <v>63</v>
      </c>
      <c r="G544" t="s">
        <v>45</v>
      </c>
      <c r="H544" t="s">
        <v>572</v>
      </c>
      <c r="I544">
        <v>7</v>
      </c>
      <c r="J544">
        <v>62592</v>
      </c>
      <c r="K544">
        <v>2.6</v>
      </c>
      <c r="L544">
        <v>93.5</v>
      </c>
      <c r="M544">
        <v>12</v>
      </c>
      <c r="N544">
        <v>40</v>
      </c>
      <c r="O544">
        <v>11825</v>
      </c>
      <c r="P544" t="s">
        <v>47</v>
      </c>
      <c r="Q544" t="s">
        <v>27</v>
      </c>
      <c r="R544" t="s">
        <v>42</v>
      </c>
      <c r="S544" t="s">
        <v>49</v>
      </c>
      <c r="T544" t="s">
        <v>50</v>
      </c>
      <c r="U544">
        <f t="shared" si="40"/>
        <v>74417</v>
      </c>
      <c r="V544" t="str">
        <f t="shared" si="41"/>
        <v>Needs Improvement</v>
      </c>
      <c r="W544" t="str">
        <f t="shared" si="42"/>
        <v>Normal</v>
      </c>
      <c r="X544" t="str">
        <f t="shared" si="43"/>
        <v>Senior</v>
      </c>
      <c r="Y544" t="str">
        <f t="shared" si="44"/>
        <v>35-44</v>
      </c>
    </row>
    <row r="545" spans="1:25" x14ac:dyDescent="0.3">
      <c r="A545">
        <v>1544</v>
      </c>
      <c r="B545" t="s">
        <v>88</v>
      </c>
      <c r="C545" t="s">
        <v>37</v>
      </c>
      <c r="D545">
        <v>35</v>
      </c>
      <c r="E545" t="s">
        <v>91</v>
      </c>
      <c r="F545" t="s">
        <v>101</v>
      </c>
      <c r="G545" t="s">
        <v>64</v>
      </c>
      <c r="H545" t="s">
        <v>573</v>
      </c>
      <c r="I545">
        <v>5</v>
      </c>
      <c r="J545">
        <v>81460</v>
      </c>
      <c r="K545">
        <v>2.6</v>
      </c>
      <c r="L545">
        <v>94.7</v>
      </c>
      <c r="M545">
        <v>3</v>
      </c>
      <c r="N545">
        <v>22</v>
      </c>
      <c r="O545">
        <v>13213</v>
      </c>
      <c r="P545" t="s">
        <v>41</v>
      </c>
      <c r="Q545" t="s">
        <v>27</v>
      </c>
      <c r="R545" t="s">
        <v>42</v>
      </c>
      <c r="S545" t="s">
        <v>29</v>
      </c>
      <c r="T545" t="s">
        <v>35</v>
      </c>
      <c r="U545">
        <f t="shared" si="40"/>
        <v>94673</v>
      </c>
      <c r="V545" t="str">
        <f t="shared" si="41"/>
        <v>Needs Improvement</v>
      </c>
      <c r="W545" t="str">
        <f t="shared" si="42"/>
        <v>Normal</v>
      </c>
      <c r="X545" t="str">
        <f t="shared" si="43"/>
        <v>Mid</v>
      </c>
      <c r="Y545" t="str">
        <f t="shared" si="44"/>
        <v>35-44</v>
      </c>
    </row>
    <row r="546" spans="1:25" x14ac:dyDescent="0.3">
      <c r="A546">
        <v>1545</v>
      </c>
      <c r="B546" t="s">
        <v>43</v>
      </c>
      <c r="C546" t="s">
        <v>21</v>
      </c>
      <c r="D546">
        <v>23</v>
      </c>
      <c r="E546" t="s">
        <v>22</v>
      </c>
      <c r="F546" t="s">
        <v>66</v>
      </c>
      <c r="G546" t="s">
        <v>51</v>
      </c>
      <c r="H546" t="s">
        <v>574</v>
      </c>
      <c r="I546">
        <v>3</v>
      </c>
      <c r="J546">
        <v>38581</v>
      </c>
      <c r="K546">
        <v>4.3</v>
      </c>
      <c r="L546">
        <v>85</v>
      </c>
      <c r="M546">
        <v>8</v>
      </c>
      <c r="N546">
        <v>56</v>
      </c>
      <c r="O546">
        <v>11542</v>
      </c>
      <c r="P546" t="s">
        <v>41</v>
      </c>
      <c r="Q546" t="s">
        <v>48</v>
      </c>
      <c r="R546" t="s">
        <v>58</v>
      </c>
      <c r="S546" t="s">
        <v>34</v>
      </c>
      <c r="T546" t="s">
        <v>35</v>
      </c>
      <c r="U546">
        <f t="shared" si="40"/>
        <v>50123</v>
      </c>
      <c r="V546" t="str">
        <f t="shared" si="41"/>
        <v>Needs Improvement</v>
      </c>
      <c r="W546" t="str">
        <f t="shared" si="42"/>
        <v>Normal</v>
      </c>
      <c r="X546" t="str">
        <f t="shared" si="43"/>
        <v>Mid</v>
      </c>
      <c r="Y546" t="str">
        <f t="shared" si="44"/>
        <v>20-24</v>
      </c>
    </row>
    <row r="547" spans="1:25" x14ac:dyDescent="0.3">
      <c r="A547">
        <v>1546</v>
      </c>
      <c r="B547" t="s">
        <v>31</v>
      </c>
      <c r="C547" t="s">
        <v>21</v>
      </c>
      <c r="D547">
        <v>34</v>
      </c>
      <c r="E547" t="s">
        <v>38</v>
      </c>
      <c r="F547" t="s">
        <v>39</v>
      </c>
      <c r="G547" t="s">
        <v>45</v>
      </c>
      <c r="H547" t="s">
        <v>575</v>
      </c>
      <c r="I547">
        <v>4</v>
      </c>
      <c r="J547">
        <v>92230</v>
      </c>
      <c r="K547">
        <v>4.4000000000000004</v>
      </c>
      <c r="L547">
        <v>95</v>
      </c>
      <c r="M547">
        <v>18</v>
      </c>
      <c r="N547">
        <v>52</v>
      </c>
      <c r="O547">
        <v>11077</v>
      </c>
      <c r="P547" t="s">
        <v>33</v>
      </c>
      <c r="Q547" t="s">
        <v>27</v>
      </c>
      <c r="R547" t="s">
        <v>58</v>
      </c>
      <c r="S547" t="s">
        <v>29</v>
      </c>
      <c r="T547" t="s">
        <v>35</v>
      </c>
      <c r="U547">
        <f t="shared" si="40"/>
        <v>103307</v>
      </c>
      <c r="V547" t="str">
        <f t="shared" si="41"/>
        <v>Excellent</v>
      </c>
      <c r="W547" t="str">
        <f t="shared" si="42"/>
        <v>Normal</v>
      </c>
      <c r="X547" t="str">
        <f t="shared" si="43"/>
        <v>Mid</v>
      </c>
      <c r="Y547" t="str">
        <f t="shared" si="44"/>
        <v>25-34</v>
      </c>
    </row>
    <row r="548" spans="1:25" x14ac:dyDescent="0.3">
      <c r="A548">
        <v>1547</v>
      </c>
      <c r="B548" t="s">
        <v>121</v>
      </c>
      <c r="C548" t="s">
        <v>21</v>
      </c>
      <c r="D548">
        <v>38</v>
      </c>
      <c r="E548" t="s">
        <v>38</v>
      </c>
      <c r="F548" t="s">
        <v>39</v>
      </c>
      <c r="G548" t="s">
        <v>24</v>
      </c>
      <c r="H548" t="s">
        <v>576</v>
      </c>
      <c r="I548">
        <v>1</v>
      </c>
      <c r="J548">
        <v>43913</v>
      </c>
      <c r="K548">
        <v>3.9</v>
      </c>
      <c r="L548">
        <v>93.4</v>
      </c>
      <c r="M548">
        <v>23</v>
      </c>
      <c r="N548">
        <v>47</v>
      </c>
      <c r="O548">
        <v>7488</v>
      </c>
      <c r="P548" t="s">
        <v>47</v>
      </c>
      <c r="Q548" t="s">
        <v>27</v>
      </c>
      <c r="R548" t="s">
        <v>28</v>
      </c>
      <c r="S548" t="s">
        <v>34</v>
      </c>
      <c r="T548" t="s">
        <v>30</v>
      </c>
      <c r="U548">
        <f t="shared" si="40"/>
        <v>51401</v>
      </c>
      <c r="V548" t="str">
        <f t="shared" si="41"/>
        <v>Needs Improvement</v>
      </c>
      <c r="W548" t="str">
        <f t="shared" si="42"/>
        <v>High</v>
      </c>
      <c r="X548" t="str">
        <f t="shared" si="43"/>
        <v>Junior</v>
      </c>
      <c r="Y548" t="str">
        <f t="shared" si="44"/>
        <v>35-44</v>
      </c>
    </row>
    <row r="549" spans="1:25" x14ac:dyDescent="0.3">
      <c r="A549">
        <v>1548</v>
      </c>
      <c r="B549" t="s">
        <v>99</v>
      </c>
      <c r="C549" t="s">
        <v>37</v>
      </c>
      <c r="D549">
        <v>38</v>
      </c>
      <c r="E549" t="s">
        <v>91</v>
      </c>
      <c r="F549" t="s">
        <v>92</v>
      </c>
      <c r="G549" t="s">
        <v>59</v>
      </c>
      <c r="H549" t="s">
        <v>577</v>
      </c>
      <c r="I549">
        <v>3</v>
      </c>
      <c r="J549">
        <v>92891</v>
      </c>
      <c r="K549">
        <v>4.9000000000000004</v>
      </c>
      <c r="L549">
        <v>82.8</v>
      </c>
      <c r="M549">
        <v>19</v>
      </c>
      <c r="N549">
        <v>6</v>
      </c>
      <c r="O549">
        <v>3604</v>
      </c>
      <c r="P549" t="s">
        <v>53</v>
      </c>
      <c r="Q549" t="s">
        <v>27</v>
      </c>
      <c r="R549" t="s">
        <v>70</v>
      </c>
      <c r="S549" t="s">
        <v>29</v>
      </c>
      <c r="T549" t="s">
        <v>35</v>
      </c>
      <c r="U549">
        <f t="shared" si="40"/>
        <v>96495</v>
      </c>
      <c r="V549" t="str">
        <f t="shared" si="41"/>
        <v>Needs Improvement</v>
      </c>
      <c r="W549" t="str">
        <f t="shared" si="42"/>
        <v>Normal</v>
      </c>
      <c r="X549" t="str">
        <f t="shared" si="43"/>
        <v>Mid</v>
      </c>
      <c r="Y549" t="str">
        <f t="shared" si="44"/>
        <v>35-44</v>
      </c>
    </row>
    <row r="550" spans="1:25" x14ac:dyDescent="0.3">
      <c r="A550">
        <v>1549</v>
      </c>
      <c r="B550" t="s">
        <v>88</v>
      </c>
      <c r="C550" t="s">
        <v>21</v>
      </c>
      <c r="D550">
        <v>28</v>
      </c>
      <c r="E550" t="s">
        <v>55</v>
      </c>
      <c r="F550" t="s">
        <v>56</v>
      </c>
      <c r="G550" t="s">
        <v>45</v>
      </c>
      <c r="H550" t="s">
        <v>298</v>
      </c>
      <c r="I550">
        <v>6</v>
      </c>
      <c r="J550">
        <v>44729</v>
      </c>
      <c r="K550">
        <v>3.4</v>
      </c>
      <c r="L550">
        <v>95.7</v>
      </c>
      <c r="M550">
        <v>8</v>
      </c>
      <c r="N550">
        <v>27</v>
      </c>
      <c r="O550">
        <v>12567</v>
      </c>
      <c r="P550" t="s">
        <v>47</v>
      </c>
      <c r="Q550" t="s">
        <v>27</v>
      </c>
      <c r="R550" t="s">
        <v>28</v>
      </c>
      <c r="S550" t="s">
        <v>34</v>
      </c>
      <c r="T550" t="s">
        <v>50</v>
      </c>
      <c r="U550">
        <f t="shared" si="40"/>
        <v>57296</v>
      </c>
      <c r="V550" t="str">
        <f t="shared" si="41"/>
        <v>Excellent</v>
      </c>
      <c r="W550" t="str">
        <f t="shared" si="42"/>
        <v>Normal</v>
      </c>
      <c r="X550" t="str">
        <f t="shared" si="43"/>
        <v>Mid</v>
      </c>
      <c r="Y550" t="str">
        <f t="shared" si="44"/>
        <v>25-34</v>
      </c>
    </row>
    <row r="551" spans="1:25" x14ac:dyDescent="0.3">
      <c r="A551">
        <v>1550</v>
      </c>
      <c r="B551" t="s">
        <v>31</v>
      </c>
      <c r="C551" t="s">
        <v>21</v>
      </c>
      <c r="D551">
        <v>26</v>
      </c>
      <c r="E551" t="s">
        <v>55</v>
      </c>
      <c r="F551" t="s">
        <v>56</v>
      </c>
      <c r="G551" t="s">
        <v>51</v>
      </c>
      <c r="H551" t="s">
        <v>578</v>
      </c>
      <c r="I551">
        <v>8</v>
      </c>
      <c r="J551">
        <v>67329</v>
      </c>
      <c r="K551">
        <v>3.7</v>
      </c>
      <c r="L551">
        <v>95.4</v>
      </c>
      <c r="M551">
        <v>19</v>
      </c>
      <c r="N551">
        <v>57</v>
      </c>
      <c r="O551">
        <v>14102</v>
      </c>
      <c r="P551" t="s">
        <v>41</v>
      </c>
      <c r="Q551" t="s">
        <v>48</v>
      </c>
      <c r="R551" t="s">
        <v>28</v>
      </c>
      <c r="S551" t="s">
        <v>49</v>
      </c>
      <c r="T551" t="s">
        <v>50</v>
      </c>
      <c r="U551">
        <f t="shared" si="40"/>
        <v>81431</v>
      </c>
      <c r="V551" t="str">
        <f t="shared" si="41"/>
        <v>Excellent</v>
      </c>
      <c r="W551" t="str">
        <f t="shared" si="42"/>
        <v>Normal</v>
      </c>
      <c r="X551" t="str">
        <f t="shared" si="43"/>
        <v>Senior</v>
      </c>
      <c r="Y551" t="str">
        <f t="shared" si="44"/>
        <v>25-34</v>
      </c>
    </row>
    <row r="552" spans="1:25" x14ac:dyDescent="0.3">
      <c r="A552">
        <v>1551</v>
      </c>
      <c r="B552" t="s">
        <v>99</v>
      </c>
      <c r="C552" t="s">
        <v>37</v>
      </c>
      <c r="D552">
        <v>26</v>
      </c>
      <c r="E552" t="s">
        <v>38</v>
      </c>
      <c r="F552" t="s">
        <v>44</v>
      </c>
      <c r="G552" t="s">
        <v>24</v>
      </c>
      <c r="H552" t="s">
        <v>579</v>
      </c>
      <c r="I552">
        <v>3</v>
      </c>
      <c r="J552">
        <v>35589</v>
      </c>
      <c r="K552">
        <v>4.3</v>
      </c>
      <c r="L552">
        <v>92.6</v>
      </c>
      <c r="M552">
        <v>7</v>
      </c>
      <c r="N552">
        <v>21</v>
      </c>
      <c r="O552">
        <v>6993</v>
      </c>
      <c r="P552" t="s">
        <v>33</v>
      </c>
      <c r="Q552" t="s">
        <v>27</v>
      </c>
      <c r="R552" t="s">
        <v>58</v>
      </c>
      <c r="S552" t="s">
        <v>34</v>
      </c>
      <c r="T552" t="s">
        <v>35</v>
      </c>
      <c r="U552">
        <f t="shared" si="40"/>
        <v>42582</v>
      </c>
      <c r="V552" t="str">
        <f t="shared" si="41"/>
        <v>Needs Improvement</v>
      </c>
      <c r="W552" t="str">
        <f t="shared" si="42"/>
        <v>Normal</v>
      </c>
      <c r="X552" t="str">
        <f t="shared" si="43"/>
        <v>Mid</v>
      </c>
      <c r="Y552" t="str">
        <f t="shared" si="44"/>
        <v>25-34</v>
      </c>
    </row>
    <row r="553" spans="1:25" x14ac:dyDescent="0.3">
      <c r="A553">
        <v>1552</v>
      </c>
      <c r="B553" t="s">
        <v>178</v>
      </c>
      <c r="C553" t="s">
        <v>21</v>
      </c>
      <c r="D553">
        <v>31</v>
      </c>
      <c r="E553" t="s">
        <v>38</v>
      </c>
      <c r="F553" t="s">
        <v>44</v>
      </c>
      <c r="G553" t="s">
        <v>59</v>
      </c>
      <c r="H553" t="s">
        <v>580</v>
      </c>
      <c r="I553">
        <v>9</v>
      </c>
      <c r="J553">
        <v>81258</v>
      </c>
      <c r="K553">
        <v>4.5</v>
      </c>
      <c r="L553">
        <v>93</v>
      </c>
      <c r="M553">
        <v>23</v>
      </c>
      <c r="N553">
        <v>50</v>
      </c>
      <c r="O553">
        <v>14465</v>
      </c>
      <c r="P553" t="s">
        <v>53</v>
      </c>
      <c r="Q553" t="s">
        <v>27</v>
      </c>
      <c r="R553" t="s">
        <v>70</v>
      </c>
      <c r="S553" t="s">
        <v>29</v>
      </c>
      <c r="T553" t="s">
        <v>50</v>
      </c>
      <c r="U553">
        <f t="shared" si="40"/>
        <v>95723</v>
      </c>
      <c r="V553" t="str">
        <f t="shared" si="41"/>
        <v>Needs Improvement</v>
      </c>
      <c r="W553" t="str">
        <f t="shared" si="42"/>
        <v>High</v>
      </c>
      <c r="X553" t="str">
        <f t="shared" si="43"/>
        <v>Senior</v>
      </c>
      <c r="Y553" t="str">
        <f t="shared" si="44"/>
        <v>25-34</v>
      </c>
    </row>
    <row r="554" spans="1:25" x14ac:dyDescent="0.3">
      <c r="A554">
        <v>1553</v>
      </c>
      <c r="B554" t="s">
        <v>54</v>
      </c>
      <c r="C554" t="s">
        <v>37</v>
      </c>
      <c r="D554">
        <v>29</v>
      </c>
      <c r="E554" t="s">
        <v>55</v>
      </c>
      <c r="F554" t="s">
        <v>56</v>
      </c>
      <c r="G554" t="s">
        <v>24</v>
      </c>
      <c r="H554" t="s">
        <v>581</v>
      </c>
      <c r="I554">
        <v>0</v>
      </c>
      <c r="J554">
        <v>89523</v>
      </c>
      <c r="K554">
        <v>3.2</v>
      </c>
      <c r="L554">
        <v>95.2</v>
      </c>
      <c r="M554">
        <v>16</v>
      </c>
      <c r="N554">
        <v>48</v>
      </c>
      <c r="O554">
        <v>3388</v>
      </c>
      <c r="P554" t="s">
        <v>26</v>
      </c>
      <c r="Q554" t="s">
        <v>27</v>
      </c>
      <c r="R554" t="s">
        <v>28</v>
      </c>
      <c r="S554" t="s">
        <v>29</v>
      </c>
      <c r="T554" t="s">
        <v>30</v>
      </c>
      <c r="U554">
        <f t="shared" si="40"/>
        <v>92911</v>
      </c>
      <c r="V554" t="str">
        <f t="shared" si="41"/>
        <v>Excellent</v>
      </c>
      <c r="W554" t="str">
        <f t="shared" si="42"/>
        <v>Normal</v>
      </c>
      <c r="X554" t="str">
        <f t="shared" si="43"/>
        <v>Junior</v>
      </c>
      <c r="Y554" t="str">
        <f t="shared" si="44"/>
        <v>25-34</v>
      </c>
    </row>
    <row r="555" spans="1:25" x14ac:dyDescent="0.3">
      <c r="A555">
        <v>1554</v>
      </c>
      <c r="B555" t="s">
        <v>178</v>
      </c>
      <c r="C555" t="s">
        <v>37</v>
      </c>
      <c r="D555">
        <v>27</v>
      </c>
      <c r="E555" t="s">
        <v>38</v>
      </c>
      <c r="F555" t="s">
        <v>44</v>
      </c>
      <c r="G555" t="s">
        <v>64</v>
      </c>
      <c r="H555" t="s">
        <v>582</v>
      </c>
      <c r="I555">
        <v>2</v>
      </c>
      <c r="J555">
        <v>75201</v>
      </c>
      <c r="K555">
        <v>4.2</v>
      </c>
      <c r="L555">
        <v>83.8</v>
      </c>
      <c r="M555">
        <v>15</v>
      </c>
      <c r="N555">
        <v>49</v>
      </c>
      <c r="O555">
        <v>14773</v>
      </c>
      <c r="P555" t="s">
        <v>53</v>
      </c>
      <c r="Q555" t="s">
        <v>48</v>
      </c>
      <c r="R555" t="s">
        <v>58</v>
      </c>
      <c r="S555" t="s">
        <v>29</v>
      </c>
      <c r="T555" t="s">
        <v>30</v>
      </c>
      <c r="U555">
        <f t="shared" si="40"/>
        <v>89974</v>
      </c>
      <c r="V555" t="str">
        <f t="shared" si="41"/>
        <v>Needs Improvement</v>
      </c>
      <c r="W555" t="str">
        <f t="shared" si="42"/>
        <v>Normal</v>
      </c>
      <c r="X555" t="str">
        <f t="shared" si="43"/>
        <v>Junior</v>
      </c>
      <c r="Y555" t="str">
        <f t="shared" si="44"/>
        <v>25-34</v>
      </c>
    </row>
    <row r="556" spans="1:25" x14ac:dyDescent="0.3">
      <c r="A556">
        <v>1555</v>
      </c>
      <c r="B556" t="s">
        <v>31</v>
      </c>
      <c r="C556" t="s">
        <v>37</v>
      </c>
      <c r="D556">
        <v>44</v>
      </c>
      <c r="E556" t="s">
        <v>55</v>
      </c>
      <c r="F556" t="s">
        <v>143</v>
      </c>
      <c r="G556" t="s">
        <v>59</v>
      </c>
      <c r="H556" t="s">
        <v>583</v>
      </c>
      <c r="I556">
        <v>10</v>
      </c>
      <c r="J556">
        <v>44491</v>
      </c>
      <c r="K556">
        <v>3.1</v>
      </c>
      <c r="L556">
        <v>83.8</v>
      </c>
      <c r="M556">
        <v>23</v>
      </c>
      <c r="N556">
        <v>10</v>
      </c>
      <c r="O556">
        <v>6469</v>
      </c>
      <c r="P556" t="s">
        <v>53</v>
      </c>
      <c r="Q556" t="s">
        <v>48</v>
      </c>
      <c r="R556" t="s">
        <v>28</v>
      </c>
      <c r="S556" t="s">
        <v>34</v>
      </c>
      <c r="T556" t="s">
        <v>50</v>
      </c>
      <c r="U556">
        <f t="shared" si="40"/>
        <v>50960</v>
      </c>
      <c r="V556" t="str">
        <f t="shared" si="41"/>
        <v>Needs Improvement</v>
      </c>
      <c r="W556" t="str">
        <f t="shared" si="42"/>
        <v>High</v>
      </c>
      <c r="X556" t="str">
        <f t="shared" si="43"/>
        <v>Senior</v>
      </c>
      <c r="Y556" t="str">
        <f t="shared" si="44"/>
        <v>35-44</v>
      </c>
    </row>
    <row r="557" spans="1:25" x14ac:dyDescent="0.3">
      <c r="A557">
        <v>1556</v>
      </c>
      <c r="B557" t="s">
        <v>68</v>
      </c>
      <c r="C557" t="s">
        <v>21</v>
      </c>
      <c r="D557">
        <v>22</v>
      </c>
      <c r="E557" t="s">
        <v>55</v>
      </c>
      <c r="F557" t="s">
        <v>143</v>
      </c>
      <c r="G557" t="s">
        <v>59</v>
      </c>
      <c r="H557" t="s">
        <v>584</v>
      </c>
      <c r="I557">
        <v>6</v>
      </c>
      <c r="J557">
        <v>62428</v>
      </c>
      <c r="K557">
        <v>3</v>
      </c>
      <c r="L557">
        <v>89.8</v>
      </c>
      <c r="M557">
        <v>20</v>
      </c>
      <c r="N557">
        <v>22</v>
      </c>
      <c r="O557">
        <v>11518</v>
      </c>
      <c r="P557" t="s">
        <v>53</v>
      </c>
      <c r="Q557" t="s">
        <v>27</v>
      </c>
      <c r="R557" t="s">
        <v>28</v>
      </c>
      <c r="S557" t="s">
        <v>49</v>
      </c>
      <c r="T557" t="s">
        <v>50</v>
      </c>
      <c r="U557">
        <f t="shared" si="40"/>
        <v>73946</v>
      </c>
      <c r="V557" t="str">
        <f t="shared" si="41"/>
        <v>Needs Improvement</v>
      </c>
      <c r="W557" t="str">
        <f t="shared" si="42"/>
        <v>Normal</v>
      </c>
      <c r="X557" t="str">
        <f t="shared" si="43"/>
        <v>Mid</v>
      </c>
      <c r="Y557" t="str">
        <f t="shared" si="44"/>
        <v>20-24</v>
      </c>
    </row>
    <row r="558" spans="1:25" x14ac:dyDescent="0.3">
      <c r="A558">
        <v>1557</v>
      </c>
      <c r="B558" t="s">
        <v>20</v>
      </c>
      <c r="C558" t="s">
        <v>21</v>
      </c>
      <c r="D558">
        <v>26</v>
      </c>
      <c r="E558" t="s">
        <v>91</v>
      </c>
      <c r="F558" t="s">
        <v>92</v>
      </c>
      <c r="G558" t="s">
        <v>59</v>
      </c>
      <c r="H558" t="s">
        <v>585</v>
      </c>
      <c r="I558">
        <v>5</v>
      </c>
      <c r="J558">
        <v>87853</v>
      </c>
      <c r="K558">
        <v>4.4000000000000004</v>
      </c>
      <c r="L558">
        <v>89.9</v>
      </c>
      <c r="M558">
        <v>7</v>
      </c>
      <c r="N558">
        <v>41</v>
      </c>
      <c r="O558">
        <v>2850</v>
      </c>
      <c r="P558" t="s">
        <v>53</v>
      </c>
      <c r="Q558" t="s">
        <v>27</v>
      </c>
      <c r="R558" t="s">
        <v>58</v>
      </c>
      <c r="S558" t="s">
        <v>29</v>
      </c>
      <c r="T558" t="s">
        <v>35</v>
      </c>
      <c r="U558">
        <f t="shared" si="40"/>
        <v>90703</v>
      </c>
      <c r="V558" t="str">
        <f t="shared" si="41"/>
        <v>Needs Improvement</v>
      </c>
      <c r="W558" t="str">
        <f t="shared" si="42"/>
        <v>Normal</v>
      </c>
      <c r="X558" t="str">
        <f t="shared" si="43"/>
        <v>Mid</v>
      </c>
      <c r="Y558" t="str">
        <f t="shared" si="44"/>
        <v>25-34</v>
      </c>
    </row>
    <row r="559" spans="1:25" x14ac:dyDescent="0.3">
      <c r="A559">
        <v>1558</v>
      </c>
      <c r="B559" t="s">
        <v>88</v>
      </c>
      <c r="C559" t="s">
        <v>37</v>
      </c>
      <c r="D559">
        <v>33</v>
      </c>
      <c r="E559" t="s">
        <v>62</v>
      </c>
      <c r="F559" t="s">
        <v>97</v>
      </c>
      <c r="G559" t="s">
        <v>64</v>
      </c>
      <c r="H559" t="s">
        <v>282</v>
      </c>
      <c r="I559">
        <v>7</v>
      </c>
      <c r="J559">
        <v>50018</v>
      </c>
      <c r="K559">
        <v>4.2</v>
      </c>
      <c r="L559">
        <v>92.7</v>
      </c>
      <c r="M559">
        <v>9</v>
      </c>
      <c r="N559">
        <v>22</v>
      </c>
      <c r="O559">
        <v>10262</v>
      </c>
      <c r="P559" t="s">
        <v>47</v>
      </c>
      <c r="Q559" t="s">
        <v>48</v>
      </c>
      <c r="R559" t="s">
        <v>58</v>
      </c>
      <c r="S559" t="s">
        <v>49</v>
      </c>
      <c r="T559" t="s">
        <v>50</v>
      </c>
      <c r="U559">
        <f t="shared" si="40"/>
        <v>60280</v>
      </c>
      <c r="V559" t="str">
        <f t="shared" si="41"/>
        <v>Needs Improvement</v>
      </c>
      <c r="W559" t="str">
        <f t="shared" si="42"/>
        <v>Normal</v>
      </c>
      <c r="X559" t="str">
        <f t="shared" si="43"/>
        <v>Senior</v>
      </c>
      <c r="Y559" t="str">
        <f t="shared" si="44"/>
        <v>25-34</v>
      </c>
    </row>
    <row r="560" spans="1:25" x14ac:dyDescent="0.3">
      <c r="A560">
        <v>1559</v>
      </c>
      <c r="B560" t="s">
        <v>61</v>
      </c>
      <c r="C560" t="s">
        <v>37</v>
      </c>
      <c r="D560">
        <v>27</v>
      </c>
      <c r="E560" t="s">
        <v>55</v>
      </c>
      <c r="F560" t="s">
        <v>79</v>
      </c>
      <c r="G560" t="s">
        <v>51</v>
      </c>
      <c r="H560" t="s">
        <v>586</v>
      </c>
      <c r="I560">
        <v>1</v>
      </c>
      <c r="J560">
        <v>39807</v>
      </c>
      <c r="K560">
        <v>3.4</v>
      </c>
      <c r="L560">
        <v>82.7</v>
      </c>
      <c r="M560">
        <v>18</v>
      </c>
      <c r="N560">
        <v>18</v>
      </c>
      <c r="O560">
        <v>7875</v>
      </c>
      <c r="P560" t="s">
        <v>53</v>
      </c>
      <c r="Q560" t="s">
        <v>48</v>
      </c>
      <c r="R560" t="s">
        <v>28</v>
      </c>
      <c r="S560" t="s">
        <v>34</v>
      </c>
      <c r="T560" t="s">
        <v>30</v>
      </c>
      <c r="U560">
        <f t="shared" si="40"/>
        <v>47682</v>
      </c>
      <c r="V560" t="str">
        <f t="shared" si="41"/>
        <v>Needs Improvement</v>
      </c>
      <c r="W560" t="str">
        <f t="shared" si="42"/>
        <v>Normal</v>
      </c>
      <c r="X560" t="str">
        <f t="shared" si="43"/>
        <v>Junior</v>
      </c>
      <c r="Y560" t="str">
        <f t="shared" si="44"/>
        <v>25-34</v>
      </c>
    </row>
    <row r="561" spans="1:25" x14ac:dyDescent="0.3">
      <c r="A561">
        <v>1560</v>
      </c>
      <c r="B561" t="s">
        <v>36</v>
      </c>
      <c r="C561" t="s">
        <v>37</v>
      </c>
      <c r="D561">
        <v>26</v>
      </c>
      <c r="E561" t="s">
        <v>22</v>
      </c>
      <c r="F561" t="s">
        <v>66</v>
      </c>
      <c r="G561" t="s">
        <v>64</v>
      </c>
      <c r="H561" t="s">
        <v>587</v>
      </c>
      <c r="I561">
        <v>3</v>
      </c>
      <c r="J561">
        <v>66988</v>
      </c>
      <c r="K561">
        <v>4.3</v>
      </c>
      <c r="L561">
        <v>83.7</v>
      </c>
      <c r="M561">
        <v>4</v>
      </c>
      <c r="N561">
        <v>16</v>
      </c>
      <c r="O561">
        <v>9648</v>
      </c>
      <c r="P561" t="s">
        <v>47</v>
      </c>
      <c r="Q561" t="s">
        <v>48</v>
      </c>
      <c r="R561" t="s">
        <v>58</v>
      </c>
      <c r="S561" t="s">
        <v>49</v>
      </c>
      <c r="T561" t="s">
        <v>35</v>
      </c>
      <c r="U561">
        <f t="shared" si="40"/>
        <v>76636</v>
      </c>
      <c r="V561" t="str">
        <f t="shared" si="41"/>
        <v>Needs Improvement</v>
      </c>
      <c r="W561" t="str">
        <f t="shared" si="42"/>
        <v>Normal</v>
      </c>
      <c r="X561" t="str">
        <f t="shared" si="43"/>
        <v>Mid</v>
      </c>
      <c r="Y561" t="str">
        <f t="shared" si="44"/>
        <v>25-34</v>
      </c>
    </row>
    <row r="562" spans="1:25" x14ac:dyDescent="0.3">
      <c r="A562">
        <v>1561</v>
      </c>
      <c r="B562" t="s">
        <v>111</v>
      </c>
      <c r="C562" t="s">
        <v>37</v>
      </c>
      <c r="D562">
        <v>36</v>
      </c>
      <c r="E562" t="s">
        <v>55</v>
      </c>
      <c r="F562" t="s">
        <v>56</v>
      </c>
      <c r="G562" t="s">
        <v>45</v>
      </c>
      <c r="H562" t="s">
        <v>588</v>
      </c>
      <c r="I562">
        <v>4</v>
      </c>
      <c r="J562">
        <v>32893</v>
      </c>
      <c r="K562">
        <v>4.5</v>
      </c>
      <c r="L562">
        <v>89.7</v>
      </c>
      <c r="M562">
        <v>25</v>
      </c>
      <c r="N562">
        <v>35</v>
      </c>
      <c r="O562">
        <v>11289</v>
      </c>
      <c r="P562" t="s">
        <v>26</v>
      </c>
      <c r="Q562" t="s">
        <v>27</v>
      </c>
      <c r="R562" t="s">
        <v>70</v>
      </c>
      <c r="S562" t="s">
        <v>34</v>
      </c>
      <c r="T562" t="s">
        <v>35</v>
      </c>
      <c r="U562">
        <f t="shared" si="40"/>
        <v>44182</v>
      </c>
      <c r="V562" t="str">
        <f t="shared" si="41"/>
        <v>Needs Improvement</v>
      </c>
      <c r="W562" t="str">
        <f t="shared" si="42"/>
        <v>High</v>
      </c>
      <c r="X562" t="str">
        <f t="shared" si="43"/>
        <v>Mid</v>
      </c>
      <c r="Y562" t="str">
        <f t="shared" si="44"/>
        <v>35-44</v>
      </c>
    </row>
    <row r="563" spans="1:25" x14ac:dyDescent="0.3">
      <c r="A563">
        <v>1562</v>
      </c>
      <c r="B563" t="s">
        <v>68</v>
      </c>
      <c r="C563" t="s">
        <v>21</v>
      </c>
      <c r="D563">
        <v>39</v>
      </c>
      <c r="E563" t="s">
        <v>22</v>
      </c>
      <c r="F563" t="s">
        <v>23</v>
      </c>
      <c r="G563" t="s">
        <v>24</v>
      </c>
      <c r="H563" t="s">
        <v>589</v>
      </c>
      <c r="I563">
        <v>6</v>
      </c>
      <c r="J563">
        <v>28407</v>
      </c>
      <c r="K563">
        <v>3.2</v>
      </c>
      <c r="L563">
        <v>95.5</v>
      </c>
      <c r="M563">
        <v>19</v>
      </c>
      <c r="N563">
        <v>45</v>
      </c>
      <c r="O563">
        <v>12556</v>
      </c>
      <c r="P563" t="s">
        <v>33</v>
      </c>
      <c r="Q563" t="s">
        <v>27</v>
      </c>
      <c r="R563" t="s">
        <v>28</v>
      </c>
      <c r="S563" t="s">
        <v>34</v>
      </c>
      <c r="T563" t="s">
        <v>50</v>
      </c>
      <c r="U563">
        <f t="shared" si="40"/>
        <v>40963</v>
      </c>
      <c r="V563" t="str">
        <f t="shared" si="41"/>
        <v>Excellent</v>
      </c>
      <c r="W563" t="str">
        <f t="shared" si="42"/>
        <v>Normal</v>
      </c>
      <c r="X563" t="str">
        <f t="shared" si="43"/>
        <v>Mid</v>
      </c>
      <c r="Y563" t="str">
        <f t="shared" si="44"/>
        <v>35-44</v>
      </c>
    </row>
    <row r="564" spans="1:25" x14ac:dyDescent="0.3">
      <c r="A564">
        <v>1563</v>
      </c>
      <c r="B564" t="s">
        <v>75</v>
      </c>
      <c r="C564" t="s">
        <v>21</v>
      </c>
      <c r="D564">
        <v>23</v>
      </c>
      <c r="E564" t="s">
        <v>38</v>
      </c>
      <c r="F564" t="s">
        <v>44</v>
      </c>
      <c r="G564" t="s">
        <v>51</v>
      </c>
      <c r="H564" t="s">
        <v>590</v>
      </c>
      <c r="I564">
        <v>7</v>
      </c>
      <c r="J564">
        <v>53821</v>
      </c>
      <c r="K564">
        <v>2.9</v>
      </c>
      <c r="L564">
        <v>88.2</v>
      </c>
      <c r="M564">
        <v>18</v>
      </c>
      <c r="N564">
        <v>38</v>
      </c>
      <c r="O564">
        <v>4086</v>
      </c>
      <c r="P564" t="s">
        <v>26</v>
      </c>
      <c r="Q564" t="s">
        <v>48</v>
      </c>
      <c r="R564" t="s">
        <v>42</v>
      </c>
      <c r="S564" t="s">
        <v>49</v>
      </c>
      <c r="T564" t="s">
        <v>50</v>
      </c>
      <c r="U564">
        <f t="shared" si="40"/>
        <v>57907</v>
      </c>
      <c r="V564" t="str">
        <f t="shared" si="41"/>
        <v>Needs Improvement</v>
      </c>
      <c r="W564" t="str">
        <f t="shared" si="42"/>
        <v>Normal</v>
      </c>
      <c r="X564" t="str">
        <f t="shared" si="43"/>
        <v>Senior</v>
      </c>
      <c r="Y564" t="str">
        <f t="shared" si="44"/>
        <v>20-24</v>
      </c>
    </row>
    <row r="565" spans="1:25" x14ac:dyDescent="0.3">
      <c r="A565">
        <v>1564</v>
      </c>
      <c r="B565" t="s">
        <v>73</v>
      </c>
      <c r="C565" t="s">
        <v>37</v>
      </c>
      <c r="D565">
        <v>44</v>
      </c>
      <c r="E565" t="s">
        <v>55</v>
      </c>
      <c r="F565" t="s">
        <v>56</v>
      </c>
      <c r="G565" t="s">
        <v>24</v>
      </c>
      <c r="H565" t="s">
        <v>483</v>
      </c>
      <c r="I565">
        <v>7</v>
      </c>
      <c r="J565">
        <v>46756</v>
      </c>
      <c r="K565">
        <v>3.6</v>
      </c>
      <c r="L565">
        <v>84.2</v>
      </c>
      <c r="M565">
        <v>25</v>
      </c>
      <c r="N565">
        <v>44</v>
      </c>
      <c r="O565">
        <v>7155</v>
      </c>
      <c r="P565" t="s">
        <v>26</v>
      </c>
      <c r="Q565" t="s">
        <v>48</v>
      </c>
      <c r="R565" t="s">
        <v>28</v>
      </c>
      <c r="S565" t="s">
        <v>34</v>
      </c>
      <c r="T565" t="s">
        <v>50</v>
      </c>
      <c r="U565">
        <f t="shared" si="40"/>
        <v>53911</v>
      </c>
      <c r="V565" t="str">
        <f t="shared" si="41"/>
        <v>Needs Improvement</v>
      </c>
      <c r="W565" t="str">
        <f t="shared" si="42"/>
        <v>High</v>
      </c>
      <c r="X565" t="str">
        <f t="shared" si="43"/>
        <v>Senior</v>
      </c>
      <c r="Y565" t="str">
        <f t="shared" si="44"/>
        <v>35-44</v>
      </c>
    </row>
    <row r="566" spans="1:25" x14ac:dyDescent="0.3">
      <c r="A566">
        <v>1565</v>
      </c>
      <c r="B566" t="s">
        <v>78</v>
      </c>
      <c r="C566" t="s">
        <v>21</v>
      </c>
      <c r="D566">
        <v>32</v>
      </c>
      <c r="E566" t="s">
        <v>91</v>
      </c>
      <c r="F566" t="s">
        <v>92</v>
      </c>
      <c r="G566" t="s">
        <v>24</v>
      </c>
      <c r="H566" t="s">
        <v>326</v>
      </c>
      <c r="I566">
        <v>0</v>
      </c>
      <c r="J566">
        <v>43677</v>
      </c>
      <c r="K566">
        <v>4.3</v>
      </c>
      <c r="L566">
        <v>85.3</v>
      </c>
      <c r="M566">
        <v>16</v>
      </c>
      <c r="N566">
        <v>47</v>
      </c>
      <c r="O566">
        <v>9727</v>
      </c>
      <c r="P566" t="s">
        <v>41</v>
      </c>
      <c r="Q566" t="s">
        <v>27</v>
      </c>
      <c r="R566" t="s">
        <v>58</v>
      </c>
      <c r="S566" t="s">
        <v>34</v>
      </c>
      <c r="T566" t="s">
        <v>30</v>
      </c>
      <c r="U566">
        <f t="shared" si="40"/>
        <v>53404</v>
      </c>
      <c r="V566" t="str">
        <f t="shared" si="41"/>
        <v>Needs Improvement</v>
      </c>
      <c r="W566" t="str">
        <f t="shared" si="42"/>
        <v>Normal</v>
      </c>
      <c r="X566" t="str">
        <f t="shared" si="43"/>
        <v>Junior</v>
      </c>
      <c r="Y566" t="str">
        <f t="shared" si="44"/>
        <v>25-34</v>
      </c>
    </row>
    <row r="567" spans="1:25" x14ac:dyDescent="0.3">
      <c r="A567">
        <v>1566</v>
      </c>
      <c r="B567" t="s">
        <v>54</v>
      </c>
      <c r="C567" t="s">
        <v>37</v>
      </c>
      <c r="D567">
        <v>28</v>
      </c>
      <c r="E567" t="s">
        <v>38</v>
      </c>
      <c r="F567" t="s">
        <v>39</v>
      </c>
      <c r="G567" t="s">
        <v>45</v>
      </c>
      <c r="H567" t="s">
        <v>591</v>
      </c>
      <c r="I567">
        <v>0</v>
      </c>
      <c r="J567">
        <v>85112</v>
      </c>
      <c r="K567">
        <v>3.3</v>
      </c>
      <c r="L567">
        <v>83.5</v>
      </c>
      <c r="M567">
        <v>10</v>
      </c>
      <c r="N567">
        <v>16</v>
      </c>
      <c r="O567">
        <v>3895</v>
      </c>
      <c r="P567" t="s">
        <v>47</v>
      </c>
      <c r="Q567" t="s">
        <v>48</v>
      </c>
      <c r="R567" t="s">
        <v>28</v>
      </c>
      <c r="S567" t="s">
        <v>29</v>
      </c>
      <c r="T567" t="s">
        <v>30</v>
      </c>
      <c r="U567">
        <f t="shared" si="40"/>
        <v>89007</v>
      </c>
      <c r="V567" t="str">
        <f t="shared" si="41"/>
        <v>Needs Improvement</v>
      </c>
      <c r="W567" t="str">
        <f t="shared" si="42"/>
        <v>Normal</v>
      </c>
      <c r="X567" t="str">
        <f t="shared" si="43"/>
        <v>Junior</v>
      </c>
      <c r="Y567" t="str">
        <f t="shared" si="44"/>
        <v>25-34</v>
      </c>
    </row>
    <row r="568" spans="1:25" x14ac:dyDescent="0.3">
      <c r="A568">
        <v>1567</v>
      </c>
      <c r="B568" t="s">
        <v>178</v>
      </c>
      <c r="C568" t="s">
        <v>37</v>
      </c>
      <c r="D568">
        <v>40</v>
      </c>
      <c r="E568" t="s">
        <v>55</v>
      </c>
      <c r="F568" t="s">
        <v>79</v>
      </c>
      <c r="G568" t="s">
        <v>24</v>
      </c>
      <c r="H568" t="s">
        <v>592</v>
      </c>
      <c r="I568">
        <v>10</v>
      </c>
      <c r="J568">
        <v>45111</v>
      </c>
      <c r="K568">
        <v>2.6</v>
      </c>
      <c r="L568">
        <v>99.5</v>
      </c>
      <c r="M568">
        <v>3</v>
      </c>
      <c r="N568">
        <v>48</v>
      </c>
      <c r="O568">
        <v>7025</v>
      </c>
      <c r="P568" t="s">
        <v>26</v>
      </c>
      <c r="Q568" t="s">
        <v>48</v>
      </c>
      <c r="R568" t="s">
        <v>42</v>
      </c>
      <c r="S568" t="s">
        <v>34</v>
      </c>
      <c r="T568" t="s">
        <v>50</v>
      </c>
      <c r="U568">
        <f t="shared" si="40"/>
        <v>52136</v>
      </c>
      <c r="V568" t="str">
        <f t="shared" si="41"/>
        <v>Excellent</v>
      </c>
      <c r="W568" t="str">
        <f t="shared" si="42"/>
        <v>Normal</v>
      </c>
      <c r="X568" t="str">
        <f t="shared" si="43"/>
        <v>Senior</v>
      </c>
      <c r="Y568" t="str">
        <f t="shared" si="44"/>
        <v>35-44</v>
      </c>
    </row>
    <row r="569" spans="1:25" x14ac:dyDescent="0.3">
      <c r="A569">
        <v>1568</v>
      </c>
      <c r="B569" t="s">
        <v>121</v>
      </c>
      <c r="C569" t="s">
        <v>21</v>
      </c>
      <c r="D569">
        <v>40</v>
      </c>
      <c r="E569" t="s">
        <v>55</v>
      </c>
      <c r="F569" t="s">
        <v>143</v>
      </c>
      <c r="G569" t="s">
        <v>45</v>
      </c>
      <c r="H569" t="s">
        <v>593</v>
      </c>
      <c r="I569">
        <v>10</v>
      </c>
      <c r="J569">
        <v>83634</v>
      </c>
      <c r="K569">
        <v>4.3</v>
      </c>
      <c r="L569">
        <v>98.6</v>
      </c>
      <c r="M569">
        <v>8</v>
      </c>
      <c r="N569">
        <v>14</v>
      </c>
      <c r="O569">
        <v>11208</v>
      </c>
      <c r="P569" t="s">
        <v>33</v>
      </c>
      <c r="Q569" t="s">
        <v>48</v>
      </c>
      <c r="R569" t="s">
        <v>58</v>
      </c>
      <c r="S569" t="s">
        <v>29</v>
      </c>
      <c r="T569" t="s">
        <v>50</v>
      </c>
      <c r="U569">
        <f t="shared" si="40"/>
        <v>94842</v>
      </c>
      <c r="V569" t="str">
        <f t="shared" si="41"/>
        <v>Excellent</v>
      </c>
      <c r="W569" t="str">
        <f t="shared" si="42"/>
        <v>Normal</v>
      </c>
      <c r="X569" t="str">
        <f t="shared" si="43"/>
        <v>Senior</v>
      </c>
      <c r="Y569" t="str">
        <f t="shared" si="44"/>
        <v>35-44</v>
      </c>
    </row>
    <row r="570" spans="1:25" x14ac:dyDescent="0.3">
      <c r="A570">
        <v>1569</v>
      </c>
      <c r="B570" t="s">
        <v>73</v>
      </c>
      <c r="C570" t="s">
        <v>21</v>
      </c>
      <c r="D570">
        <v>43</v>
      </c>
      <c r="E570" t="s">
        <v>38</v>
      </c>
      <c r="F570" t="s">
        <v>39</v>
      </c>
      <c r="G570" t="s">
        <v>59</v>
      </c>
      <c r="H570" t="s">
        <v>594</v>
      </c>
      <c r="I570">
        <v>7</v>
      </c>
      <c r="J570">
        <v>37207</v>
      </c>
      <c r="K570">
        <v>4.7</v>
      </c>
      <c r="L570">
        <v>94.3</v>
      </c>
      <c r="M570">
        <v>11</v>
      </c>
      <c r="N570">
        <v>47</v>
      </c>
      <c r="O570">
        <v>2913</v>
      </c>
      <c r="P570" t="s">
        <v>33</v>
      </c>
      <c r="Q570" t="s">
        <v>48</v>
      </c>
      <c r="R570" t="s">
        <v>70</v>
      </c>
      <c r="S570" t="s">
        <v>34</v>
      </c>
      <c r="T570" t="s">
        <v>50</v>
      </c>
      <c r="U570">
        <f t="shared" si="40"/>
        <v>40120</v>
      </c>
      <c r="V570" t="str">
        <f t="shared" si="41"/>
        <v>Needs Improvement</v>
      </c>
      <c r="W570" t="str">
        <f t="shared" si="42"/>
        <v>Normal</v>
      </c>
      <c r="X570" t="str">
        <f t="shared" si="43"/>
        <v>Senior</v>
      </c>
      <c r="Y570" t="str">
        <f t="shared" si="44"/>
        <v>35-44</v>
      </c>
    </row>
    <row r="571" spans="1:25" x14ac:dyDescent="0.3">
      <c r="A571">
        <v>1570</v>
      </c>
      <c r="B571" t="s">
        <v>148</v>
      </c>
      <c r="C571" t="s">
        <v>37</v>
      </c>
      <c r="D571">
        <v>36</v>
      </c>
      <c r="E571" t="s">
        <v>22</v>
      </c>
      <c r="F571" t="s">
        <v>66</v>
      </c>
      <c r="G571" t="s">
        <v>51</v>
      </c>
      <c r="H571" t="s">
        <v>595</v>
      </c>
      <c r="I571">
        <v>9</v>
      </c>
      <c r="J571">
        <v>93923</v>
      </c>
      <c r="K571">
        <v>4.8</v>
      </c>
      <c r="L571">
        <v>94.2</v>
      </c>
      <c r="M571">
        <v>6</v>
      </c>
      <c r="N571">
        <v>31</v>
      </c>
      <c r="O571">
        <v>7485</v>
      </c>
      <c r="P571" t="s">
        <v>47</v>
      </c>
      <c r="Q571" t="s">
        <v>27</v>
      </c>
      <c r="R571" t="s">
        <v>70</v>
      </c>
      <c r="S571" t="s">
        <v>29</v>
      </c>
      <c r="T571" t="s">
        <v>50</v>
      </c>
      <c r="U571">
        <f t="shared" si="40"/>
        <v>101408</v>
      </c>
      <c r="V571" t="str">
        <f t="shared" si="41"/>
        <v>Needs Improvement</v>
      </c>
      <c r="W571" t="str">
        <f t="shared" si="42"/>
        <v>Normal</v>
      </c>
      <c r="X571" t="str">
        <f t="shared" si="43"/>
        <v>Senior</v>
      </c>
      <c r="Y571" t="str">
        <f t="shared" si="44"/>
        <v>35-44</v>
      </c>
    </row>
    <row r="572" spans="1:25" x14ac:dyDescent="0.3">
      <c r="A572">
        <v>1571</v>
      </c>
      <c r="B572" t="s">
        <v>71</v>
      </c>
      <c r="C572" t="s">
        <v>21</v>
      </c>
      <c r="D572">
        <v>36</v>
      </c>
      <c r="E572" t="s">
        <v>22</v>
      </c>
      <c r="F572" t="s">
        <v>23</v>
      </c>
      <c r="G572" t="s">
        <v>64</v>
      </c>
      <c r="H572" t="s">
        <v>596</v>
      </c>
      <c r="I572">
        <v>4</v>
      </c>
      <c r="J572">
        <v>93290</v>
      </c>
      <c r="K572">
        <v>2.6</v>
      </c>
      <c r="L572">
        <v>95.5</v>
      </c>
      <c r="M572">
        <v>22</v>
      </c>
      <c r="N572">
        <v>54</v>
      </c>
      <c r="O572">
        <v>3433</v>
      </c>
      <c r="P572" t="s">
        <v>26</v>
      </c>
      <c r="Q572" t="s">
        <v>48</v>
      </c>
      <c r="R572" t="s">
        <v>42</v>
      </c>
      <c r="S572" t="s">
        <v>29</v>
      </c>
      <c r="T572" t="s">
        <v>35</v>
      </c>
      <c r="U572">
        <f t="shared" si="40"/>
        <v>96723</v>
      </c>
      <c r="V572" t="str">
        <f t="shared" si="41"/>
        <v>Excellent</v>
      </c>
      <c r="W572" t="str">
        <f t="shared" si="42"/>
        <v>High</v>
      </c>
      <c r="X572" t="str">
        <f t="shared" si="43"/>
        <v>Mid</v>
      </c>
      <c r="Y572" t="str">
        <f t="shared" si="44"/>
        <v>35-44</v>
      </c>
    </row>
    <row r="573" spans="1:25" x14ac:dyDescent="0.3">
      <c r="A573">
        <v>1572</v>
      </c>
      <c r="B573" t="s">
        <v>75</v>
      </c>
      <c r="C573" t="s">
        <v>21</v>
      </c>
      <c r="D573">
        <v>28</v>
      </c>
      <c r="E573" t="s">
        <v>38</v>
      </c>
      <c r="F573" t="s">
        <v>44</v>
      </c>
      <c r="G573" t="s">
        <v>59</v>
      </c>
      <c r="H573" t="s">
        <v>597</v>
      </c>
      <c r="I573">
        <v>8</v>
      </c>
      <c r="J573">
        <v>71452</v>
      </c>
      <c r="K573">
        <v>4.2</v>
      </c>
      <c r="L573">
        <v>99.1</v>
      </c>
      <c r="M573">
        <v>17</v>
      </c>
      <c r="N573">
        <v>10</v>
      </c>
      <c r="O573">
        <v>7320</v>
      </c>
      <c r="P573" t="s">
        <v>33</v>
      </c>
      <c r="Q573" t="s">
        <v>27</v>
      </c>
      <c r="R573" t="s">
        <v>58</v>
      </c>
      <c r="S573" t="s">
        <v>29</v>
      </c>
      <c r="T573" t="s">
        <v>50</v>
      </c>
      <c r="U573">
        <f t="shared" si="40"/>
        <v>78772</v>
      </c>
      <c r="V573" t="str">
        <f t="shared" si="41"/>
        <v>Excellent</v>
      </c>
      <c r="W573" t="str">
        <f t="shared" si="42"/>
        <v>Normal</v>
      </c>
      <c r="X573" t="str">
        <f t="shared" si="43"/>
        <v>Senior</v>
      </c>
      <c r="Y573" t="str">
        <f t="shared" si="44"/>
        <v>25-34</v>
      </c>
    </row>
    <row r="574" spans="1:25" x14ac:dyDescent="0.3">
      <c r="A574">
        <v>1573</v>
      </c>
      <c r="B574" t="s">
        <v>99</v>
      </c>
      <c r="C574" t="s">
        <v>37</v>
      </c>
      <c r="D574">
        <v>27</v>
      </c>
      <c r="E574" t="s">
        <v>38</v>
      </c>
      <c r="F574" t="s">
        <v>39</v>
      </c>
      <c r="G574" t="s">
        <v>59</v>
      </c>
      <c r="H574" t="s">
        <v>552</v>
      </c>
      <c r="I574">
        <v>0</v>
      </c>
      <c r="J574">
        <v>94489</v>
      </c>
      <c r="K574">
        <v>4.9000000000000004</v>
      </c>
      <c r="L574">
        <v>85</v>
      </c>
      <c r="M574">
        <v>7</v>
      </c>
      <c r="N574">
        <v>42</v>
      </c>
      <c r="O574">
        <v>8967</v>
      </c>
      <c r="P574" t="s">
        <v>47</v>
      </c>
      <c r="Q574" t="s">
        <v>48</v>
      </c>
      <c r="R574" t="s">
        <v>70</v>
      </c>
      <c r="S574" t="s">
        <v>29</v>
      </c>
      <c r="T574" t="s">
        <v>30</v>
      </c>
      <c r="U574">
        <f t="shared" si="40"/>
        <v>103456</v>
      </c>
      <c r="V574" t="str">
        <f t="shared" si="41"/>
        <v>Needs Improvement</v>
      </c>
      <c r="W574" t="str">
        <f t="shared" si="42"/>
        <v>Normal</v>
      </c>
      <c r="X574" t="str">
        <f t="shared" si="43"/>
        <v>Junior</v>
      </c>
      <c r="Y574" t="str">
        <f t="shared" si="44"/>
        <v>25-34</v>
      </c>
    </row>
    <row r="575" spans="1:25" x14ac:dyDescent="0.3">
      <c r="A575">
        <v>1574</v>
      </c>
      <c r="B575" t="s">
        <v>54</v>
      </c>
      <c r="C575" t="s">
        <v>37</v>
      </c>
      <c r="D575">
        <v>40</v>
      </c>
      <c r="E575" t="s">
        <v>38</v>
      </c>
      <c r="F575" t="s">
        <v>39</v>
      </c>
      <c r="G575" t="s">
        <v>64</v>
      </c>
      <c r="H575" t="s">
        <v>598</v>
      </c>
      <c r="I575">
        <v>7</v>
      </c>
      <c r="J575">
        <v>25063</v>
      </c>
      <c r="K575">
        <v>4.7</v>
      </c>
      <c r="L575">
        <v>82.3</v>
      </c>
      <c r="M575">
        <v>5</v>
      </c>
      <c r="N575">
        <v>51</v>
      </c>
      <c r="O575">
        <v>5261</v>
      </c>
      <c r="P575" t="s">
        <v>53</v>
      </c>
      <c r="Q575" t="s">
        <v>27</v>
      </c>
      <c r="R575" t="s">
        <v>70</v>
      </c>
      <c r="S575" t="s">
        <v>34</v>
      </c>
      <c r="T575" t="s">
        <v>50</v>
      </c>
      <c r="U575">
        <f t="shared" si="40"/>
        <v>30324</v>
      </c>
      <c r="V575" t="str">
        <f t="shared" si="41"/>
        <v>Needs Improvement</v>
      </c>
      <c r="W575" t="str">
        <f t="shared" si="42"/>
        <v>Normal</v>
      </c>
      <c r="X575" t="str">
        <f t="shared" si="43"/>
        <v>Senior</v>
      </c>
      <c r="Y575" t="str">
        <f t="shared" si="44"/>
        <v>35-44</v>
      </c>
    </row>
    <row r="576" spans="1:25" x14ac:dyDescent="0.3">
      <c r="A576">
        <v>1575</v>
      </c>
      <c r="B576" t="s">
        <v>111</v>
      </c>
      <c r="C576" t="s">
        <v>37</v>
      </c>
      <c r="D576">
        <v>34</v>
      </c>
      <c r="E576" t="s">
        <v>38</v>
      </c>
      <c r="F576" t="s">
        <v>39</v>
      </c>
      <c r="G576" t="s">
        <v>64</v>
      </c>
      <c r="H576" t="s">
        <v>599</v>
      </c>
      <c r="I576">
        <v>5</v>
      </c>
      <c r="J576">
        <v>54064</v>
      </c>
      <c r="K576">
        <v>3.8</v>
      </c>
      <c r="L576">
        <v>96.7</v>
      </c>
      <c r="M576">
        <v>25</v>
      </c>
      <c r="N576">
        <v>8</v>
      </c>
      <c r="O576">
        <v>14187</v>
      </c>
      <c r="P576" t="s">
        <v>53</v>
      </c>
      <c r="Q576" t="s">
        <v>48</v>
      </c>
      <c r="R576" t="s">
        <v>28</v>
      </c>
      <c r="S576" t="s">
        <v>49</v>
      </c>
      <c r="T576" t="s">
        <v>35</v>
      </c>
      <c r="U576">
        <f t="shared" si="40"/>
        <v>68251</v>
      </c>
      <c r="V576" t="str">
        <f t="shared" si="41"/>
        <v>Excellent</v>
      </c>
      <c r="W576" t="str">
        <f t="shared" si="42"/>
        <v>High</v>
      </c>
      <c r="X576" t="str">
        <f t="shared" si="43"/>
        <v>Mid</v>
      </c>
      <c r="Y576" t="str">
        <f t="shared" si="44"/>
        <v>25-34</v>
      </c>
    </row>
    <row r="577" spans="1:25" x14ac:dyDescent="0.3">
      <c r="A577">
        <v>1576</v>
      </c>
      <c r="B577" t="s">
        <v>73</v>
      </c>
      <c r="C577" t="s">
        <v>37</v>
      </c>
      <c r="D577">
        <v>42</v>
      </c>
      <c r="E577" t="s">
        <v>55</v>
      </c>
      <c r="F577" t="s">
        <v>143</v>
      </c>
      <c r="G577" t="s">
        <v>59</v>
      </c>
      <c r="H577" t="s">
        <v>600</v>
      </c>
      <c r="I577">
        <v>9</v>
      </c>
      <c r="J577">
        <v>33744</v>
      </c>
      <c r="K577">
        <v>3.7</v>
      </c>
      <c r="L577">
        <v>82.6</v>
      </c>
      <c r="M577">
        <v>25</v>
      </c>
      <c r="N577">
        <v>39</v>
      </c>
      <c r="O577">
        <v>8668</v>
      </c>
      <c r="P577" t="s">
        <v>41</v>
      </c>
      <c r="Q577" t="s">
        <v>27</v>
      </c>
      <c r="R577" t="s">
        <v>28</v>
      </c>
      <c r="S577" t="s">
        <v>34</v>
      </c>
      <c r="T577" t="s">
        <v>50</v>
      </c>
      <c r="U577">
        <f t="shared" si="40"/>
        <v>42412</v>
      </c>
      <c r="V577" t="str">
        <f t="shared" si="41"/>
        <v>Needs Improvement</v>
      </c>
      <c r="W577" t="str">
        <f t="shared" si="42"/>
        <v>High</v>
      </c>
      <c r="X577" t="str">
        <f t="shared" si="43"/>
        <v>Senior</v>
      </c>
      <c r="Y577" t="str">
        <f t="shared" si="44"/>
        <v>35-44</v>
      </c>
    </row>
    <row r="578" spans="1:25" x14ac:dyDescent="0.3">
      <c r="A578">
        <v>1577</v>
      </c>
      <c r="B578" t="s">
        <v>88</v>
      </c>
      <c r="C578" t="s">
        <v>37</v>
      </c>
      <c r="D578">
        <v>36</v>
      </c>
      <c r="E578" t="s">
        <v>55</v>
      </c>
      <c r="F578" t="s">
        <v>143</v>
      </c>
      <c r="G578" t="s">
        <v>59</v>
      </c>
      <c r="H578" t="s">
        <v>503</v>
      </c>
      <c r="I578">
        <v>0</v>
      </c>
      <c r="J578">
        <v>81427</v>
      </c>
      <c r="K578">
        <v>3.7</v>
      </c>
      <c r="L578">
        <v>89.5</v>
      </c>
      <c r="M578">
        <v>25</v>
      </c>
      <c r="N578">
        <v>58</v>
      </c>
      <c r="O578">
        <v>9404</v>
      </c>
      <c r="P578" t="s">
        <v>41</v>
      </c>
      <c r="Q578" t="s">
        <v>48</v>
      </c>
      <c r="R578" t="s">
        <v>28</v>
      </c>
      <c r="S578" t="s">
        <v>29</v>
      </c>
      <c r="T578" t="s">
        <v>30</v>
      </c>
      <c r="U578">
        <f t="shared" si="40"/>
        <v>90831</v>
      </c>
      <c r="V578" t="str">
        <f t="shared" si="41"/>
        <v>Needs Improvement</v>
      </c>
      <c r="W578" t="str">
        <f t="shared" si="42"/>
        <v>High</v>
      </c>
      <c r="X578" t="str">
        <f t="shared" si="43"/>
        <v>Junior</v>
      </c>
      <c r="Y578" t="str">
        <f t="shared" si="44"/>
        <v>35-44</v>
      </c>
    </row>
    <row r="579" spans="1:25" x14ac:dyDescent="0.3">
      <c r="A579">
        <v>1578</v>
      </c>
      <c r="B579" t="s">
        <v>36</v>
      </c>
      <c r="C579" t="s">
        <v>21</v>
      </c>
      <c r="D579">
        <v>29</v>
      </c>
      <c r="E579" t="s">
        <v>22</v>
      </c>
      <c r="F579" t="s">
        <v>66</v>
      </c>
      <c r="G579" t="s">
        <v>45</v>
      </c>
      <c r="H579" t="s">
        <v>601</v>
      </c>
      <c r="I579">
        <v>5</v>
      </c>
      <c r="J579">
        <v>44363</v>
      </c>
      <c r="K579">
        <v>2.9</v>
      </c>
      <c r="L579">
        <v>95.4</v>
      </c>
      <c r="M579">
        <v>11</v>
      </c>
      <c r="N579">
        <v>22</v>
      </c>
      <c r="O579">
        <v>14707</v>
      </c>
      <c r="P579" t="s">
        <v>41</v>
      </c>
      <c r="Q579" t="s">
        <v>48</v>
      </c>
      <c r="R579" t="s">
        <v>42</v>
      </c>
      <c r="S579" t="s">
        <v>34</v>
      </c>
      <c r="T579" t="s">
        <v>35</v>
      </c>
      <c r="U579">
        <f t="shared" ref="U579:U642" si="45">J579+O579</f>
        <v>59070</v>
      </c>
      <c r="V579" t="str">
        <f t="shared" ref="V579:V642" si="46">IF(L579&gt;=95,"Excellent","Needs Improvement")</f>
        <v>Excellent</v>
      </c>
      <c r="W579" t="str">
        <f t="shared" ref="W579:W642" si="47">IF(M579&gt;20,"High","Normal")</f>
        <v>Normal</v>
      </c>
      <c r="X579" t="str">
        <f t="shared" ref="X579:X642" si="48">IF(I579&lt;3,"Junior",IF(I579&lt;7,"Mid","Senior"))</f>
        <v>Mid</v>
      </c>
      <c r="Y579" t="str">
        <f t="shared" ref="Y579:Y642" si="49">IF(D579&lt;25,"20-24",IF(D579&lt;35,"25-34",IF(D579&lt;45,"35-44","45+")))</f>
        <v>25-34</v>
      </c>
    </row>
    <row r="580" spans="1:25" x14ac:dyDescent="0.3">
      <c r="A580">
        <v>1579</v>
      </c>
      <c r="B580" t="s">
        <v>73</v>
      </c>
      <c r="C580" t="s">
        <v>21</v>
      </c>
      <c r="D580">
        <v>34</v>
      </c>
      <c r="E580" t="s">
        <v>55</v>
      </c>
      <c r="F580" t="s">
        <v>56</v>
      </c>
      <c r="G580" t="s">
        <v>59</v>
      </c>
      <c r="H580" t="s">
        <v>602</v>
      </c>
      <c r="I580">
        <v>7</v>
      </c>
      <c r="J580">
        <v>66739</v>
      </c>
      <c r="K580">
        <v>3.7</v>
      </c>
      <c r="L580">
        <v>90.8</v>
      </c>
      <c r="M580">
        <v>19</v>
      </c>
      <c r="N580">
        <v>11</v>
      </c>
      <c r="O580">
        <v>11469</v>
      </c>
      <c r="P580" t="s">
        <v>47</v>
      </c>
      <c r="Q580" t="s">
        <v>27</v>
      </c>
      <c r="R580" t="s">
        <v>28</v>
      </c>
      <c r="S580" t="s">
        <v>49</v>
      </c>
      <c r="T580" t="s">
        <v>50</v>
      </c>
      <c r="U580">
        <f t="shared" si="45"/>
        <v>78208</v>
      </c>
      <c r="V580" t="str">
        <f t="shared" si="46"/>
        <v>Needs Improvement</v>
      </c>
      <c r="W580" t="str">
        <f t="shared" si="47"/>
        <v>Normal</v>
      </c>
      <c r="X580" t="str">
        <f t="shared" si="48"/>
        <v>Senior</v>
      </c>
      <c r="Y580" t="str">
        <f t="shared" si="49"/>
        <v>25-34</v>
      </c>
    </row>
    <row r="581" spans="1:25" x14ac:dyDescent="0.3">
      <c r="A581">
        <v>1580</v>
      </c>
      <c r="B581" t="s">
        <v>20</v>
      </c>
      <c r="C581" t="s">
        <v>21</v>
      </c>
      <c r="D581">
        <v>35</v>
      </c>
      <c r="E581" t="s">
        <v>62</v>
      </c>
      <c r="F581" t="s">
        <v>97</v>
      </c>
      <c r="G581" t="s">
        <v>59</v>
      </c>
      <c r="H581" t="s">
        <v>603</v>
      </c>
      <c r="I581">
        <v>1</v>
      </c>
      <c r="J581">
        <v>68529</v>
      </c>
      <c r="K581">
        <v>4.3</v>
      </c>
      <c r="L581">
        <v>84.8</v>
      </c>
      <c r="M581">
        <v>3</v>
      </c>
      <c r="N581">
        <v>16</v>
      </c>
      <c r="O581">
        <v>9501</v>
      </c>
      <c r="P581" t="s">
        <v>33</v>
      </c>
      <c r="Q581" t="s">
        <v>27</v>
      </c>
      <c r="R581" t="s">
        <v>58</v>
      </c>
      <c r="S581" t="s">
        <v>49</v>
      </c>
      <c r="T581" t="s">
        <v>30</v>
      </c>
      <c r="U581">
        <f t="shared" si="45"/>
        <v>78030</v>
      </c>
      <c r="V581" t="str">
        <f t="shared" si="46"/>
        <v>Needs Improvement</v>
      </c>
      <c r="W581" t="str">
        <f t="shared" si="47"/>
        <v>Normal</v>
      </c>
      <c r="X581" t="str">
        <f t="shared" si="48"/>
        <v>Junior</v>
      </c>
      <c r="Y581" t="str">
        <f t="shared" si="49"/>
        <v>35-44</v>
      </c>
    </row>
    <row r="582" spans="1:25" x14ac:dyDescent="0.3">
      <c r="A582">
        <v>1581</v>
      </c>
      <c r="B582" t="s">
        <v>121</v>
      </c>
      <c r="C582" t="s">
        <v>37</v>
      </c>
      <c r="D582">
        <v>44</v>
      </c>
      <c r="E582" t="s">
        <v>38</v>
      </c>
      <c r="F582" t="s">
        <v>39</v>
      </c>
      <c r="G582" t="s">
        <v>64</v>
      </c>
      <c r="H582" t="s">
        <v>604</v>
      </c>
      <c r="I582">
        <v>3</v>
      </c>
      <c r="J582">
        <v>66435</v>
      </c>
      <c r="K582">
        <v>4.5</v>
      </c>
      <c r="L582">
        <v>98.7</v>
      </c>
      <c r="M582">
        <v>10</v>
      </c>
      <c r="N582">
        <v>47</v>
      </c>
      <c r="O582">
        <v>13498</v>
      </c>
      <c r="P582" t="s">
        <v>26</v>
      </c>
      <c r="Q582" t="s">
        <v>27</v>
      </c>
      <c r="R582" t="s">
        <v>70</v>
      </c>
      <c r="S582" t="s">
        <v>49</v>
      </c>
      <c r="T582" t="s">
        <v>35</v>
      </c>
      <c r="U582">
        <f t="shared" si="45"/>
        <v>79933</v>
      </c>
      <c r="V582" t="str">
        <f t="shared" si="46"/>
        <v>Excellent</v>
      </c>
      <c r="W582" t="str">
        <f t="shared" si="47"/>
        <v>Normal</v>
      </c>
      <c r="X582" t="str">
        <f t="shared" si="48"/>
        <v>Mid</v>
      </c>
      <c r="Y582" t="str">
        <f t="shared" si="49"/>
        <v>35-44</v>
      </c>
    </row>
    <row r="583" spans="1:25" x14ac:dyDescent="0.3">
      <c r="A583">
        <v>1582</v>
      </c>
      <c r="B583" t="s">
        <v>121</v>
      </c>
      <c r="C583" t="s">
        <v>21</v>
      </c>
      <c r="D583">
        <v>22</v>
      </c>
      <c r="E583" t="s">
        <v>91</v>
      </c>
      <c r="F583" t="s">
        <v>101</v>
      </c>
      <c r="G583" t="s">
        <v>45</v>
      </c>
      <c r="H583" t="s">
        <v>605</v>
      </c>
      <c r="I583">
        <v>8</v>
      </c>
      <c r="J583">
        <v>36144</v>
      </c>
      <c r="K583">
        <v>3.5</v>
      </c>
      <c r="L583">
        <v>94</v>
      </c>
      <c r="M583">
        <v>2</v>
      </c>
      <c r="N583">
        <v>44</v>
      </c>
      <c r="O583">
        <v>8019</v>
      </c>
      <c r="P583" t="s">
        <v>26</v>
      </c>
      <c r="Q583" t="s">
        <v>27</v>
      </c>
      <c r="R583" t="s">
        <v>28</v>
      </c>
      <c r="S583" t="s">
        <v>34</v>
      </c>
      <c r="T583" t="s">
        <v>50</v>
      </c>
      <c r="U583">
        <f t="shared" si="45"/>
        <v>44163</v>
      </c>
      <c r="V583" t="str">
        <f t="shared" si="46"/>
        <v>Needs Improvement</v>
      </c>
      <c r="W583" t="str">
        <f t="shared" si="47"/>
        <v>Normal</v>
      </c>
      <c r="X583" t="str">
        <f t="shared" si="48"/>
        <v>Senior</v>
      </c>
      <c r="Y583" t="str">
        <f t="shared" si="49"/>
        <v>20-24</v>
      </c>
    </row>
    <row r="584" spans="1:25" x14ac:dyDescent="0.3">
      <c r="A584">
        <v>1583</v>
      </c>
      <c r="B584" t="s">
        <v>54</v>
      </c>
      <c r="C584" t="s">
        <v>21</v>
      </c>
      <c r="D584">
        <v>27</v>
      </c>
      <c r="E584" t="s">
        <v>22</v>
      </c>
      <c r="F584" t="s">
        <v>23</v>
      </c>
      <c r="G584" t="s">
        <v>24</v>
      </c>
      <c r="H584" t="s">
        <v>606</v>
      </c>
      <c r="I584">
        <v>7</v>
      </c>
      <c r="J584">
        <v>43451</v>
      </c>
      <c r="K584">
        <v>3</v>
      </c>
      <c r="L584">
        <v>86.5</v>
      </c>
      <c r="M584">
        <v>11</v>
      </c>
      <c r="N584">
        <v>46</v>
      </c>
      <c r="O584">
        <v>7810</v>
      </c>
      <c r="P584" t="s">
        <v>26</v>
      </c>
      <c r="Q584" t="s">
        <v>27</v>
      </c>
      <c r="R584" t="s">
        <v>28</v>
      </c>
      <c r="S584" t="s">
        <v>34</v>
      </c>
      <c r="T584" t="s">
        <v>50</v>
      </c>
      <c r="U584">
        <f t="shared" si="45"/>
        <v>51261</v>
      </c>
      <c r="V584" t="str">
        <f t="shared" si="46"/>
        <v>Needs Improvement</v>
      </c>
      <c r="W584" t="str">
        <f t="shared" si="47"/>
        <v>Normal</v>
      </c>
      <c r="X584" t="str">
        <f t="shared" si="48"/>
        <v>Senior</v>
      </c>
      <c r="Y584" t="str">
        <f t="shared" si="49"/>
        <v>25-34</v>
      </c>
    </row>
    <row r="585" spans="1:25" x14ac:dyDescent="0.3">
      <c r="A585">
        <v>1584</v>
      </c>
      <c r="B585" t="s">
        <v>148</v>
      </c>
      <c r="C585" t="s">
        <v>21</v>
      </c>
      <c r="D585">
        <v>34</v>
      </c>
      <c r="E585" t="s">
        <v>22</v>
      </c>
      <c r="F585" t="s">
        <v>66</v>
      </c>
      <c r="G585" t="s">
        <v>45</v>
      </c>
      <c r="H585" t="s">
        <v>607</v>
      </c>
      <c r="I585">
        <v>0</v>
      </c>
      <c r="J585">
        <v>33159</v>
      </c>
      <c r="K585">
        <v>3.1</v>
      </c>
      <c r="L585">
        <v>97.8</v>
      </c>
      <c r="M585">
        <v>10</v>
      </c>
      <c r="N585">
        <v>52</v>
      </c>
      <c r="O585">
        <v>5694</v>
      </c>
      <c r="P585" t="s">
        <v>26</v>
      </c>
      <c r="Q585" t="s">
        <v>48</v>
      </c>
      <c r="R585" t="s">
        <v>28</v>
      </c>
      <c r="S585" t="s">
        <v>34</v>
      </c>
      <c r="T585" t="s">
        <v>30</v>
      </c>
      <c r="U585">
        <f t="shared" si="45"/>
        <v>38853</v>
      </c>
      <c r="V585" t="str">
        <f t="shared" si="46"/>
        <v>Excellent</v>
      </c>
      <c r="W585" t="str">
        <f t="shared" si="47"/>
        <v>Normal</v>
      </c>
      <c r="X585" t="str">
        <f t="shared" si="48"/>
        <v>Junior</v>
      </c>
      <c r="Y585" t="str">
        <f t="shared" si="49"/>
        <v>25-34</v>
      </c>
    </row>
    <row r="586" spans="1:25" x14ac:dyDescent="0.3">
      <c r="A586">
        <v>1585</v>
      </c>
      <c r="B586" t="s">
        <v>111</v>
      </c>
      <c r="C586" t="s">
        <v>21</v>
      </c>
      <c r="D586">
        <v>22</v>
      </c>
      <c r="E586" t="s">
        <v>62</v>
      </c>
      <c r="F586" t="s">
        <v>97</v>
      </c>
      <c r="G586" t="s">
        <v>64</v>
      </c>
      <c r="H586" t="s">
        <v>608</v>
      </c>
      <c r="I586">
        <v>9</v>
      </c>
      <c r="J586">
        <v>77769</v>
      </c>
      <c r="K586">
        <v>4.2</v>
      </c>
      <c r="L586">
        <v>89.5</v>
      </c>
      <c r="M586">
        <v>9</v>
      </c>
      <c r="N586">
        <v>8</v>
      </c>
      <c r="O586">
        <v>11981</v>
      </c>
      <c r="P586" t="s">
        <v>41</v>
      </c>
      <c r="Q586" t="s">
        <v>27</v>
      </c>
      <c r="R586" t="s">
        <v>58</v>
      </c>
      <c r="S586" t="s">
        <v>29</v>
      </c>
      <c r="T586" t="s">
        <v>50</v>
      </c>
      <c r="U586">
        <f t="shared" si="45"/>
        <v>89750</v>
      </c>
      <c r="V586" t="str">
        <f t="shared" si="46"/>
        <v>Needs Improvement</v>
      </c>
      <c r="W586" t="str">
        <f t="shared" si="47"/>
        <v>Normal</v>
      </c>
      <c r="X586" t="str">
        <f t="shared" si="48"/>
        <v>Senior</v>
      </c>
      <c r="Y586" t="str">
        <f t="shared" si="49"/>
        <v>20-24</v>
      </c>
    </row>
    <row r="587" spans="1:25" x14ac:dyDescent="0.3">
      <c r="A587">
        <v>1586</v>
      </c>
      <c r="B587" t="s">
        <v>99</v>
      </c>
      <c r="C587" t="s">
        <v>21</v>
      </c>
      <c r="D587">
        <v>35</v>
      </c>
      <c r="E587" t="s">
        <v>38</v>
      </c>
      <c r="F587" t="s">
        <v>44</v>
      </c>
      <c r="G587" t="s">
        <v>64</v>
      </c>
      <c r="H587" t="s">
        <v>609</v>
      </c>
      <c r="I587">
        <v>0</v>
      </c>
      <c r="J587">
        <v>81550</v>
      </c>
      <c r="K587">
        <v>3.4</v>
      </c>
      <c r="L587">
        <v>90.9</v>
      </c>
      <c r="M587">
        <v>1</v>
      </c>
      <c r="N587">
        <v>48</v>
      </c>
      <c r="O587">
        <v>3333</v>
      </c>
      <c r="P587" t="s">
        <v>47</v>
      </c>
      <c r="Q587" t="s">
        <v>48</v>
      </c>
      <c r="R587" t="s">
        <v>28</v>
      </c>
      <c r="S587" t="s">
        <v>29</v>
      </c>
      <c r="T587" t="s">
        <v>30</v>
      </c>
      <c r="U587">
        <f t="shared" si="45"/>
        <v>84883</v>
      </c>
      <c r="V587" t="str">
        <f t="shared" si="46"/>
        <v>Needs Improvement</v>
      </c>
      <c r="W587" t="str">
        <f t="shared" si="47"/>
        <v>Normal</v>
      </c>
      <c r="X587" t="str">
        <f t="shared" si="48"/>
        <v>Junior</v>
      </c>
      <c r="Y587" t="str">
        <f t="shared" si="49"/>
        <v>35-44</v>
      </c>
    </row>
    <row r="588" spans="1:25" x14ac:dyDescent="0.3">
      <c r="A588">
        <v>1587</v>
      </c>
      <c r="B588" t="s">
        <v>85</v>
      </c>
      <c r="C588" t="s">
        <v>21</v>
      </c>
      <c r="D588">
        <v>22</v>
      </c>
      <c r="E588" t="s">
        <v>91</v>
      </c>
      <c r="F588" t="s">
        <v>92</v>
      </c>
      <c r="G588" t="s">
        <v>64</v>
      </c>
      <c r="H588" t="s">
        <v>610</v>
      </c>
      <c r="I588">
        <v>4</v>
      </c>
      <c r="J588">
        <v>81821</v>
      </c>
      <c r="K588">
        <v>4.0999999999999996</v>
      </c>
      <c r="L588">
        <v>91</v>
      </c>
      <c r="M588">
        <v>25</v>
      </c>
      <c r="N588">
        <v>40</v>
      </c>
      <c r="O588">
        <v>10324</v>
      </c>
      <c r="P588" t="s">
        <v>26</v>
      </c>
      <c r="Q588" t="s">
        <v>48</v>
      </c>
      <c r="R588" t="s">
        <v>58</v>
      </c>
      <c r="S588" t="s">
        <v>29</v>
      </c>
      <c r="T588" t="s">
        <v>35</v>
      </c>
      <c r="U588">
        <f t="shared" si="45"/>
        <v>92145</v>
      </c>
      <c r="V588" t="str">
        <f t="shared" si="46"/>
        <v>Needs Improvement</v>
      </c>
      <c r="W588" t="str">
        <f t="shared" si="47"/>
        <v>High</v>
      </c>
      <c r="X588" t="str">
        <f t="shared" si="48"/>
        <v>Mid</v>
      </c>
      <c r="Y588" t="str">
        <f t="shared" si="49"/>
        <v>20-24</v>
      </c>
    </row>
    <row r="589" spans="1:25" x14ac:dyDescent="0.3">
      <c r="A589">
        <v>1588</v>
      </c>
      <c r="B589" t="s">
        <v>71</v>
      </c>
      <c r="C589" t="s">
        <v>21</v>
      </c>
      <c r="D589">
        <v>24</v>
      </c>
      <c r="E589" t="s">
        <v>62</v>
      </c>
      <c r="F589" t="s">
        <v>63</v>
      </c>
      <c r="G589" t="s">
        <v>64</v>
      </c>
      <c r="H589" t="s">
        <v>310</v>
      </c>
      <c r="I589">
        <v>1</v>
      </c>
      <c r="J589">
        <v>33793</v>
      </c>
      <c r="K589">
        <v>4.8</v>
      </c>
      <c r="L589">
        <v>86.5</v>
      </c>
      <c r="M589">
        <v>19</v>
      </c>
      <c r="N589">
        <v>8</v>
      </c>
      <c r="O589">
        <v>13150</v>
      </c>
      <c r="P589" t="s">
        <v>26</v>
      </c>
      <c r="Q589" t="s">
        <v>48</v>
      </c>
      <c r="R589" t="s">
        <v>70</v>
      </c>
      <c r="S589" t="s">
        <v>34</v>
      </c>
      <c r="T589" t="s">
        <v>30</v>
      </c>
      <c r="U589">
        <f t="shared" si="45"/>
        <v>46943</v>
      </c>
      <c r="V589" t="str">
        <f t="shared" si="46"/>
        <v>Needs Improvement</v>
      </c>
      <c r="W589" t="str">
        <f t="shared" si="47"/>
        <v>Normal</v>
      </c>
      <c r="X589" t="str">
        <f t="shared" si="48"/>
        <v>Junior</v>
      </c>
      <c r="Y589" t="str">
        <f t="shared" si="49"/>
        <v>20-24</v>
      </c>
    </row>
    <row r="590" spans="1:25" x14ac:dyDescent="0.3">
      <c r="A590">
        <v>1589</v>
      </c>
      <c r="B590" t="s">
        <v>31</v>
      </c>
      <c r="C590" t="s">
        <v>21</v>
      </c>
      <c r="D590">
        <v>40</v>
      </c>
      <c r="E590" t="s">
        <v>38</v>
      </c>
      <c r="F590" t="s">
        <v>39</v>
      </c>
      <c r="G590" t="s">
        <v>59</v>
      </c>
      <c r="H590" t="s">
        <v>611</v>
      </c>
      <c r="I590">
        <v>4</v>
      </c>
      <c r="J590">
        <v>26251</v>
      </c>
      <c r="K590">
        <v>4.9000000000000004</v>
      </c>
      <c r="L590">
        <v>94</v>
      </c>
      <c r="M590">
        <v>14</v>
      </c>
      <c r="N590">
        <v>51</v>
      </c>
      <c r="O590">
        <v>7952</v>
      </c>
      <c r="P590" t="s">
        <v>53</v>
      </c>
      <c r="Q590" t="s">
        <v>27</v>
      </c>
      <c r="R590" t="s">
        <v>70</v>
      </c>
      <c r="S590" t="s">
        <v>34</v>
      </c>
      <c r="T590" t="s">
        <v>35</v>
      </c>
      <c r="U590">
        <f t="shared" si="45"/>
        <v>34203</v>
      </c>
      <c r="V590" t="str">
        <f t="shared" si="46"/>
        <v>Needs Improvement</v>
      </c>
      <c r="W590" t="str">
        <f t="shared" si="47"/>
        <v>Normal</v>
      </c>
      <c r="X590" t="str">
        <f t="shared" si="48"/>
        <v>Mid</v>
      </c>
      <c r="Y590" t="str">
        <f t="shared" si="49"/>
        <v>35-44</v>
      </c>
    </row>
    <row r="591" spans="1:25" x14ac:dyDescent="0.3">
      <c r="A591">
        <v>1590</v>
      </c>
      <c r="B591" t="s">
        <v>68</v>
      </c>
      <c r="C591" t="s">
        <v>37</v>
      </c>
      <c r="D591">
        <v>23</v>
      </c>
      <c r="E591" t="s">
        <v>38</v>
      </c>
      <c r="F591" t="s">
        <v>39</v>
      </c>
      <c r="G591" t="s">
        <v>51</v>
      </c>
      <c r="H591" t="s">
        <v>612</v>
      </c>
      <c r="I591">
        <v>2</v>
      </c>
      <c r="J591">
        <v>28916</v>
      </c>
      <c r="K591">
        <v>2.7</v>
      </c>
      <c r="L591">
        <v>87.4</v>
      </c>
      <c r="M591">
        <v>2</v>
      </c>
      <c r="N591">
        <v>54</v>
      </c>
      <c r="O591">
        <v>12383</v>
      </c>
      <c r="P591" t="s">
        <v>26</v>
      </c>
      <c r="Q591" t="s">
        <v>48</v>
      </c>
      <c r="R591" t="s">
        <v>42</v>
      </c>
      <c r="S591" t="s">
        <v>34</v>
      </c>
      <c r="T591" t="s">
        <v>30</v>
      </c>
      <c r="U591">
        <f t="shared" si="45"/>
        <v>41299</v>
      </c>
      <c r="V591" t="str">
        <f t="shared" si="46"/>
        <v>Needs Improvement</v>
      </c>
      <c r="W591" t="str">
        <f t="shared" si="47"/>
        <v>Normal</v>
      </c>
      <c r="X591" t="str">
        <f t="shared" si="48"/>
        <v>Junior</v>
      </c>
      <c r="Y591" t="str">
        <f t="shared" si="49"/>
        <v>20-24</v>
      </c>
    </row>
    <row r="592" spans="1:25" x14ac:dyDescent="0.3">
      <c r="A592">
        <v>1591</v>
      </c>
      <c r="B592" t="s">
        <v>73</v>
      </c>
      <c r="C592" t="s">
        <v>21</v>
      </c>
      <c r="D592">
        <v>32</v>
      </c>
      <c r="E592" t="s">
        <v>38</v>
      </c>
      <c r="F592" t="s">
        <v>44</v>
      </c>
      <c r="G592" t="s">
        <v>51</v>
      </c>
      <c r="H592" t="s">
        <v>613</v>
      </c>
      <c r="I592">
        <v>7</v>
      </c>
      <c r="J592">
        <v>32753</v>
      </c>
      <c r="K592">
        <v>2.5</v>
      </c>
      <c r="L592">
        <v>84.6</v>
      </c>
      <c r="M592">
        <v>23</v>
      </c>
      <c r="N592">
        <v>33</v>
      </c>
      <c r="O592">
        <v>6973</v>
      </c>
      <c r="P592" t="s">
        <v>26</v>
      </c>
      <c r="Q592" t="s">
        <v>27</v>
      </c>
      <c r="R592" t="s">
        <v>42</v>
      </c>
      <c r="S592" t="s">
        <v>34</v>
      </c>
      <c r="T592" t="s">
        <v>50</v>
      </c>
      <c r="U592">
        <f t="shared" si="45"/>
        <v>39726</v>
      </c>
      <c r="V592" t="str">
        <f t="shared" si="46"/>
        <v>Needs Improvement</v>
      </c>
      <c r="W592" t="str">
        <f t="shared" si="47"/>
        <v>High</v>
      </c>
      <c r="X592" t="str">
        <f t="shared" si="48"/>
        <v>Senior</v>
      </c>
      <c r="Y592" t="str">
        <f t="shared" si="49"/>
        <v>25-34</v>
      </c>
    </row>
    <row r="593" spans="1:25" x14ac:dyDescent="0.3">
      <c r="A593">
        <v>1592</v>
      </c>
      <c r="B593" t="s">
        <v>73</v>
      </c>
      <c r="C593" t="s">
        <v>37</v>
      </c>
      <c r="D593">
        <v>36</v>
      </c>
      <c r="E593" t="s">
        <v>55</v>
      </c>
      <c r="F593" t="s">
        <v>79</v>
      </c>
      <c r="G593" t="s">
        <v>64</v>
      </c>
      <c r="H593" t="s">
        <v>614</v>
      </c>
      <c r="I593">
        <v>9</v>
      </c>
      <c r="J593">
        <v>85211</v>
      </c>
      <c r="K593">
        <v>4.4000000000000004</v>
      </c>
      <c r="L593">
        <v>89.2</v>
      </c>
      <c r="M593">
        <v>4</v>
      </c>
      <c r="N593">
        <v>43</v>
      </c>
      <c r="O593">
        <v>12288</v>
      </c>
      <c r="P593" t="s">
        <v>26</v>
      </c>
      <c r="Q593" t="s">
        <v>27</v>
      </c>
      <c r="R593" t="s">
        <v>58</v>
      </c>
      <c r="S593" t="s">
        <v>29</v>
      </c>
      <c r="T593" t="s">
        <v>50</v>
      </c>
      <c r="U593">
        <f t="shared" si="45"/>
        <v>97499</v>
      </c>
      <c r="V593" t="str">
        <f t="shared" si="46"/>
        <v>Needs Improvement</v>
      </c>
      <c r="W593" t="str">
        <f t="shared" si="47"/>
        <v>Normal</v>
      </c>
      <c r="X593" t="str">
        <f t="shared" si="48"/>
        <v>Senior</v>
      </c>
      <c r="Y593" t="str">
        <f t="shared" si="49"/>
        <v>35-44</v>
      </c>
    </row>
    <row r="594" spans="1:25" x14ac:dyDescent="0.3">
      <c r="A594">
        <v>1593</v>
      </c>
      <c r="B594" t="s">
        <v>71</v>
      </c>
      <c r="C594" t="s">
        <v>37</v>
      </c>
      <c r="D594">
        <v>32</v>
      </c>
      <c r="E594" t="s">
        <v>91</v>
      </c>
      <c r="F594" t="s">
        <v>92</v>
      </c>
      <c r="G594" t="s">
        <v>24</v>
      </c>
      <c r="H594" t="s">
        <v>615</v>
      </c>
      <c r="I594">
        <v>1</v>
      </c>
      <c r="J594">
        <v>73531</v>
      </c>
      <c r="K594">
        <v>2.7</v>
      </c>
      <c r="L594">
        <v>93.7</v>
      </c>
      <c r="M594">
        <v>5</v>
      </c>
      <c r="N594">
        <v>33</v>
      </c>
      <c r="O594">
        <v>11634</v>
      </c>
      <c r="P594" t="s">
        <v>33</v>
      </c>
      <c r="Q594" t="s">
        <v>27</v>
      </c>
      <c r="R594" t="s">
        <v>42</v>
      </c>
      <c r="S594" t="s">
        <v>29</v>
      </c>
      <c r="T594" t="s">
        <v>30</v>
      </c>
      <c r="U594">
        <f t="shared" si="45"/>
        <v>85165</v>
      </c>
      <c r="V594" t="str">
        <f t="shared" si="46"/>
        <v>Needs Improvement</v>
      </c>
      <c r="W594" t="str">
        <f t="shared" si="47"/>
        <v>Normal</v>
      </c>
      <c r="X594" t="str">
        <f t="shared" si="48"/>
        <v>Junior</v>
      </c>
      <c r="Y594" t="str">
        <f t="shared" si="49"/>
        <v>25-34</v>
      </c>
    </row>
    <row r="595" spans="1:25" x14ac:dyDescent="0.3">
      <c r="A595">
        <v>1594</v>
      </c>
      <c r="B595" t="s">
        <v>178</v>
      </c>
      <c r="C595" t="s">
        <v>21</v>
      </c>
      <c r="D595">
        <v>44</v>
      </c>
      <c r="E595" t="s">
        <v>91</v>
      </c>
      <c r="F595" t="s">
        <v>101</v>
      </c>
      <c r="G595" t="s">
        <v>24</v>
      </c>
      <c r="H595" t="s">
        <v>616</v>
      </c>
      <c r="I595">
        <v>0</v>
      </c>
      <c r="J595">
        <v>93538</v>
      </c>
      <c r="K595">
        <v>2.6</v>
      </c>
      <c r="L595">
        <v>87.7</v>
      </c>
      <c r="M595">
        <v>21</v>
      </c>
      <c r="N595">
        <v>9</v>
      </c>
      <c r="O595">
        <v>4403</v>
      </c>
      <c r="P595" t="s">
        <v>33</v>
      </c>
      <c r="Q595" t="s">
        <v>27</v>
      </c>
      <c r="R595" t="s">
        <v>42</v>
      </c>
      <c r="S595" t="s">
        <v>29</v>
      </c>
      <c r="T595" t="s">
        <v>30</v>
      </c>
      <c r="U595">
        <f t="shared" si="45"/>
        <v>97941</v>
      </c>
      <c r="V595" t="str">
        <f t="shared" si="46"/>
        <v>Needs Improvement</v>
      </c>
      <c r="W595" t="str">
        <f t="shared" si="47"/>
        <v>High</v>
      </c>
      <c r="X595" t="str">
        <f t="shared" si="48"/>
        <v>Junior</v>
      </c>
      <c r="Y595" t="str">
        <f t="shared" si="49"/>
        <v>35-44</v>
      </c>
    </row>
    <row r="596" spans="1:25" x14ac:dyDescent="0.3">
      <c r="A596">
        <v>1595</v>
      </c>
      <c r="B596" t="s">
        <v>178</v>
      </c>
      <c r="C596" t="s">
        <v>21</v>
      </c>
      <c r="D596">
        <v>37</v>
      </c>
      <c r="E596" t="s">
        <v>38</v>
      </c>
      <c r="F596" t="s">
        <v>39</v>
      </c>
      <c r="G596" t="s">
        <v>51</v>
      </c>
      <c r="H596" t="s">
        <v>617</v>
      </c>
      <c r="I596">
        <v>2</v>
      </c>
      <c r="J596">
        <v>31694</v>
      </c>
      <c r="K596">
        <v>3.6</v>
      </c>
      <c r="L596">
        <v>88.1</v>
      </c>
      <c r="M596">
        <v>23</v>
      </c>
      <c r="N596">
        <v>30</v>
      </c>
      <c r="O596">
        <v>6939</v>
      </c>
      <c r="P596" t="s">
        <v>47</v>
      </c>
      <c r="Q596" t="s">
        <v>27</v>
      </c>
      <c r="R596" t="s">
        <v>28</v>
      </c>
      <c r="S596" t="s">
        <v>34</v>
      </c>
      <c r="T596" t="s">
        <v>30</v>
      </c>
      <c r="U596">
        <f t="shared" si="45"/>
        <v>38633</v>
      </c>
      <c r="V596" t="str">
        <f t="shared" si="46"/>
        <v>Needs Improvement</v>
      </c>
      <c r="W596" t="str">
        <f t="shared" si="47"/>
        <v>High</v>
      </c>
      <c r="X596" t="str">
        <f t="shared" si="48"/>
        <v>Junior</v>
      </c>
      <c r="Y596" t="str">
        <f t="shared" si="49"/>
        <v>35-44</v>
      </c>
    </row>
    <row r="597" spans="1:25" x14ac:dyDescent="0.3">
      <c r="A597">
        <v>1596</v>
      </c>
      <c r="B597" t="s">
        <v>68</v>
      </c>
      <c r="C597" t="s">
        <v>21</v>
      </c>
      <c r="D597">
        <v>33</v>
      </c>
      <c r="E597" t="s">
        <v>91</v>
      </c>
      <c r="F597" t="s">
        <v>92</v>
      </c>
      <c r="G597" t="s">
        <v>64</v>
      </c>
      <c r="H597" t="s">
        <v>618</v>
      </c>
      <c r="I597">
        <v>9</v>
      </c>
      <c r="J597">
        <v>88494</v>
      </c>
      <c r="K597">
        <v>3.9</v>
      </c>
      <c r="L597">
        <v>86.2</v>
      </c>
      <c r="M597">
        <v>9</v>
      </c>
      <c r="N597">
        <v>31</v>
      </c>
      <c r="O597">
        <v>5264</v>
      </c>
      <c r="P597" t="s">
        <v>33</v>
      </c>
      <c r="Q597" t="s">
        <v>48</v>
      </c>
      <c r="R597" t="s">
        <v>28</v>
      </c>
      <c r="S597" t="s">
        <v>29</v>
      </c>
      <c r="T597" t="s">
        <v>50</v>
      </c>
      <c r="U597">
        <f t="shared" si="45"/>
        <v>93758</v>
      </c>
      <c r="V597" t="str">
        <f t="shared" si="46"/>
        <v>Needs Improvement</v>
      </c>
      <c r="W597" t="str">
        <f t="shared" si="47"/>
        <v>Normal</v>
      </c>
      <c r="X597" t="str">
        <f t="shared" si="48"/>
        <v>Senior</v>
      </c>
      <c r="Y597" t="str">
        <f t="shared" si="49"/>
        <v>25-34</v>
      </c>
    </row>
    <row r="598" spans="1:25" x14ac:dyDescent="0.3">
      <c r="A598">
        <v>1597</v>
      </c>
      <c r="B598" t="s">
        <v>73</v>
      </c>
      <c r="C598" t="s">
        <v>37</v>
      </c>
      <c r="D598">
        <v>29</v>
      </c>
      <c r="E598" t="s">
        <v>38</v>
      </c>
      <c r="F598" t="s">
        <v>44</v>
      </c>
      <c r="G598" t="s">
        <v>59</v>
      </c>
      <c r="H598" t="s">
        <v>619</v>
      </c>
      <c r="I598">
        <v>1</v>
      </c>
      <c r="J598">
        <v>44941</v>
      </c>
      <c r="K598">
        <v>5</v>
      </c>
      <c r="L598">
        <v>89.4</v>
      </c>
      <c r="M598">
        <v>9</v>
      </c>
      <c r="N598">
        <v>26</v>
      </c>
      <c r="O598">
        <v>11024</v>
      </c>
      <c r="P598" t="s">
        <v>26</v>
      </c>
      <c r="Q598" t="s">
        <v>48</v>
      </c>
      <c r="R598" t="s">
        <v>70</v>
      </c>
      <c r="S598" t="s">
        <v>34</v>
      </c>
      <c r="T598" t="s">
        <v>30</v>
      </c>
      <c r="U598">
        <f t="shared" si="45"/>
        <v>55965</v>
      </c>
      <c r="V598" t="str">
        <f t="shared" si="46"/>
        <v>Needs Improvement</v>
      </c>
      <c r="W598" t="str">
        <f t="shared" si="47"/>
        <v>Normal</v>
      </c>
      <c r="X598" t="str">
        <f t="shared" si="48"/>
        <v>Junior</v>
      </c>
      <c r="Y598" t="str">
        <f t="shared" si="49"/>
        <v>25-34</v>
      </c>
    </row>
    <row r="599" spans="1:25" x14ac:dyDescent="0.3">
      <c r="A599">
        <v>1598</v>
      </c>
      <c r="B599" t="s">
        <v>61</v>
      </c>
      <c r="C599" t="s">
        <v>37</v>
      </c>
      <c r="D599">
        <v>42</v>
      </c>
      <c r="E599" t="s">
        <v>55</v>
      </c>
      <c r="F599" t="s">
        <v>79</v>
      </c>
      <c r="G599" t="s">
        <v>45</v>
      </c>
      <c r="H599" t="s">
        <v>620</v>
      </c>
      <c r="I599">
        <v>9</v>
      </c>
      <c r="J599">
        <v>78591</v>
      </c>
      <c r="K599">
        <v>3</v>
      </c>
      <c r="L599">
        <v>89.6</v>
      </c>
      <c r="M599">
        <v>3</v>
      </c>
      <c r="N599">
        <v>42</v>
      </c>
      <c r="O599">
        <v>2229</v>
      </c>
      <c r="P599" t="s">
        <v>41</v>
      </c>
      <c r="Q599" t="s">
        <v>27</v>
      </c>
      <c r="R599" t="s">
        <v>28</v>
      </c>
      <c r="S599" t="s">
        <v>29</v>
      </c>
      <c r="T599" t="s">
        <v>50</v>
      </c>
      <c r="U599">
        <f t="shared" si="45"/>
        <v>80820</v>
      </c>
      <c r="V599" t="str">
        <f t="shared" si="46"/>
        <v>Needs Improvement</v>
      </c>
      <c r="W599" t="str">
        <f t="shared" si="47"/>
        <v>Normal</v>
      </c>
      <c r="X599" t="str">
        <f t="shared" si="48"/>
        <v>Senior</v>
      </c>
      <c r="Y599" t="str">
        <f t="shared" si="49"/>
        <v>35-44</v>
      </c>
    </row>
    <row r="600" spans="1:25" x14ac:dyDescent="0.3">
      <c r="A600">
        <v>1599</v>
      </c>
      <c r="B600" t="s">
        <v>85</v>
      </c>
      <c r="C600" t="s">
        <v>37</v>
      </c>
      <c r="D600">
        <v>23</v>
      </c>
      <c r="E600" t="s">
        <v>55</v>
      </c>
      <c r="F600" t="s">
        <v>79</v>
      </c>
      <c r="G600" t="s">
        <v>24</v>
      </c>
      <c r="H600" t="s">
        <v>621</v>
      </c>
      <c r="I600">
        <v>3</v>
      </c>
      <c r="K600">
        <v>3.2</v>
      </c>
      <c r="L600">
        <v>93.9</v>
      </c>
      <c r="M600">
        <v>17</v>
      </c>
      <c r="N600">
        <v>60</v>
      </c>
      <c r="O600">
        <v>8918</v>
      </c>
      <c r="P600" t="s">
        <v>26</v>
      </c>
      <c r="Q600" t="s">
        <v>48</v>
      </c>
      <c r="R600" t="s">
        <v>28</v>
      </c>
      <c r="S600" t="s">
        <v>34</v>
      </c>
      <c r="T600" t="s">
        <v>35</v>
      </c>
      <c r="U600">
        <f t="shared" si="45"/>
        <v>8918</v>
      </c>
      <c r="V600" t="str">
        <f t="shared" si="46"/>
        <v>Needs Improvement</v>
      </c>
      <c r="W600" t="str">
        <f t="shared" si="47"/>
        <v>Normal</v>
      </c>
      <c r="X600" t="str">
        <f t="shared" si="48"/>
        <v>Mid</v>
      </c>
      <c r="Y600" t="str">
        <f t="shared" si="49"/>
        <v>20-24</v>
      </c>
    </row>
    <row r="601" spans="1:25" x14ac:dyDescent="0.3">
      <c r="A601">
        <v>1600</v>
      </c>
      <c r="B601" t="s">
        <v>61</v>
      </c>
      <c r="C601" t="s">
        <v>21</v>
      </c>
      <c r="D601">
        <v>25</v>
      </c>
      <c r="E601" t="s">
        <v>38</v>
      </c>
      <c r="F601" t="s">
        <v>44</v>
      </c>
      <c r="G601" t="s">
        <v>51</v>
      </c>
      <c r="H601" t="s">
        <v>622</v>
      </c>
      <c r="I601">
        <v>0</v>
      </c>
      <c r="J601">
        <v>77791</v>
      </c>
      <c r="K601">
        <v>2.8</v>
      </c>
      <c r="L601">
        <v>92.2</v>
      </c>
      <c r="M601">
        <v>2</v>
      </c>
      <c r="N601">
        <v>12</v>
      </c>
      <c r="O601">
        <v>3798</v>
      </c>
      <c r="P601" t="s">
        <v>47</v>
      </c>
      <c r="Q601" t="s">
        <v>48</v>
      </c>
      <c r="R601" t="s">
        <v>42</v>
      </c>
      <c r="S601" t="s">
        <v>29</v>
      </c>
      <c r="T601" t="s">
        <v>30</v>
      </c>
      <c r="U601">
        <f t="shared" si="45"/>
        <v>81589</v>
      </c>
      <c r="V601" t="str">
        <f t="shared" si="46"/>
        <v>Needs Improvement</v>
      </c>
      <c r="W601" t="str">
        <f t="shared" si="47"/>
        <v>Normal</v>
      </c>
      <c r="X601" t="str">
        <f t="shared" si="48"/>
        <v>Junior</v>
      </c>
      <c r="Y601" t="str">
        <f t="shared" si="49"/>
        <v>25-34</v>
      </c>
    </row>
    <row r="602" spans="1:25" x14ac:dyDescent="0.3">
      <c r="A602">
        <v>1601</v>
      </c>
      <c r="B602" t="s">
        <v>178</v>
      </c>
      <c r="C602" t="s">
        <v>21</v>
      </c>
      <c r="D602">
        <v>23</v>
      </c>
      <c r="E602" t="s">
        <v>55</v>
      </c>
      <c r="F602" t="s">
        <v>79</v>
      </c>
      <c r="G602" t="s">
        <v>59</v>
      </c>
      <c r="H602" t="s">
        <v>623</v>
      </c>
      <c r="I602">
        <v>7</v>
      </c>
      <c r="J602">
        <v>36670</v>
      </c>
      <c r="K602">
        <v>4.5999999999999996</v>
      </c>
      <c r="L602">
        <v>98.8</v>
      </c>
      <c r="M602">
        <v>14</v>
      </c>
      <c r="N602">
        <v>25</v>
      </c>
      <c r="O602">
        <v>4444</v>
      </c>
      <c r="P602" t="s">
        <v>26</v>
      </c>
      <c r="Q602" t="s">
        <v>48</v>
      </c>
      <c r="R602" t="s">
        <v>70</v>
      </c>
      <c r="S602" t="s">
        <v>34</v>
      </c>
      <c r="T602" t="s">
        <v>50</v>
      </c>
      <c r="U602">
        <f t="shared" si="45"/>
        <v>41114</v>
      </c>
      <c r="V602" t="str">
        <f t="shared" si="46"/>
        <v>Excellent</v>
      </c>
      <c r="W602" t="str">
        <f t="shared" si="47"/>
        <v>Normal</v>
      </c>
      <c r="X602" t="str">
        <f t="shared" si="48"/>
        <v>Senior</v>
      </c>
      <c r="Y602" t="str">
        <f t="shared" si="49"/>
        <v>20-24</v>
      </c>
    </row>
    <row r="603" spans="1:25" x14ac:dyDescent="0.3">
      <c r="A603">
        <v>1602</v>
      </c>
      <c r="B603" t="s">
        <v>83</v>
      </c>
      <c r="C603" t="s">
        <v>37</v>
      </c>
      <c r="D603">
        <v>36</v>
      </c>
      <c r="E603" t="s">
        <v>55</v>
      </c>
      <c r="F603" t="s">
        <v>56</v>
      </c>
      <c r="G603" t="s">
        <v>51</v>
      </c>
      <c r="H603" t="s">
        <v>495</v>
      </c>
      <c r="I603">
        <v>0</v>
      </c>
      <c r="J603">
        <v>74530</v>
      </c>
      <c r="K603">
        <v>3.1</v>
      </c>
      <c r="L603">
        <v>84.1</v>
      </c>
      <c r="M603">
        <v>9</v>
      </c>
      <c r="N603">
        <v>30</v>
      </c>
      <c r="O603">
        <v>13369</v>
      </c>
      <c r="P603" t="s">
        <v>41</v>
      </c>
      <c r="Q603" t="s">
        <v>27</v>
      </c>
      <c r="R603" t="s">
        <v>28</v>
      </c>
      <c r="S603" t="s">
        <v>29</v>
      </c>
      <c r="T603" t="s">
        <v>30</v>
      </c>
      <c r="U603">
        <f t="shared" si="45"/>
        <v>87899</v>
      </c>
      <c r="V603" t="str">
        <f t="shared" si="46"/>
        <v>Needs Improvement</v>
      </c>
      <c r="W603" t="str">
        <f t="shared" si="47"/>
        <v>Normal</v>
      </c>
      <c r="X603" t="str">
        <f t="shared" si="48"/>
        <v>Junior</v>
      </c>
      <c r="Y603" t="str">
        <f t="shared" si="49"/>
        <v>35-44</v>
      </c>
    </row>
    <row r="604" spans="1:25" x14ac:dyDescent="0.3">
      <c r="A604">
        <v>1603</v>
      </c>
      <c r="B604" t="s">
        <v>78</v>
      </c>
      <c r="C604" t="s">
        <v>21</v>
      </c>
      <c r="D604">
        <v>22</v>
      </c>
      <c r="E604" t="s">
        <v>22</v>
      </c>
      <c r="F604" t="s">
        <v>66</v>
      </c>
      <c r="G604" t="s">
        <v>45</v>
      </c>
      <c r="H604" t="s">
        <v>115</v>
      </c>
      <c r="I604">
        <v>9</v>
      </c>
      <c r="J604">
        <v>72218</v>
      </c>
      <c r="K604">
        <v>3.7</v>
      </c>
      <c r="L604">
        <v>95.8</v>
      </c>
      <c r="M604">
        <v>23</v>
      </c>
      <c r="N604">
        <v>37</v>
      </c>
      <c r="O604">
        <v>7204</v>
      </c>
      <c r="P604" t="s">
        <v>47</v>
      </c>
      <c r="Q604" t="s">
        <v>48</v>
      </c>
      <c r="R604" t="s">
        <v>28</v>
      </c>
      <c r="S604" t="s">
        <v>29</v>
      </c>
      <c r="T604" t="s">
        <v>50</v>
      </c>
      <c r="U604">
        <f t="shared" si="45"/>
        <v>79422</v>
      </c>
      <c r="V604" t="str">
        <f t="shared" si="46"/>
        <v>Excellent</v>
      </c>
      <c r="W604" t="str">
        <f t="shared" si="47"/>
        <v>High</v>
      </c>
      <c r="X604" t="str">
        <f t="shared" si="48"/>
        <v>Senior</v>
      </c>
      <c r="Y604" t="str">
        <f t="shared" si="49"/>
        <v>20-24</v>
      </c>
    </row>
    <row r="605" spans="1:25" x14ac:dyDescent="0.3">
      <c r="A605">
        <v>1604</v>
      </c>
      <c r="B605" t="s">
        <v>178</v>
      </c>
      <c r="C605" t="s">
        <v>21</v>
      </c>
      <c r="D605">
        <v>36</v>
      </c>
      <c r="E605" t="s">
        <v>55</v>
      </c>
      <c r="F605" t="s">
        <v>79</v>
      </c>
      <c r="G605" t="s">
        <v>45</v>
      </c>
      <c r="H605" t="s">
        <v>624</v>
      </c>
      <c r="I605">
        <v>8</v>
      </c>
      <c r="J605">
        <v>51878</v>
      </c>
      <c r="K605">
        <v>3</v>
      </c>
      <c r="L605">
        <v>99.7</v>
      </c>
      <c r="M605">
        <v>3</v>
      </c>
      <c r="N605">
        <v>25</v>
      </c>
      <c r="O605">
        <v>14177</v>
      </c>
      <c r="P605" t="s">
        <v>53</v>
      </c>
      <c r="Q605" t="s">
        <v>27</v>
      </c>
      <c r="R605" t="s">
        <v>28</v>
      </c>
      <c r="S605" t="s">
        <v>49</v>
      </c>
      <c r="T605" t="s">
        <v>50</v>
      </c>
      <c r="U605">
        <f t="shared" si="45"/>
        <v>66055</v>
      </c>
      <c r="V605" t="str">
        <f t="shared" si="46"/>
        <v>Excellent</v>
      </c>
      <c r="W605" t="str">
        <f t="shared" si="47"/>
        <v>Normal</v>
      </c>
      <c r="X605" t="str">
        <f t="shared" si="48"/>
        <v>Senior</v>
      </c>
      <c r="Y605" t="str">
        <f t="shared" si="49"/>
        <v>35-44</v>
      </c>
    </row>
    <row r="606" spans="1:25" x14ac:dyDescent="0.3">
      <c r="A606">
        <v>1605</v>
      </c>
      <c r="B606" t="s">
        <v>31</v>
      </c>
      <c r="C606" t="s">
        <v>21</v>
      </c>
      <c r="D606">
        <v>31</v>
      </c>
      <c r="E606" t="s">
        <v>22</v>
      </c>
      <c r="F606" t="s">
        <v>23</v>
      </c>
      <c r="G606" t="s">
        <v>51</v>
      </c>
      <c r="H606" t="s">
        <v>625</v>
      </c>
      <c r="I606">
        <v>10</v>
      </c>
      <c r="J606">
        <v>77681</v>
      </c>
      <c r="K606">
        <v>3.9</v>
      </c>
      <c r="L606">
        <v>86.5</v>
      </c>
      <c r="M606">
        <v>9</v>
      </c>
      <c r="N606">
        <v>5</v>
      </c>
      <c r="O606">
        <v>13385</v>
      </c>
      <c r="P606" t="s">
        <v>47</v>
      </c>
      <c r="Q606" t="s">
        <v>27</v>
      </c>
      <c r="R606" t="s">
        <v>28</v>
      </c>
      <c r="S606" t="s">
        <v>29</v>
      </c>
      <c r="T606" t="s">
        <v>50</v>
      </c>
      <c r="U606">
        <f t="shared" si="45"/>
        <v>91066</v>
      </c>
      <c r="V606" t="str">
        <f t="shared" si="46"/>
        <v>Needs Improvement</v>
      </c>
      <c r="W606" t="str">
        <f t="shared" si="47"/>
        <v>Normal</v>
      </c>
      <c r="X606" t="str">
        <f t="shared" si="48"/>
        <v>Senior</v>
      </c>
      <c r="Y606" t="str">
        <f t="shared" si="49"/>
        <v>25-34</v>
      </c>
    </row>
    <row r="607" spans="1:25" x14ac:dyDescent="0.3">
      <c r="A607">
        <v>1606</v>
      </c>
      <c r="B607" t="s">
        <v>54</v>
      </c>
      <c r="C607" t="s">
        <v>37</v>
      </c>
      <c r="D607">
        <v>26</v>
      </c>
      <c r="E607" t="s">
        <v>55</v>
      </c>
      <c r="F607" t="s">
        <v>56</v>
      </c>
      <c r="G607" t="s">
        <v>45</v>
      </c>
      <c r="H607" t="s">
        <v>626</v>
      </c>
      <c r="I607">
        <v>1</v>
      </c>
      <c r="J607">
        <v>59254</v>
      </c>
      <c r="K607">
        <v>2.8</v>
      </c>
      <c r="L607">
        <v>97.6</v>
      </c>
      <c r="M607">
        <v>7</v>
      </c>
      <c r="N607">
        <v>23</v>
      </c>
      <c r="O607">
        <v>12133</v>
      </c>
      <c r="P607" t="s">
        <v>53</v>
      </c>
      <c r="Q607" t="s">
        <v>48</v>
      </c>
      <c r="R607" t="s">
        <v>42</v>
      </c>
      <c r="S607" t="s">
        <v>49</v>
      </c>
      <c r="T607" t="s">
        <v>30</v>
      </c>
      <c r="U607">
        <f t="shared" si="45"/>
        <v>71387</v>
      </c>
      <c r="V607" t="str">
        <f t="shared" si="46"/>
        <v>Excellent</v>
      </c>
      <c r="W607" t="str">
        <f t="shared" si="47"/>
        <v>Normal</v>
      </c>
      <c r="X607" t="str">
        <f t="shared" si="48"/>
        <v>Junior</v>
      </c>
      <c r="Y607" t="str">
        <f t="shared" si="49"/>
        <v>25-34</v>
      </c>
    </row>
    <row r="608" spans="1:25" x14ac:dyDescent="0.3">
      <c r="A608">
        <v>1607</v>
      </c>
      <c r="B608" t="s">
        <v>85</v>
      </c>
      <c r="C608" t="s">
        <v>37</v>
      </c>
      <c r="D608">
        <v>26</v>
      </c>
      <c r="E608" t="s">
        <v>62</v>
      </c>
      <c r="F608" t="s">
        <v>97</v>
      </c>
      <c r="G608" t="s">
        <v>59</v>
      </c>
      <c r="H608" t="s">
        <v>377</v>
      </c>
      <c r="I608">
        <v>3</v>
      </c>
      <c r="J608">
        <v>75033</v>
      </c>
      <c r="K608">
        <v>4.4000000000000004</v>
      </c>
      <c r="L608">
        <v>91.4</v>
      </c>
      <c r="M608">
        <v>15</v>
      </c>
      <c r="N608">
        <v>33</v>
      </c>
      <c r="O608">
        <v>1164</v>
      </c>
      <c r="P608" t="s">
        <v>47</v>
      </c>
      <c r="Q608" t="s">
        <v>48</v>
      </c>
      <c r="R608" t="s">
        <v>58</v>
      </c>
      <c r="S608" t="s">
        <v>29</v>
      </c>
      <c r="T608" t="s">
        <v>35</v>
      </c>
      <c r="U608">
        <f t="shared" si="45"/>
        <v>76197</v>
      </c>
      <c r="V608" t="str">
        <f t="shared" si="46"/>
        <v>Needs Improvement</v>
      </c>
      <c r="W608" t="str">
        <f t="shared" si="47"/>
        <v>Normal</v>
      </c>
      <c r="X608" t="str">
        <f t="shared" si="48"/>
        <v>Mid</v>
      </c>
      <c r="Y608" t="str">
        <f t="shared" si="49"/>
        <v>25-34</v>
      </c>
    </row>
    <row r="609" spans="1:25" x14ac:dyDescent="0.3">
      <c r="A609">
        <v>1608</v>
      </c>
      <c r="B609" t="s">
        <v>178</v>
      </c>
      <c r="C609" t="s">
        <v>21</v>
      </c>
      <c r="D609">
        <v>43</v>
      </c>
      <c r="E609" t="s">
        <v>22</v>
      </c>
      <c r="F609" t="s">
        <v>23</v>
      </c>
      <c r="G609" t="s">
        <v>24</v>
      </c>
      <c r="H609" t="s">
        <v>627</v>
      </c>
      <c r="I609">
        <v>6</v>
      </c>
      <c r="J609">
        <v>37087</v>
      </c>
      <c r="K609">
        <v>3.7</v>
      </c>
      <c r="L609">
        <v>92.8</v>
      </c>
      <c r="M609">
        <v>19</v>
      </c>
      <c r="N609">
        <v>28</v>
      </c>
      <c r="O609">
        <v>7700</v>
      </c>
      <c r="P609" t="s">
        <v>26</v>
      </c>
      <c r="Q609" t="s">
        <v>48</v>
      </c>
      <c r="R609" t="s">
        <v>28</v>
      </c>
      <c r="S609" t="s">
        <v>34</v>
      </c>
      <c r="T609" t="s">
        <v>50</v>
      </c>
      <c r="U609">
        <f t="shared" si="45"/>
        <v>44787</v>
      </c>
      <c r="V609" t="str">
        <f t="shared" si="46"/>
        <v>Needs Improvement</v>
      </c>
      <c r="W609" t="str">
        <f t="shared" si="47"/>
        <v>Normal</v>
      </c>
      <c r="X609" t="str">
        <f t="shared" si="48"/>
        <v>Mid</v>
      </c>
      <c r="Y609" t="str">
        <f t="shared" si="49"/>
        <v>35-44</v>
      </c>
    </row>
    <row r="610" spans="1:25" x14ac:dyDescent="0.3">
      <c r="A610">
        <v>1609</v>
      </c>
      <c r="B610" t="s">
        <v>75</v>
      </c>
      <c r="C610" t="s">
        <v>21</v>
      </c>
      <c r="D610">
        <v>29</v>
      </c>
      <c r="E610" t="s">
        <v>22</v>
      </c>
      <c r="F610" t="s">
        <v>66</v>
      </c>
      <c r="G610" t="s">
        <v>45</v>
      </c>
      <c r="H610" t="s">
        <v>628</v>
      </c>
      <c r="I610">
        <v>6</v>
      </c>
      <c r="J610">
        <v>67091</v>
      </c>
      <c r="K610">
        <v>3.7</v>
      </c>
      <c r="L610">
        <v>99.2</v>
      </c>
      <c r="M610">
        <v>20</v>
      </c>
      <c r="N610">
        <v>36</v>
      </c>
      <c r="O610">
        <v>1094</v>
      </c>
      <c r="P610" t="s">
        <v>53</v>
      </c>
      <c r="Q610" t="s">
        <v>27</v>
      </c>
      <c r="R610" t="s">
        <v>28</v>
      </c>
      <c r="S610" t="s">
        <v>49</v>
      </c>
      <c r="T610" t="s">
        <v>50</v>
      </c>
      <c r="U610">
        <f t="shared" si="45"/>
        <v>68185</v>
      </c>
      <c r="V610" t="str">
        <f t="shared" si="46"/>
        <v>Excellent</v>
      </c>
      <c r="W610" t="str">
        <f t="shared" si="47"/>
        <v>Normal</v>
      </c>
      <c r="X610" t="str">
        <f t="shared" si="48"/>
        <v>Mid</v>
      </c>
      <c r="Y610" t="str">
        <f t="shared" si="49"/>
        <v>25-34</v>
      </c>
    </row>
    <row r="611" spans="1:25" x14ac:dyDescent="0.3">
      <c r="A611">
        <v>1610</v>
      </c>
      <c r="B611" t="s">
        <v>61</v>
      </c>
      <c r="C611" t="s">
        <v>21</v>
      </c>
      <c r="D611">
        <v>28</v>
      </c>
      <c r="E611" t="s">
        <v>38</v>
      </c>
      <c r="F611" t="s">
        <v>44</v>
      </c>
      <c r="G611" t="s">
        <v>51</v>
      </c>
      <c r="H611" t="s">
        <v>629</v>
      </c>
      <c r="I611">
        <v>7</v>
      </c>
      <c r="J611">
        <v>48277</v>
      </c>
      <c r="K611">
        <v>3.3</v>
      </c>
      <c r="L611">
        <v>96.8</v>
      </c>
      <c r="M611">
        <v>3</v>
      </c>
      <c r="N611">
        <v>10</v>
      </c>
      <c r="O611">
        <v>2261</v>
      </c>
      <c r="P611" t="s">
        <v>53</v>
      </c>
      <c r="Q611" t="s">
        <v>27</v>
      </c>
      <c r="R611" t="s">
        <v>28</v>
      </c>
      <c r="S611" t="s">
        <v>34</v>
      </c>
      <c r="T611" t="s">
        <v>50</v>
      </c>
      <c r="U611">
        <f t="shared" si="45"/>
        <v>50538</v>
      </c>
      <c r="V611" t="str">
        <f t="shared" si="46"/>
        <v>Excellent</v>
      </c>
      <c r="W611" t="str">
        <f t="shared" si="47"/>
        <v>Normal</v>
      </c>
      <c r="X611" t="str">
        <f t="shared" si="48"/>
        <v>Senior</v>
      </c>
      <c r="Y611" t="str">
        <f t="shared" si="49"/>
        <v>25-34</v>
      </c>
    </row>
    <row r="612" spans="1:25" x14ac:dyDescent="0.3">
      <c r="A612">
        <v>1611</v>
      </c>
      <c r="B612" t="s">
        <v>31</v>
      </c>
      <c r="C612" t="s">
        <v>21</v>
      </c>
      <c r="D612">
        <v>33</v>
      </c>
      <c r="E612" t="s">
        <v>55</v>
      </c>
      <c r="F612" t="s">
        <v>56</v>
      </c>
      <c r="G612" t="s">
        <v>64</v>
      </c>
      <c r="H612" t="s">
        <v>630</v>
      </c>
      <c r="I612">
        <v>2</v>
      </c>
      <c r="J612">
        <v>64018</v>
      </c>
      <c r="K612">
        <v>2.6</v>
      </c>
      <c r="L612">
        <v>96.7</v>
      </c>
      <c r="M612">
        <v>4</v>
      </c>
      <c r="N612">
        <v>60</v>
      </c>
      <c r="O612">
        <v>9001</v>
      </c>
      <c r="P612" t="s">
        <v>47</v>
      </c>
      <c r="Q612" t="s">
        <v>27</v>
      </c>
      <c r="R612" t="s">
        <v>42</v>
      </c>
      <c r="S612" t="s">
        <v>49</v>
      </c>
      <c r="T612" t="s">
        <v>30</v>
      </c>
      <c r="U612">
        <f t="shared" si="45"/>
        <v>73019</v>
      </c>
      <c r="V612" t="str">
        <f t="shared" si="46"/>
        <v>Excellent</v>
      </c>
      <c r="W612" t="str">
        <f t="shared" si="47"/>
        <v>Normal</v>
      </c>
      <c r="X612" t="str">
        <f t="shared" si="48"/>
        <v>Junior</v>
      </c>
      <c r="Y612" t="str">
        <f t="shared" si="49"/>
        <v>25-34</v>
      </c>
    </row>
    <row r="613" spans="1:25" x14ac:dyDescent="0.3">
      <c r="A613">
        <v>1612</v>
      </c>
      <c r="B613" t="s">
        <v>68</v>
      </c>
      <c r="C613" t="s">
        <v>37</v>
      </c>
      <c r="D613">
        <v>27</v>
      </c>
      <c r="E613" t="s">
        <v>38</v>
      </c>
      <c r="F613" t="s">
        <v>44</v>
      </c>
      <c r="G613" t="s">
        <v>59</v>
      </c>
      <c r="H613" t="s">
        <v>631</v>
      </c>
      <c r="I613">
        <v>0</v>
      </c>
      <c r="J613">
        <v>46615</v>
      </c>
      <c r="K613">
        <v>3.1</v>
      </c>
      <c r="L613">
        <v>85.9</v>
      </c>
      <c r="M613">
        <v>20</v>
      </c>
      <c r="N613">
        <v>10</v>
      </c>
      <c r="O613">
        <v>12199</v>
      </c>
      <c r="P613" t="s">
        <v>26</v>
      </c>
      <c r="Q613" t="s">
        <v>27</v>
      </c>
      <c r="R613" t="s">
        <v>28</v>
      </c>
      <c r="S613" t="s">
        <v>34</v>
      </c>
      <c r="T613" t="s">
        <v>30</v>
      </c>
      <c r="U613">
        <f t="shared" si="45"/>
        <v>58814</v>
      </c>
      <c r="V613" t="str">
        <f t="shared" si="46"/>
        <v>Needs Improvement</v>
      </c>
      <c r="W613" t="str">
        <f t="shared" si="47"/>
        <v>Normal</v>
      </c>
      <c r="X613" t="str">
        <f t="shared" si="48"/>
        <v>Junior</v>
      </c>
      <c r="Y613" t="str">
        <f t="shared" si="49"/>
        <v>25-34</v>
      </c>
    </row>
    <row r="614" spans="1:25" x14ac:dyDescent="0.3">
      <c r="A614">
        <v>1613</v>
      </c>
      <c r="B614" t="s">
        <v>111</v>
      </c>
      <c r="C614" t="s">
        <v>21</v>
      </c>
      <c r="D614">
        <v>35</v>
      </c>
      <c r="E614" t="s">
        <v>38</v>
      </c>
      <c r="F614" t="s">
        <v>44</v>
      </c>
      <c r="G614" t="s">
        <v>64</v>
      </c>
      <c r="H614" t="s">
        <v>437</v>
      </c>
      <c r="I614">
        <v>0</v>
      </c>
      <c r="J614">
        <v>80297</v>
      </c>
      <c r="K614">
        <v>3.6</v>
      </c>
      <c r="L614">
        <v>90.2</v>
      </c>
      <c r="M614">
        <v>14</v>
      </c>
      <c r="N614">
        <v>48</v>
      </c>
      <c r="O614">
        <v>11545</v>
      </c>
      <c r="P614" t="s">
        <v>26</v>
      </c>
      <c r="Q614" t="s">
        <v>48</v>
      </c>
      <c r="R614" t="s">
        <v>28</v>
      </c>
      <c r="S614" t="s">
        <v>29</v>
      </c>
      <c r="T614" t="s">
        <v>30</v>
      </c>
      <c r="U614">
        <f t="shared" si="45"/>
        <v>91842</v>
      </c>
      <c r="V614" t="str">
        <f t="shared" si="46"/>
        <v>Needs Improvement</v>
      </c>
      <c r="W614" t="str">
        <f t="shared" si="47"/>
        <v>Normal</v>
      </c>
      <c r="X614" t="str">
        <f t="shared" si="48"/>
        <v>Junior</v>
      </c>
      <c r="Y614" t="str">
        <f t="shared" si="49"/>
        <v>35-44</v>
      </c>
    </row>
    <row r="615" spans="1:25" x14ac:dyDescent="0.3">
      <c r="A615">
        <v>1614</v>
      </c>
      <c r="B615" t="s">
        <v>178</v>
      </c>
      <c r="C615" t="s">
        <v>21</v>
      </c>
      <c r="D615">
        <v>34</v>
      </c>
      <c r="E615" t="s">
        <v>38</v>
      </c>
      <c r="F615" t="s">
        <v>39</v>
      </c>
      <c r="G615" t="s">
        <v>64</v>
      </c>
      <c r="H615" t="s">
        <v>632</v>
      </c>
      <c r="I615">
        <v>0</v>
      </c>
      <c r="J615">
        <v>43275</v>
      </c>
      <c r="K615">
        <v>3.4</v>
      </c>
      <c r="L615">
        <v>97.1</v>
      </c>
      <c r="M615">
        <v>19</v>
      </c>
      <c r="N615">
        <v>56</v>
      </c>
      <c r="O615">
        <v>3490</v>
      </c>
      <c r="P615" t="s">
        <v>53</v>
      </c>
      <c r="Q615" t="s">
        <v>48</v>
      </c>
      <c r="R615" t="s">
        <v>28</v>
      </c>
      <c r="S615" t="s">
        <v>34</v>
      </c>
      <c r="T615" t="s">
        <v>30</v>
      </c>
      <c r="U615">
        <f t="shared" si="45"/>
        <v>46765</v>
      </c>
      <c r="V615" t="str">
        <f t="shared" si="46"/>
        <v>Excellent</v>
      </c>
      <c r="W615" t="str">
        <f t="shared" si="47"/>
        <v>Normal</v>
      </c>
      <c r="X615" t="str">
        <f t="shared" si="48"/>
        <v>Junior</v>
      </c>
      <c r="Y615" t="str">
        <f t="shared" si="49"/>
        <v>25-34</v>
      </c>
    </row>
    <row r="616" spans="1:25" x14ac:dyDescent="0.3">
      <c r="A616">
        <v>1615</v>
      </c>
      <c r="B616" t="s">
        <v>68</v>
      </c>
      <c r="C616" t="s">
        <v>21</v>
      </c>
      <c r="D616">
        <v>24</v>
      </c>
      <c r="E616" t="s">
        <v>55</v>
      </c>
      <c r="F616" t="s">
        <v>56</v>
      </c>
      <c r="G616" t="s">
        <v>64</v>
      </c>
      <c r="H616" t="s">
        <v>633</v>
      </c>
      <c r="I616">
        <v>4</v>
      </c>
      <c r="J616">
        <v>51694</v>
      </c>
      <c r="K616">
        <v>2.5</v>
      </c>
      <c r="L616">
        <v>98.6</v>
      </c>
      <c r="M616">
        <v>8</v>
      </c>
      <c r="N616">
        <v>14</v>
      </c>
      <c r="O616">
        <v>9582</v>
      </c>
      <c r="P616" t="s">
        <v>53</v>
      </c>
      <c r="Q616" t="s">
        <v>48</v>
      </c>
      <c r="R616" t="s">
        <v>42</v>
      </c>
      <c r="S616" t="s">
        <v>49</v>
      </c>
      <c r="T616" t="s">
        <v>35</v>
      </c>
      <c r="U616">
        <f t="shared" si="45"/>
        <v>61276</v>
      </c>
      <c r="V616" t="str">
        <f t="shared" si="46"/>
        <v>Excellent</v>
      </c>
      <c r="W616" t="str">
        <f t="shared" si="47"/>
        <v>Normal</v>
      </c>
      <c r="X616" t="str">
        <f t="shared" si="48"/>
        <v>Mid</v>
      </c>
      <c r="Y616" t="str">
        <f t="shared" si="49"/>
        <v>20-24</v>
      </c>
    </row>
    <row r="617" spans="1:25" x14ac:dyDescent="0.3">
      <c r="A617">
        <v>1616</v>
      </c>
      <c r="B617" t="s">
        <v>178</v>
      </c>
      <c r="C617" t="s">
        <v>21</v>
      </c>
      <c r="D617">
        <v>29</v>
      </c>
      <c r="E617" t="s">
        <v>38</v>
      </c>
      <c r="F617" t="s">
        <v>39</v>
      </c>
      <c r="G617" t="s">
        <v>24</v>
      </c>
      <c r="H617" t="s">
        <v>634</v>
      </c>
      <c r="I617">
        <v>10</v>
      </c>
      <c r="J617">
        <v>44509</v>
      </c>
      <c r="K617">
        <v>5</v>
      </c>
      <c r="L617">
        <v>88.2</v>
      </c>
      <c r="M617">
        <v>3</v>
      </c>
      <c r="N617">
        <v>44</v>
      </c>
      <c r="O617">
        <v>5806</v>
      </c>
      <c r="P617" t="s">
        <v>53</v>
      </c>
      <c r="Q617" t="s">
        <v>27</v>
      </c>
      <c r="R617" t="s">
        <v>70</v>
      </c>
      <c r="S617" t="s">
        <v>34</v>
      </c>
      <c r="T617" t="s">
        <v>50</v>
      </c>
      <c r="U617">
        <f t="shared" si="45"/>
        <v>50315</v>
      </c>
      <c r="V617" t="str">
        <f t="shared" si="46"/>
        <v>Needs Improvement</v>
      </c>
      <c r="W617" t="str">
        <f t="shared" si="47"/>
        <v>Normal</v>
      </c>
      <c r="X617" t="str">
        <f t="shared" si="48"/>
        <v>Senior</v>
      </c>
      <c r="Y617" t="str">
        <f t="shared" si="49"/>
        <v>25-34</v>
      </c>
    </row>
    <row r="618" spans="1:25" x14ac:dyDescent="0.3">
      <c r="A618">
        <v>1617</v>
      </c>
      <c r="B618" t="s">
        <v>73</v>
      </c>
      <c r="C618" t="s">
        <v>21</v>
      </c>
      <c r="D618">
        <v>28</v>
      </c>
      <c r="E618" t="s">
        <v>38</v>
      </c>
      <c r="F618" t="s">
        <v>39</v>
      </c>
      <c r="G618" t="s">
        <v>59</v>
      </c>
      <c r="H618" t="s">
        <v>81</v>
      </c>
      <c r="I618">
        <v>8</v>
      </c>
      <c r="J618">
        <v>60980</v>
      </c>
      <c r="K618">
        <v>3.2</v>
      </c>
      <c r="L618">
        <v>89.7</v>
      </c>
      <c r="M618">
        <v>7</v>
      </c>
      <c r="N618">
        <v>36</v>
      </c>
      <c r="O618">
        <v>7273</v>
      </c>
      <c r="P618" t="s">
        <v>53</v>
      </c>
      <c r="Q618" t="s">
        <v>27</v>
      </c>
      <c r="R618" t="s">
        <v>28</v>
      </c>
      <c r="S618" t="s">
        <v>49</v>
      </c>
      <c r="T618" t="s">
        <v>50</v>
      </c>
      <c r="U618">
        <f t="shared" si="45"/>
        <v>68253</v>
      </c>
      <c r="V618" t="str">
        <f t="shared" si="46"/>
        <v>Needs Improvement</v>
      </c>
      <c r="W618" t="str">
        <f t="shared" si="47"/>
        <v>Normal</v>
      </c>
      <c r="X618" t="str">
        <f t="shared" si="48"/>
        <v>Senior</v>
      </c>
      <c r="Y618" t="str">
        <f t="shared" si="49"/>
        <v>25-34</v>
      </c>
    </row>
    <row r="619" spans="1:25" x14ac:dyDescent="0.3">
      <c r="A619">
        <v>1618</v>
      </c>
      <c r="B619" t="s">
        <v>36</v>
      </c>
      <c r="C619" t="s">
        <v>37</v>
      </c>
      <c r="D619">
        <v>24</v>
      </c>
      <c r="E619" t="s">
        <v>62</v>
      </c>
      <c r="F619" t="s">
        <v>63</v>
      </c>
      <c r="G619" t="s">
        <v>64</v>
      </c>
      <c r="H619" t="s">
        <v>635</v>
      </c>
      <c r="I619">
        <v>2</v>
      </c>
      <c r="J619">
        <v>26776</v>
      </c>
      <c r="K619">
        <v>3.2</v>
      </c>
      <c r="L619">
        <v>90.1</v>
      </c>
      <c r="M619">
        <v>11</v>
      </c>
      <c r="N619">
        <v>57</v>
      </c>
      <c r="O619">
        <v>12831</v>
      </c>
      <c r="P619" t="s">
        <v>53</v>
      </c>
      <c r="Q619" t="s">
        <v>27</v>
      </c>
      <c r="R619" t="s">
        <v>28</v>
      </c>
      <c r="S619" t="s">
        <v>34</v>
      </c>
      <c r="T619" t="s">
        <v>30</v>
      </c>
      <c r="U619">
        <f t="shared" si="45"/>
        <v>39607</v>
      </c>
      <c r="V619" t="str">
        <f t="shared" si="46"/>
        <v>Needs Improvement</v>
      </c>
      <c r="W619" t="str">
        <f t="shared" si="47"/>
        <v>Normal</v>
      </c>
      <c r="X619" t="str">
        <f t="shared" si="48"/>
        <v>Junior</v>
      </c>
      <c r="Y619" t="str">
        <f t="shared" si="49"/>
        <v>20-24</v>
      </c>
    </row>
    <row r="620" spans="1:25" x14ac:dyDescent="0.3">
      <c r="A620">
        <v>1619</v>
      </c>
      <c r="B620" t="s">
        <v>68</v>
      </c>
      <c r="C620" t="s">
        <v>21</v>
      </c>
      <c r="D620">
        <v>43</v>
      </c>
      <c r="E620" t="s">
        <v>38</v>
      </c>
      <c r="F620" t="s">
        <v>39</v>
      </c>
      <c r="G620" t="s">
        <v>59</v>
      </c>
      <c r="H620" t="s">
        <v>636</v>
      </c>
      <c r="I620">
        <v>4</v>
      </c>
      <c r="J620">
        <v>58150</v>
      </c>
      <c r="K620">
        <v>4.8</v>
      </c>
      <c r="L620">
        <v>95.3</v>
      </c>
      <c r="M620">
        <v>13</v>
      </c>
      <c r="N620">
        <v>8</v>
      </c>
      <c r="O620">
        <v>5864</v>
      </c>
      <c r="P620" t="s">
        <v>41</v>
      </c>
      <c r="Q620" t="s">
        <v>48</v>
      </c>
      <c r="R620" t="s">
        <v>70</v>
      </c>
      <c r="S620" t="s">
        <v>49</v>
      </c>
      <c r="T620" t="s">
        <v>35</v>
      </c>
      <c r="U620">
        <f t="shared" si="45"/>
        <v>64014</v>
      </c>
      <c r="V620" t="str">
        <f t="shared" si="46"/>
        <v>Excellent</v>
      </c>
      <c r="W620" t="str">
        <f t="shared" si="47"/>
        <v>Normal</v>
      </c>
      <c r="X620" t="str">
        <f t="shared" si="48"/>
        <v>Mid</v>
      </c>
      <c r="Y620" t="str">
        <f t="shared" si="49"/>
        <v>35-44</v>
      </c>
    </row>
    <row r="621" spans="1:25" x14ac:dyDescent="0.3">
      <c r="A621">
        <v>1620</v>
      </c>
      <c r="B621" t="s">
        <v>73</v>
      </c>
      <c r="C621" t="s">
        <v>37</v>
      </c>
      <c r="D621">
        <v>27</v>
      </c>
      <c r="E621" t="s">
        <v>91</v>
      </c>
      <c r="F621" t="s">
        <v>92</v>
      </c>
      <c r="G621" t="s">
        <v>59</v>
      </c>
      <c r="H621" t="s">
        <v>637</v>
      </c>
      <c r="I621">
        <v>3</v>
      </c>
      <c r="J621">
        <v>70420</v>
      </c>
      <c r="K621">
        <v>4.8</v>
      </c>
      <c r="L621">
        <v>95.1</v>
      </c>
      <c r="M621">
        <v>9</v>
      </c>
      <c r="N621">
        <v>44</v>
      </c>
      <c r="O621">
        <v>5646</v>
      </c>
      <c r="P621" t="s">
        <v>47</v>
      </c>
      <c r="Q621" t="s">
        <v>48</v>
      </c>
      <c r="R621" t="s">
        <v>70</v>
      </c>
      <c r="S621" t="s">
        <v>29</v>
      </c>
      <c r="T621" t="s">
        <v>35</v>
      </c>
      <c r="U621">
        <f t="shared" si="45"/>
        <v>76066</v>
      </c>
      <c r="V621" t="str">
        <f t="shared" si="46"/>
        <v>Excellent</v>
      </c>
      <c r="W621" t="str">
        <f t="shared" si="47"/>
        <v>Normal</v>
      </c>
      <c r="X621" t="str">
        <f t="shared" si="48"/>
        <v>Mid</v>
      </c>
      <c r="Y621" t="str">
        <f t="shared" si="49"/>
        <v>25-34</v>
      </c>
    </row>
    <row r="622" spans="1:25" x14ac:dyDescent="0.3">
      <c r="A622">
        <v>1621</v>
      </c>
      <c r="B622" t="s">
        <v>83</v>
      </c>
      <c r="C622" t="s">
        <v>21</v>
      </c>
      <c r="D622">
        <v>30</v>
      </c>
      <c r="E622" t="s">
        <v>38</v>
      </c>
      <c r="F622" t="s">
        <v>39</v>
      </c>
      <c r="G622" t="s">
        <v>64</v>
      </c>
      <c r="H622" t="s">
        <v>638</v>
      </c>
      <c r="I622">
        <v>9</v>
      </c>
      <c r="J622">
        <v>56224</v>
      </c>
      <c r="K622">
        <v>2.8</v>
      </c>
      <c r="L622">
        <v>91.3</v>
      </c>
      <c r="M622">
        <v>20</v>
      </c>
      <c r="N622">
        <v>54</v>
      </c>
      <c r="O622">
        <v>9770</v>
      </c>
      <c r="P622" t="s">
        <v>41</v>
      </c>
      <c r="Q622" t="s">
        <v>27</v>
      </c>
      <c r="R622" t="s">
        <v>42</v>
      </c>
      <c r="S622" t="s">
        <v>49</v>
      </c>
      <c r="T622" t="s">
        <v>50</v>
      </c>
      <c r="U622">
        <f t="shared" si="45"/>
        <v>65994</v>
      </c>
      <c r="V622" t="str">
        <f t="shared" si="46"/>
        <v>Needs Improvement</v>
      </c>
      <c r="W622" t="str">
        <f t="shared" si="47"/>
        <v>Normal</v>
      </c>
      <c r="X622" t="str">
        <f t="shared" si="48"/>
        <v>Senior</v>
      </c>
      <c r="Y622" t="str">
        <f t="shared" si="49"/>
        <v>25-34</v>
      </c>
    </row>
    <row r="623" spans="1:25" x14ac:dyDescent="0.3">
      <c r="A623">
        <v>1622</v>
      </c>
      <c r="B623" t="s">
        <v>71</v>
      </c>
      <c r="C623" t="s">
        <v>37</v>
      </c>
      <c r="D623">
        <v>39</v>
      </c>
      <c r="E623" t="s">
        <v>55</v>
      </c>
      <c r="F623" t="s">
        <v>79</v>
      </c>
      <c r="G623" t="s">
        <v>24</v>
      </c>
      <c r="H623" t="s">
        <v>639</v>
      </c>
      <c r="I623">
        <v>9</v>
      </c>
      <c r="J623">
        <v>90668</v>
      </c>
      <c r="K623">
        <v>2.8</v>
      </c>
      <c r="L623">
        <v>90.8</v>
      </c>
      <c r="M623">
        <v>24</v>
      </c>
      <c r="N623">
        <v>30</v>
      </c>
      <c r="O623">
        <v>8005</v>
      </c>
      <c r="P623" t="s">
        <v>26</v>
      </c>
      <c r="Q623" t="s">
        <v>48</v>
      </c>
      <c r="R623" t="s">
        <v>42</v>
      </c>
      <c r="S623" t="s">
        <v>29</v>
      </c>
      <c r="T623" t="s">
        <v>50</v>
      </c>
      <c r="U623">
        <f t="shared" si="45"/>
        <v>98673</v>
      </c>
      <c r="V623" t="str">
        <f t="shared" si="46"/>
        <v>Needs Improvement</v>
      </c>
      <c r="W623" t="str">
        <f t="shared" si="47"/>
        <v>High</v>
      </c>
      <c r="X623" t="str">
        <f t="shared" si="48"/>
        <v>Senior</v>
      </c>
      <c r="Y623" t="str">
        <f t="shared" si="49"/>
        <v>35-44</v>
      </c>
    </row>
    <row r="624" spans="1:25" x14ac:dyDescent="0.3">
      <c r="A624">
        <v>1623</v>
      </c>
      <c r="B624" t="s">
        <v>43</v>
      </c>
      <c r="C624" t="s">
        <v>37</v>
      </c>
      <c r="D624">
        <v>42</v>
      </c>
      <c r="E624" t="s">
        <v>55</v>
      </c>
      <c r="F624" t="s">
        <v>79</v>
      </c>
      <c r="G624" t="s">
        <v>59</v>
      </c>
      <c r="H624" t="s">
        <v>640</v>
      </c>
      <c r="I624">
        <v>4</v>
      </c>
      <c r="J624">
        <v>59325</v>
      </c>
      <c r="K624">
        <v>4.5</v>
      </c>
      <c r="L624">
        <v>91.1</v>
      </c>
      <c r="M624">
        <v>23</v>
      </c>
      <c r="N624">
        <v>8</v>
      </c>
      <c r="O624">
        <v>3078</v>
      </c>
      <c r="P624" t="s">
        <v>41</v>
      </c>
      <c r="Q624" t="s">
        <v>27</v>
      </c>
      <c r="R624" t="s">
        <v>70</v>
      </c>
      <c r="S624" t="s">
        <v>49</v>
      </c>
      <c r="T624" t="s">
        <v>35</v>
      </c>
      <c r="U624">
        <f t="shared" si="45"/>
        <v>62403</v>
      </c>
      <c r="V624" t="str">
        <f t="shared" si="46"/>
        <v>Needs Improvement</v>
      </c>
      <c r="W624" t="str">
        <f t="shared" si="47"/>
        <v>High</v>
      </c>
      <c r="X624" t="str">
        <f t="shared" si="48"/>
        <v>Mid</v>
      </c>
      <c r="Y624" t="str">
        <f t="shared" si="49"/>
        <v>35-44</v>
      </c>
    </row>
    <row r="625" spans="1:25" x14ac:dyDescent="0.3">
      <c r="A625">
        <v>1624</v>
      </c>
      <c r="B625" t="s">
        <v>124</v>
      </c>
      <c r="C625" t="s">
        <v>21</v>
      </c>
      <c r="D625">
        <v>28</v>
      </c>
      <c r="E625" t="s">
        <v>38</v>
      </c>
      <c r="F625" t="s">
        <v>44</v>
      </c>
      <c r="G625" t="s">
        <v>24</v>
      </c>
      <c r="H625" t="s">
        <v>594</v>
      </c>
      <c r="I625">
        <v>1</v>
      </c>
      <c r="J625">
        <v>94124</v>
      </c>
      <c r="K625">
        <v>4.8</v>
      </c>
      <c r="L625">
        <v>83.5</v>
      </c>
      <c r="M625">
        <v>22</v>
      </c>
      <c r="N625">
        <v>22</v>
      </c>
      <c r="O625">
        <v>3016</v>
      </c>
      <c r="P625" t="s">
        <v>33</v>
      </c>
      <c r="Q625" t="s">
        <v>48</v>
      </c>
      <c r="R625" t="s">
        <v>70</v>
      </c>
      <c r="S625" t="s">
        <v>29</v>
      </c>
      <c r="T625" t="s">
        <v>30</v>
      </c>
      <c r="U625">
        <f t="shared" si="45"/>
        <v>97140</v>
      </c>
      <c r="V625" t="str">
        <f t="shared" si="46"/>
        <v>Needs Improvement</v>
      </c>
      <c r="W625" t="str">
        <f t="shared" si="47"/>
        <v>High</v>
      </c>
      <c r="X625" t="str">
        <f t="shared" si="48"/>
        <v>Junior</v>
      </c>
      <c r="Y625" t="str">
        <f t="shared" si="49"/>
        <v>25-34</v>
      </c>
    </row>
    <row r="626" spans="1:25" x14ac:dyDescent="0.3">
      <c r="A626">
        <v>1625</v>
      </c>
      <c r="B626" t="s">
        <v>121</v>
      </c>
      <c r="C626" t="s">
        <v>37</v>
      </c>
      <c r="D626">
        <v>45</v>
      </c>
      <c r="E626" t="s">
        <v>55</v>
      </c>
      <c r="F626" t="s">
        <v>56</v>
      </c>
      <c r="G626" t="s">
        <v>64</v>
      </c>
      <c r="H626" t="s">
        <v>641</v>
      </c>
      <c r="I626">
        <v>8</v>
      </c>
      <c r="J626">
        <v>59565</v>
      </c>
      <c r="K626">
        <v>3.3</v>
      </c>
      <c r="L626">
        <v>93.3</v>
      </c>
      <c r="M626">
        <v>14</v>
      </c>
      <c r="N626">
        <v>60</v>
      </c>
      <c r="O626">
        <v>11439</v>
      </c>
      <c r="P626" t="s">
        <v>53</v>
      </c>
      <c r="Q626" t="s">
        <v>27</v>
      </c>
      <c r="R626" t="s">
        <v>28</v>
      </c>
      <c r="S626" t="s">
        <v>49</v>
      </c>
      <c r="T626" t="s">
        <v>50</v>
      </c>
      <c r="U626">
        <f t="shared" si="45"/>
        <v>71004</v>
      </c>
      <c r="V626" t="str">
        <f t="shared" si="46"/>
        <v>Needs Improvement</v>
      </c>
      <c r="W626" t="str">
        <f t="shared" si="47"/>
        <v>Normal</v>
      </c>
      <c r="X626" t="str">
        <f t="shared" si="48"/>
        <v>Senior</v>
      </c>
      <c r="Y626" t="str">
        <f t="shared" si="49"/>
        <v>45+</v>
      </c>
    </row>
    <row r="627" spans="1:25" x14ac:dyDescent="0.3">
      <c r="A627">
        <v>1626</v>
      </c>
      <c r="B627" t="s">
        <v>78</v>
      </c>
      <c r="C627" t="s">
        <v>37</v>
      </c>
      <c r="D627">
        <v>34</v>
      </c>
      <c r="E627" t="s">
        <v>38</v>
      </c>
      <c r="F627" t="s">
        <v>44</v>
      </c>
      <c r="G627" t="s">
        <v>24</v>
      </c>
      <c r="H627" t="s">
        <v>642</v>
      </c>
      <c r="I627">
        <v>9</v>
      </c>
      <c r="J627">
        <v>29076</v>
      </c>
      <c r="K627">
        <v>3.7</v>
      </c>
      <c r="L627">
        <v>86.5</v>
      </c>
      <c r="M627">
        <v>3</v>
      </c>
      <c r="N627">
        <v>14</v>
      </c>
      <c r="O627">
        <v>13558</v>
      </c>
      <c r="P627" t="s">
        <v>41</v>
      </c>
      <c r="Q627" t="s">
        <v>27</v>
      </c>
      <c r="R627" t="s">
        <v>28</v>
      </c>
      <c r="S627" t="s">
        <v>34</v>
      </c>
      <c r="T627" t="s">
        <v>50</v>
      </c>
      <c r="U627">
        <f t="shared" si="45"/>
        <v>42634</v>
      </c>
      <c r="V627" t="str">
        <f t="shared" si="46"/>
        <v>Needs Improvement</v>
      </c>
      <c r="W627" t="str">
        <f t="shared" si="47"/>
        <v>Normal</v>
      </c>
      <c r="X627" t="str">
        <f t="shared" si="48"/>
        <v>Senior</v>
      </c>
      <c r="Y627" t="str">
        <f t="shared" si="49"/>
        <v>25-34</v>
      </c>
    </row>
    <row r="628" spans="1:25" x14ac:dyDescent="0.3">
      <c r="A628">
        <v>1627</v>
      </c>
      <c r="B628" t="s">
        <v>88</v>
      </c>
      <c r="C628" t="s">
        <v>21</v>
      </c>
      <c r="D628">
        <v>35</v>
      </c>
      <c r="E628" t="s">
        <v>91</v>
      </c>
      <c r="F628" t="s">
        <v>101</v>
      </c>
      <c r="G628" t="s">
        <v>64</v>
      </c>
      <c r="H628" t="s">
        <v>643</v>
      </c>
      <c r="I628">
        <v>5</v>
      </c>
      <c r="J628">
        <v>79023</v>
      </c>
      <c r="K628">
        <v>4.8</v>
      </c>
      <c r="L628">
        <v>99.4</v>
      </c>
      <c r="M628">
        <v>7</v>
      </c>
      <c r="N628">
        <v>42</v>
      </c>
      <c r="O628">
        <v>10614</v>
      </c>
      <c r="P628" t="s">
        <v>26</v>
      </c>
      <c r="Q628" t="s">
        <v>27</v>
      </c>
      <c r="R628" t="s">
        <v>70</v>
      </c>
      <c r="S628" t="s">
        <v>29</v>
      </c>
      <c r="T628" t="s">
        <v>35</v>
      </c>
      <c r="U628">
        <f t="shared" si="45"/>
        <v>89637</v>
      </c>
      <c r="V628" t="str">
        <f t="shared" si="46"/>
        <v>Excellent</v>
      </c>
      <c r="W628" t="str">
        <f t="shared" si="47"/>
        <v>Normal</v>
      </c>
      <c r="X628" t="str">
        <f t="shared" si="48"/>
        <v>Mid</v>
      </c>
      <c r="Y628" t="str">
        <f t="shared" si="49"/>
        <v>35-44</v>
      </c>
    </row>
    <row r="629" spans="1:25" x14ac:dyDescent="0.3">
      <c r="A629">
        <v>1628</v>
      </c>
      <c r="B629" t="s">
        <v>31</v>
      </c>
      <c r="C629" t="s">
        <v>21</v>
      </c>
      <c r="D629">
        <v>26</v>
      </c>
      <c r="E629" t="s">
        <v>55</v>
      </c>
      <c r="F629" t="s">
        <v>143</v>
      </c>
      <c r="G629" t="s">
        <v>45</v>
      </c>
      <c r="H629" t="s">
        <v>644</v>
      </c>
      <c r="I629">
        <v>6</v>
      </c>
      <c r="J629">
        <v>61860</v>
      </c>
      <c r="K629">
        <v>3.6</v>
      </c>
      <c r="L629">
        <v>85.2</v>
      </c>
      <c r="M629">
        <v>17</v>
      </c>
      <c r="N629">
        <v>19</v>
      </c>
      <c r="O629">
        <v>6793</v>
      </c>
      <c r="P629" t="s">
        <v>26</v>
      </c>
      <c r="Q629" t="s">
        <v>48</v>
      </c>
      <c r="R629" t="s">
        <v>28</v>
      </c>
      <c r="S629" t="s">
        <v>49</v>
      </c>
      <c r="T629" t="s">
        <v>50</v>
      </c>
      <c r="U629">
        <f t="shared" si="45"/>
        <v>68653</v>
      </c>
      <c r="V629" t="str">
        <f t="shared" si="46"/>
        <v>Needs Improvement</v>
      </c>
      <c r="W629" t="str">
        <f t="shared" si="47"/>
        <v>Normal</v>
      </c>
      <c r="X629" t="str">
        <f t="shared" si="48"/>
        <v>Mid</v>
      </c>
      <c r="Y629" t="str">
        <f t="shared" si="49"/>
        <v>25-34</v>
      </c>
    </row>
    <row r="630" spans="1:25" x14ac:dyDescent="0.3">
      <c r="A630">
        <v>1629</v>
      </c>
      <c r="B630" t="s">
        <v>83</v>
      </c>
      <c r="C630" t="s">
        <v>37</v>
      </c>
      <c r="D630">
        <v>42</v>
      </c>
      <c r="E630" t="s">
        <v>22</v>
      </c>
      <c r="F630" t="s">
        <v>66</v>
      </c>
      <c r="G630" t="s">
        <v>64</v>
      </c>
      <c r="H630" t="s">
        <v>645</v>
      </c>
      <c r="I630">
        <v>8</v>
      </c>
      <c r="J630">
        <v>88604</v>
      </c>
      <c r="K630">
        <v>2.9</v>
      </c>
      <c r="L630">
        <v>93.5</v>
      </c>
      <c r="M630">
        <v>16</v>
      </c>
      <c r="N630">
        <v>33</v>
      </c>
      <c r="O630">
        <v>12841</v>
      </c>
      <c r="P630" t="s">
        <v>33</v>
      </c>
      <c r="Q630" t="s">
        <v>48</v>
      </c>
      <c r="R630" t="s">
        <v>42</v>
      </c>
      <c r="S630" t="s">
        <v>29</v>
      </c>
      <c r="T630" t="s">
        <v>50</v>
      </c>
      <c r="U630">
        <f t="shared" si="45"/>
        <v>101445</v>
      </c>
      <c r="V630" t="str">
        <f t="shared" si="46"/>
        <v>Needs Improvement</v>
      </c>
      <c r="W630" t="str">
        <f t="shared" si="47"/>
        <v>Normal</v>
      </c>
      <c r="X630" t="str">
        <f t="shared" si="48"/>
        <v>Senior</v>
      </c>
      <c r="Y630" t="str">
        <f t="shared" si="49"/>
        <v>35-44</v>
      </c>
    </row>
    <row r="631" spans="1:25" x14ac:dyDescent="0.3">
      <c r="A631">
        <v>1630</v>
      </c>
      <c r="B631" t="s">
        <v>43</v>
      </c>
      <c r="C631" t="s">
        <v>37</v>
      </c>
      <c r="D631">
        <v>28</v>
      </c>
      <c r="E631" t="s">
        <v>55</v>
      </c>
      <c r="F631" t="s">
        <v>79</v>
      </c>
      <c r="G631" t="s">
        <v>24</v>
      </c>
      <c r="H631" t="s">
        <v>120</v>
      </c>
      <c r="I631">
        <v>1</v>
      </c>
      <c r="J631">
        <v>46125</v>
      </c>
      <c r="K631">
        <v>4.2</v>
      </c>
      <c r="L631">
        <v>99.5</v>
      </c>
      <c r="M631">
        <v>9</v>
      </c>
      <c r="N631">
        <v>21</v>
      </c>
      <c r="O631">
        <v>8217</v>
      </c>
      <c r="P631" t="s">
        <v>53</v>
      </c>
      <c r="Q631" t="s">
        <v>27</v>
      </c>
      <c r="R631" t="s">
        <v>58</v>
      </c>
      <c r="S631" t="s">
        <v>34</v>
      </c>
      <c r="T631" t="s">
        <v>30</v>
      </c>
      <c r="U631">
        <f t="shared" si="45"/>
        <v>54342</v>
      </c>
      <c r="V631" t="str">
        <f t="shared" si="46"/>
        <v>Excellent</v>
      </c>
      <c r="W631" t="str">
        <f t="shared" si="47"/>
        <v>Normal</v>
      </c>
      <c r="X631" t="str">
        <f t="shared" si="48"/>
        <v>Junior</v>
      </c>
      <c r="Y631" t="str">
        <f t="shared" si="49"/>
        <v>25-34</v>
      </c>
    </row>
    <row r="632" spans="1:25" x14ac:dyDescent="0.3">
      <c r="A632">
        <v>1631</v>
      </c>
      <c r="B632" t="s">
        <v>54</v>
      </c>
      <c r="C632" t="s">
        <v>37</v>
      </c>
      <c r="D632">
        <v>44</v>
      </c>
      <c r="E632" t="s">
        <v>62</v>
      </c>
      <c r="F632" t="s">
        <v>97</v>
      </c>
      <c r="G632" t="s">
        <v>45</v>
      </c>
      <c r="H632" t="s">
        <v>646</v>
      </c>
      <c r="I632">
        <v>7</v>
      </c>
      <c r="J632">
        <v>86001</v>
      </c>
      <c r="K632">
        <v>3.5</v>
      </c>
      <c r="L632">
        <v>93.7</v>
      </c>
      <c r="M632">
        <v>5</v>
      </c>
      <c r="N632">
        <v>12</v>
      </c>
      <c r="O632">
        <v>13021</v>
      </c>
      <c r="P632" t="s">
        <v>53</v>
      </c>
      <c r="Q632" t="s">
        <v>27</v>
      </c>
      <c r="R632" t="s">
        <v>28</v>
      </c>
      <c r="S632" t="s">
        <v>29</v>
      </c>
      <c r="T632" t="s">
        <v>50</v>
      </c>
      <c r="U632">
        <f t="shared" si="45"/>
        <v>99022</v>
      </c>
      <c r="V632" t="str">
        <f t="shared" si="46"/>
        <v>Needs Improvement</v>
      </c>
      <c r="W632" t="str">
        <f t="shared" si="47"/>
        <v>Normal</v>
      </c>
      <c r="X632" t="str">
        <f t="shared" si="48"/>
        <v>Senior</v>
      </c>
      <c r="Y632" t="str">
        <f t="shared" si="49"/>
        <v>35-44</v>
      </c>
    </row>
    <row r="633" spans="1:25" x14ac:dyDescent="0.3">
      <c r="A633">
        <v>1632</v>
      </c>
      <c r="B633" t="s">
        <v>36</v>
      </c>
      <c r="C633" t="s">
        <v>21</v>
      </c>
      <c r="D633">
        <v>37</v>
      </c>
      <c r="E633" t="s">
        <v>55</v>
      </c>
      <c r="F633" t="s">
        <v>143</v>
      </c>
      <c r="G633" t="s">
        <v>51</v>
      </c>
      <c r="H633" t="s">
        <v>647</v>
      </c>
      <c r="I633">
        <v>5</v>
      </c>
      <c r="J633">
        <v>28887</v>
      </c>
      <c r="K633">
        <v>3.4</v>
      </c>
      <c r="L633">
        <v>99.4</v>
      </c>
      <c r="M633">
        <v>0</v>
      </c>
      <c r="N633">
        <v>51</v>
      </c>
      <c r="O633">
        <v>7573</v>
      </c>
      <c r="P633" t="s">
        <v>53</v>
      </c>
      <c r="Q633" t="s">
        <v>27</v>
      </c>
      <c r="R633" t="s">
        <v>28</v>
      </c>
      <c r="S633" t="s">
        <v>34</v>
      </c>
      <c r="T633" t="s">
        <v>35</v>
      </c>
      <c r="U633">
        <f t="shared" si="45"/>
        <v>36460</v>
      </c>
      <c r="V633" t="str">
        <f t="shared" si="46"/>
        <v>Excellent</v>
      </c>
      <c r="W633" t="str">
        <f t="shared" si="47"/>
        <v>Normal</v>
      </c>
      <c r="X633" t="str">
        <f t="shared" si="48"/>
        <v>Mid</v>
      </c>
      <c r="Y633" t="str">
        <f t="shared" si="49"/>
        <v>35-44</v>
      </c>
    </row>
    <row r="634" spans="1:25" x14ac:dyDescent="0.3">
      <c r="A634">
        <v>1633</v>
      </c>
      <c r="B634" t="s">
        <v>73</v>
      </c>
      <c r="C634" t="s">
        <v>37</v>
      </c>
      <c r="D634">
        <v>39</v>
      </c>
      <c r="E634" t="s">
        <v>55</v>
      </c>
      <c r="F634" t="s">
        <v>79</v>
      </c>
      <c r="G634" t="s">
        <v>45</v>
      </c>
      <c r="H634" t="s">
        <v>572</v>
      </c>
      <c r="I634">
        <v>9</v>
      </c>
      <c r="J634">
        <v>60530</v>
      </c>
      <c r="K634">
        <v>3.9</v>
      </c>
      <c r="L634">
        <v>99.4</v>
      </c>
      <c r="M634">
        <v>13</v>
      </c>
      <c r="N634">
        <v>52</v>
      </c>
      <c r="O634">
        <v>3725</v>
      </c>
      <c r="P634" t="s">
        <v>41</v>
      </c>
      <c r="Q634" t="s">
        <v>27</v>
      </c>
      <c r="R634" t="s">
        <v>28</v>
      </c>
      <c r="S634" t="s">
        <v>49</v>
      </c>
      <c r="T634" t="s">
        <v>50</v>
      </c>
      <c r="U634">
        <f t="shared" si="45"/>
        <v>64255</v>
      </c>
      <c r="V634" t="str">
        <f t="shared" si="46"/>
        <v>Excellent</v>
      </c>
      <c r="W634" t="str">
        <f t="shared" si="47"/>
        <v>Normal</v>
      </c>
      <c r="X634" t="str">
        <f t="shared" si="48"/>
        <v>Senior</v>
      </c>
      <c r="Y634" t="str">
        <f t="shared" si="49"/>
        <v>35-44</v>
      </c>
    </row>
    <row r="635" spans="1:25" x14ac:dyDescent="0.3">
      <c r="A635">
        <v>1634</v>
      </c>
      <c r="B635" t="s">
        <v>68</v>
      </c>
      <c r="C635" t="s">
        <v>37</v>
      </c>
      <c r="D635">
        <v>28</v>
      </c>
      <c r="E635" t="s">
        <v>22</v>
      </c>
      <c r="F635" t="s">
        <v>66</v>
      </c>
      <c r="G635" t="s">
        <v>51</v>
      </c>
      <c r="H635" t="s">
        <v>648</v>
      </c>
      <c r="I635">
        <v>1</v>
      </c>
      <c r="J635">
        <v>93849</v>
      </c>
      <c r="K635">
        <v>3</v>
      </c>
      <c r="L635">
        <v>86.8</v>
      </c>
      <c r="M635">
        <v>8</v>
      </c>
      <c r="N635">
        <v>16</v>
      </c>
      <c r="O635">
        <v>8863</v>
      </c>
      <c r="P635" t="s">
        <v>33</v>
      </c>
      <c r="Q635" t="s">
        <v>48</v>
      </c>
      <c r="R635" t="s">
        <v>28</v>
      </c>
      <c r="S635" t="s">
        <v>29</v>
      </c>
      <c r="T635" t="s">
        <v>30</v>
      </c>
      <c r="U635">
        <f t="shared" si="45"/>
        <v>102712</v>
      </c>
      <c r="V635" t="str">
        <f t="shared" si="46"/>
        <v>Needs Improvement</v>
      </c>
      <c r="W635" t="str">
        <f t="shared" si="47"/>
        <v>Normal</v>
      </c>
      <c r="X635" t="str">
        <f t="shared" si="48"/>
        <v>Junior</v>
      </c>
      <c r="Y635" t="str">
        <f t="shared" si="49"/>
        <v>25-34</v>
      </c>
    </row>
    <row r="636" spans="1:25" x14ac:dyDescent="0.3">
      <c r="A636">
        <v>1635</v>
      </c>
      <c r="B636" t="s">
        <v>99</v>
      </c>
      <c r="C636" t="s">
        <v>21</v>
      </c>
      <c r="D636">
        <v>39</v>
      </c>
      <c r="E636" t="s">
        <v>62</v>
      </c>
      <c r="F636" t="s">
        <v>97</v>
      </c>
      <c r="G636" t="s">
        <v>51</v>
      </c>
      <c r="H636" t="s">
        <v>649</v>
      </c>
      <c r="I636">
        <v>8</v>
      </c>
      <c r="J636">
        <v>79725</v>
      </c>
      <c r="K636">
        <v>2.7</v>
      </c>
      <c r="L636">
        <v>90.3</v>
      </c>
      <c r="M636">
        <v>16</v>
      </c>
      <c r="N636">
        <v>13</v>
      </c>
      <c r="O636">
        <v>6211</v>
      </c>
      <c r="P636" t="s">
        <v>53</v>
      </c>
      <c r="Q636" t="s">
        <v>27</v>
      </c>
      <c r="R636" t="s">
        <v>42</v>
      </c>
      <c r="S636" t="s">
        <v>29</v>
      </c>
      <c r="T636" t="s">
        <v>50</v>
      </c>
      <c r="U636">
        <f t="shared" si="45"/>
        <v>85936</v>
      </c>
      <c r="V636" t="str">
        <f t="shared" si="46"/>
        <v>Needs Improvement</v>
      </c>
      <c r="W636" t="str">
        <f t="shared" si="47"/>
        <v>Normal</v>
      </c>
      <c r="X636" t="str">
        <f t="shared" si="48"/>
        <v>Senior</v>
      </c>
      <c r="Y636" t="str">
        <f t="shared" si="49"/>
        <v>35-44</v>
      </c>
    </row>
    <row r="637" spans="1:25" x14ac:dyDescent="0.3">
      <c r="A637">
        <v>1636</v>
      </c>
      <c r="B637" t="s">
        <v>148</v>
      </c>
      <c r="C637" t="s">
        <v>37</v>
      </c>
      <c r="D637">
        <v>40</v>
      </c>
      <c r="E637" t="s">
        <v>91</v>
      </c>
      <c r="F637" t="s">
        <v>92</v>
      </c>
      <c r="G637" t="s">
        <v>59</v>
      </c>
      <c r="H637" t="s">
        <v>650</v>
      </c>
      <c r="I637">
        <v>7</v>
      </c>
      <c r="J637">
        <v>73842</v>
      </c>
      <c r="K637">
        <v>2.8</v>
      </c>
      <c r="L637">
        <v>97.3</v>
      </c>
      <c r="M637">
        <v>17</v>
      </c>
      <c r="N637">
        <v>50</v>
      </c>
      <c r="O637">
        <v>5402</v>
      </c>
      <c r="P637" t="s">
        <v>33</v>
      </c>
      <c r="Q637" t="s">
        <v>48</v>
      </c>
      <c r="R637" t="s">
        <v>42</v>
      </c>
      <c r="S637" t="s">
        <v>29</v>
      </c>
      <c r="T637" t="s">
        <v>50</v>
      </c>
      <c r="U637">
        <f t="shared" si="45"/>
        <v>79244</v>
      </c>
      <c r="V637" t="str">
        <f t="shared" si="46"/>
        <v>Excellent</v>
      </c>
      <c r="W637" t="str">
        <f t="shared" si="47"/>
        <v>Normal</v>
      </c>
      <c r="X637" t="str">
        <f t="shared" si="48"/>
        <v>Senior</v>
      </c>
      <c r="Y637" t="str">
        <f t="shared" si="49"/>
        <v>35-44</v>
      </c>
    </row>
    <row r="638" spans="1:25" x14ac:dyDescent="0.3">
      <c r="A638">
        <v>1637</v>
      </c>
      <c r="B638" t="s">
        <v>75</v>
      </c>
      <c r="C638" t="s">
        <v>37</v>
      </c>
      <c r="D638">
        <v>35</v>
      </c>
      <c r="E638" t="s">
        <v>91</v>
      </c>
      <c r="F638" t="s">
        <v>92</v>
      </c>
      <c r="G638" t="s">
        <v>64</v>
      </c>
      <c r="H638" t="s">
        <v>651</v>
      </c>
      <c r="I638">
        <v>1</v>
      </c>
      <c r="J638">
        <v>72925</v>
      </c>
      <c r="K638">
        <v>3.8</v>
      </c>
      <c r="L638">
        <v>97.4</v>
      </c>
      <c r="M638">
        <v>17</v>
      </c>
      <c r="N638">
        <v>15</v>
      </c>
      <c r="O638">
        <v>7134</v>
      </c>
      <c r="P638" t="s">
        <v>33</v>
      </c>
      <c r="Q638" t="s">
        <v>48</v>
      </c>
      <c r="R638" t="s">
        <v>28</v>
      </c>
      <c r="S638" t="s">
        <v>29</v>
      </c>
      <c r="T638" t="s">
        <v>30</v>
      </c>
      <c r="U638">
        <f t="shared" si="45"/>
        <v>80059</v>
      </c>
      <c r="V638" t="str">
        <f t="shared" si="46"/>
        <v>Excellent</v>
      </c>
      <c r="W638" t="str">
        <f t="shared" si="47"/>
        <v>Normal</v>
      </c>
      <c r="X638" t="str">
        <f t="shared" si="48"/>
        <v>Junior</v>
      </c>
      <c r="Y638" t="str">
        <f t="shared" si="49"/>
        <v>35-44</v>
      </c>
    </row>
    <row r="639" spans="1:25" x14ac:dyDescent="0.3">
      <c r="A639">
        <v>1638</v>
      </c>
      <c r="B639" t="s">
        <v>75</v>
      </c>
      <c r="C639" t="s">
        <v>21</v>
      </c>
      <c r="D639">
        <v>37</v>
      </c>
      <c r="E639" t="s">
        <v>91</v>
      </c>
      <c r="F639" t="s">
        <v>92</v>
      </c>
      <c r="G639" t="s">
        <v>59</v>
      </c>
      <c r="H639" t="s">
        <v>340</v>
      </c>
      <c r="I639">
        <v>10</v>
      </c>
      <c r="J639">
        <v>57970</v>
      </c>
      <c r="K639">
        <v>3.9</v>
      </c>
      <c r="L639">
        <v>84.8</v>
      </c>
      <c r="M639">
        <v>3</v>
      </c>
      <c r="N639">
        <v>44</v>
      </c>
      <c r="O639">
        <v>4013</v>
      </c>
      <c r="P639" t="s">
        <v>47</v>
      </c>
      <c r="Q639" t="s">
        <v>27</v>
      </c>
      <c r="R639" t="s">
        <v>28</v>
      </c>
      <c r="S639" t="s">
        <v>49</v>
      </c>
      <c r="T639" t="s">
        <v>50</v>
      </c>
      <c r="U639">
        <f t="shared" si="45"/>
        <v>61983</v>
      </c>
      <c r="V639" t="str">
        <f t="shared" si="46"/>
        <v>Needs Improvement</v>
      </c>
      <c r="W639" t="str">
        <f t="shared" si="47"/>
        <v>Normal</v>
      </c>
      <c r="X639" t="str">
        <f t="shared" si="48"/>
        <v>Senior</v>
      </c>
      <c r="Y639" t="str">
        <f t="shared" si="49"/>
        <v>35-44</v>
      </c>
    </row>
    <row r="640" spans="1:25" x14ac:dyDescent="0.3">
      <c r="A640">
        <v>1639</v>
      </c>
      <c r="B640" t="s">
        <v>73</v>
      </c>
      <c r="C640" t="s">
        <v>37</v>
      </c>
      <c r="D640">
        <v>35</v>
      </c>
      <c r="E640" t="s">
        <v>91</v>
      </c>
      <c r="F640" t="s">
        <v>101</v>
      </c>
      <c r="G640" t="s">
        <v>64</v>
      </c>
      <c r="H640" t="s">
        <v>652</v>
      </c>
      <c r="I640">
        <v>9</v>
      </c>
      <c r="J640">
        <v>47602</v>
      </c>
      <c r="K640">
        <v>2.8</v>
      </c>
      <c r="L640">
        <v>94</v>
      </c>
      <c r="M640">
        <v>0</v>
      </c>
      <c r="N640">
        <v>24</v>
      </c>
      <c r="O640">
        <v>1927</v>
      </c>
      <c r="P640" t="s">
        <v>33</v>
      </c>
      <c r="Q640" t="s">
        <v>27</v>
      </c>
      <c r="R640" t="s">
        <v>42</v>
      </c>
      <c r="S640" t="s">
        <v>34</v>
      </c>
      <c r="T640" t="s">
        <v>50</v>
      </c>
      <c r="U640">
        <f t="shared" si="45"/>
        <v>49529</v>
      </c>
      <c r="V640" t="str">
        <f t="shared" si="46"/>
        <v>Needs Improvement</v>
      </c>
      <c r="W640" t="str">
        <f t="shared" si="47"/>
        <v>Normal</v>
      </c>
      <c r="X640" t="str">
        <f t="shared" si="48"/>
        <v>Senior</v>
      </c>
      <c r="Y640" t="str">
        <f t="shared" si="49"/>
        <v>35-44</v>
      </c>
    </row>
    <row r="641" spans="1:25" x14ac:dyDescent="0.3">
      <c r="A641">
        <v>1640</v>
      </c>
      <c r="B641" t="s">
        <v>78</v>
      </c>
      <c r="C641" t="s">
        <v>37</v>
      </c>
      <c r="D641">
        <v>40</v>
      </c>
      <c r="E641" t="s">
        <v>55</v>
      </c>
      <c r="F641" t="s">
        <v>56</v>
      </c>
      <c r="G641" t="s">
        <v>64</v>
      </c>
      <c r="H641" t="s">
        <v>653</v>
      </c>
      <c r="I641">
        <v>5</v>
      </c>
      <c r="J641">
        <v>69027</v>
      </c>
      <c r="K641">
        <v>4.3</v>
      </c>
      <c r="L641">
        <v>90.2</v>
      </c>
      <c r="M641">
        <v>19</v>
      </c>
      <c r="N641">
        <v>48</v>
      </c>
      <c r="O641">
        <v>11340</v>
      </c>
      <c r="P641" t="s">
        <v>41</v>
      </c>
      <c r="Q641" t="s">
        <v>27</v>
      </c>
      <c r="R641" t="s">
        <v>58</v>
      </c>
      <c r="S641" t="s">
        <v>49</v>
      </c>
      <c r="T641" t="s">
        <v>35</v>
      </c>
      <c r="U641">
        <f t="shared" si="45"/>
        <v>80367</v>
      </c>
      <c r="V641" t="str">
        <f t="shared" si="46"/>
        <v>Needs Improvement</v>
      </c>
      <c r="W641" t="str">
        <f t="shared" si="47"/>
        <v>Normal</v>
      </c>
      <c r="X641" t="str">
        <f t="shared" si="48"/>
        <v>Mid</v>
      </c>
      <c r="Y641" t="str">
        <f t="shared" si="49"/>
        <v>35-44</v>
      </c>
    </row>
    <row r="642" spans="1:25" x14ac:dyDescent="0.3">
      <c r="A642">
        <v>1641</v>
      </c>
      <c r="B642" t="s">
        <v>73</v>
      </c>
      <c r="C642" t="s">
        <v>21</v>
      </c>
      <c r="D642">
        <v>24</v>
      </c>
      <c r="E642" t="s">
        <v>38</v>
      </c>
      <c r="F642" t="s">
        <v>39</v>
      </c>
      <c r="G642" t="s">
        <v>45</v>
      </c>
      <c r="H642" t="s">
        <v>654</v>
      </c>
      <c r="I642">
        <v>1</v>
      </c>
      <c r="J642">
        <v>84937</v>
      </c>
      <c r="K642">
        <v>4.9000000000000004</v>
      </c>
      <c r="L642">
        <v>83.4</v>
      </c>
      <c r="M642">
        <v>1</v>
      </c>
      <c r="N642">
        <v>41</v>
      </c>
      <c r="O642">
        <v>1229</v>
      </c>
      <c r="P642" t="s">
        <v>53</v>
      </c>
      <c r="Q642" t="s">
        <v>27</v>
      </c>
      <c r="R642" t="s">
        <v>70</v>
      </c>
      <c r="S642" t="s">
        <v>29</v>
      </c>
      <c r="T642" t="s">
        <v>30</v>
      </c>
      <c r="U642">
        <f t="shared" si="45"/>
        <v>86166</v>
      </c>
      <c r="V642" t="str">
        <f t="shared" si="46"/>
        <v>Needs Improvement</v>
      </c>
      <c r="W642" t="str">
        <f t="shared" si="47"/>
        <v>Normal</v>
      </c>
      <c r="X642" t="str">
        <f t="shared" si="48"/>
        <v>Junior</v>
      </c>
      <c r="Y642" t="str">
        <f t="shared" si="49"/>
        <v>20-24</v>
      </c>
    </row>
    <row r="643" spans="1:25" x14ac:dyDescent="0.3">
      <c r="A643">
        <v>1642</v>
      </c>
      <c r="B643" t="s">
        <v>68</v>
      </c>
      <c r="C643" t="s">
        <v>37</v>
      </c>
      <c r="D643">
        <v>27</v>
      </c>
      <c r="E643" t="s">
        <v>91</v>
      </c>
      <c r="F643" t="s">
        <v>101</v>
      </c>
      <c r="G643" t="s">
        <v>51</v>
      </c>
      <c r="H643" t="s">
        <v>655</v>
      </c>
      <c r="I643">
        <v>9</v>
      </c>
      <c r="J643">
        <v>67996</v>
      </c>
      <c r="K643">
        <v>3.3</v>
      </c>
      <c r="L643">
        <v>83.6</v>
      </c>
      <c r="M643">
        <v>8</v>
      </c>
      <c r="N643">
        <v>57</v>
      </c>
      <c r="O643">
        <v>12662</v>
      </c>
      <c r="P643" t="s">
        <v>26</v>
      </c>
      <c r="Q643" t="s">
        <v>48</v>
      </c>
      <c r="R643" t="s">
        <v>28</v>
      </c>
      <c r="S643" t="s">
        <v>49</v>
      </c>
      <c r="T643" t="s">
        <v>50</v>
      </c>
      <c r="U643">
        <f t="shared" ref="U643:U706" si="50">J643+O643</f>
        <v>80658</v>
      </c>
      <c r="V643" t="str">
        <f t="shared" ref="V643:V706" si="51">IF(L643&gt;=95,"Excellent","Needs Improvement")</f>
        <v>Needs Improvement</v>
      </c>
      <c r="W643" t="str">
        <f t="shared" ref="W643:W706" si="52">IF(M643&gt;20,"High","Normal")</f>
        <v>Normal</v>
      </c>
      <c r="X643" t="str">
        <f t="shared" ref="X643:X706" si="53">IF(I643&lt;3,"Junior",IF(I643&lt;7,"Mid","Senior"))</f>
        <v>Senior</v>
      </c>
      <c r="Y643" t="str">
        <f t="shared" ref="Y643:Y706" si="54">IF(D643&lt;25,"20-24",IF(D643&lt;35,"25-34",IF(D643&lt;45,"35-44","45+")))</f>
        <v>25-34</v>
      </c>
    </row>
    <row r="644" spans="1:25" x14ac:dyDescent="0.3">
      <c r="A644">
        <v>1643</v>
      </c>
      <c r="B644" t="s">
        <v>36</v>
      </c>
      <c r="C644" t="s">
        <v>21</v>
      </c>
      <c r="D644">
        <v>27</v>
      </c>
      <c r="E644" t="s">
        <v>62</v>
      </c>
      <c r="F644" t="s">
        <v>63</v>
      </c>
      <c r="G644" t="s">
        <v>24</v>
      </c>
      <c r="H644" t="s">
        <v>656</v>
      </c>
      <c r="I644">
        <v>2</v>
      </c>
      <c r="J644">
        <v>48221</v>
      </c>
      <c r="K644">
        <v>2.9</v>
      </c>
      <c r="L644">
        <v>85.5</v>
      </c>
      <c r="M644">
        <v>21</v>
      </c>
      <c r="N644">
        <v>36</v>
      </c>
      <c r="O644">
        <v>3982</v>
      </c>
      <c r="P644" t="s">
        <v>26</v>
      </c>
      <c r="Q644" t="s">
        <v>48</v>
      </c>
      <c r="R644" t="s">
        <v>42</v>
      </c>
      <c r="S644" t="s">
        <v>34</v>
      </c>
      <c r="T644" t="s">
        <v>30</v>
      </c>
      <c r="U644">
        <f t="shared" si="50"/>
        <v>52203</v>
      </c>
      <c r="V644" t="str">
        <f t="shared" si="51"/>
        <v>Needs Improvement</v>
      </c>
      <c r="W644" t="str">
        <f t="shared" si="52"/>
        <v>High</v>
      </c>
      <c r="X644" t="str">
        <f t="shared" si="53"/>
        <v>Junior</v>
      </c>
      <c r="Y644" t="str">
        <f t="shared" si="54"/>
        <v>25-34</v>
      </c>
    </row>
    <row r="645" spans="1:25" x14ac:dyDescent="0.3">
      <c r="A645">
        <v>1644</v>
      </c>
      <c r="B645" t="s">
        <v>85</v>
      </c>
      <c r="C645" t="s">
        <v>21</v>
      </c>
      <c r="D645">
        <v>38</v>
      </c>
      <c r="E645" t="s">
        <v>38</v>
      </c>
      <c r="F645" t="s">
        <v>44</v>
      </c>
      <c r="G645" t="s">
        <v>45</v>
      </c>
      <c r="H645" t="s">
        <v>657</v>
      </c>
      <c r="I645">
        <v>3</v>
      </c>
      <c r="J645">
        <v>51302</v>
      </c>
      <c r="K645">
        <v>4.0999999999999996</v>
      </c>
      <c r="L645">
        <v>90</v>
      </c>
      <c r="M645">
        <v>19</v>
      </c>
      <c r="N645">
        <v>21</v>
      </c>
      <c r="O645">
        <v>6239</v>
      </c>
      <c r="P645" t="s">
        <v>26</v>
      </c>
      <c r="Q645" t="s">
        <v>27</v>
      </c>
      <c r="R645" t="s">
        <v>58</v>
      </c>
      <c r="S645" t="s">
        <v>49</v>
      </c>
      <c r="T645" t="s">
        <v>35</v>
      </c>
      <c r="U645">
        <f t="shared" si="50"/>
        <v>57541</v>
      </c>
      <c r="V645" t="str">
        <f t="shared" si="51"/>
        <v>Needs Improvement</v>
      </c>
      <c r="W645" t="str">
        <f t="shared" si="52"/>
        <v>Normal</v>
      </c>
      <c r="X645" t="str">
        <f t="shared" si="53"/>
        <v>Mid</v>
      </c>
      <c r="Y645" t="str">
        <f t="shared" si="54"/>
        <v>35-44</v>
      </c>
    </row>
    <row r="646" spans="1:25" x14ac:dyDescent="0.3">
      <c r="A646">
        <v>1645</v>
      </c>
      <c r="B646" t="s">
        <v>54</v>
      </c>
      <c r="C646" t="s">
        <v>21</v>
      </c>
      <c r="D646">
        <v>39</v>
      </c>
      <c r="E646" t="s">
        <v>22</v>
      </c>
      <c r="F646" t="s">
        <v>66</v>
      </c>
      <c r="G646" t="s">
        <v>24</v>
      </c>
      <c r="H646" t="s">
        <v>658</v>
      </c>
      <c r="I646">
        <v>3</v>
      </c>
      <c r="J646">
        <v>70558</v>
      </c>
      <c r="K646">
        <v>3.1</v>
      </c>
      <c r="L646">
        <v>83.4</v>
      </c>
      <c r="M646">
        <v>0</v>
      </c>
      <c r="N646">
        <v>54</v>
      </c>
      <c r="O646">
        <v>9488</v>
      </c>
      <c r="P646" t="s">
        <v>26</v>
      </c>
      <c r="Q646" t="s">
        <v>48</v>
      </c>
      <c r="R646" t="s">
        <v>28</v>
      </c>
      <c r="S646" t="s">
        <v>29</v>
      </c>
      <c r="T646" t="s">
        <v>35</v>
      </c>
      <c r="U646">
        <f t="shared" si="50"/>
        <v>80046</v>
      </c>
      <c r="V646" t="str">
        <f t="shared" si="51"/>
        <v>Needs Improvement</v>
      </c>
      <c r="W646" t="str">
        <f t="shared" si="52"/>
        <v>Normal</v>
      </c>
      <c r="X646" t="str">
        <f t="shared" si="53"/>
        <v>Mid</v>
      </c>
      <c r="Y646" t="str">
        <f t="shared" si="54"/>
        <v>35-44</v>
      </c>
    </row>
    <row r="647" spans="1:25" x14ac:dyDescent="0.3">
      <c r="A647">
        <v>1646</v>
      </c>
      <c r="B647" t="s">
        <v>54</v>
      </c>
      <c r="C647" t="s">
        <v>21</v>
      </c>
      <c r="D647">
        <v>37</v>
      </c>
      <c r="E647" t="s">
        <v>55</v>
      </c>
      <c r="F647" t="s">
        <v>143</v>
      </c>
      <c r="G647" t="s">
        <v>24</v>
      </c>
      <c r="H647" t="s">
        <v>659</v>
      </c>
      <c r="I647">
        <v>0</v>
      </c>
      <c r="J647">
        <v>78976</v>
      </c>
      <c r="K647">
        <v>3.7</v>
      </c>
      <c r="L647">
        <v>94.5</v>
      </c>
      <c r="M647">
        <v>25</v>
      </c>
      <c r="N647">
        <v>29</v>
      </c>
      <c r="O647">
        <v>11992</v>
      </c>
      <c r="P647" t="s">
        <v>26</v>
      </c>
      <c r="Q647" t="s">
        <v>48</v>
      </c>
      <c r="R647" t="s">
        <v>28</v>
      </c>
      <c r="S647" t="s">
        <v>29</v>
      </c>
      <c r="T647" t="s">
        <v>30</v>
      </c>
      <c r="U647">
        <f t="shared" si="50"/>
        <v>90968</v>
      </c>
      <c r="V647" t="str">
        <f t="shared" si="51"/>
        <v>Needs Improvement</v>
      </c>
      <c r="W647" t="str">
        <f t="shared" si="52"/>
        <v>High</v>
      </c>
      <c r="X647" t="str">
        <f t="shared" si="53"/>
        <v>Junior</v>
      </c>
      <c r="Y647" t="str">
        <f t="shared" si="54"/>
        <v>35-44</v>
      </c>
    </row>
    <row r="648" spans="1:25" x14ac:dyDescent="0.3">
      <c r="A648">
        <v>1647</v>
      </c>
      <c r="B648" t="s">
        <v>111</v>
      </c>
      <c r="C648" t="s">
        <v>21</v>
      </c>
      <c r="D648">
        <v>24</v>
      </c>
      <c r="E648" t="s">
        <v>38</v>
      </c>
      <c r="F648" t="s">
        <v>39</v>
      </c>
      <c r="G648" t="s">
        <v>24</v>
      </c>
      <c r="H648" t="s">
        <v>660</v>
      </c>
      <c r="I648">
        <v>9</v>
      </c>
      <c r="J648">
        <v>73578</v>
      </c>
      <c r="K648">
        <v>4.5999999999999996</v>
      </c>
      <c r="L648">
        <v>93.1</v>
      </c>
      <c r="M648">
        <v>23</v>
      </c>
      <c r="N648">
        <v>11</v>
      </c>
      <c r="O648">
        <v>6622</v>
      </c>
      <c r="P648" t="s">
        <v>53</v>
      </c>
      <c r="Q648" t="s">
        <v>27</v>
      </c>
      <c r="R648" t="s">
        <v>70</v>
      </c>
      <c r="S648" t="s">
        <v>29</v>
      </c>
      <c r="T648" t="s">
        <v>50</v>
      </c>
      <c r="U648">
        <f t="shared" si="50"/>
        <v>80200</v>
      </c>
      <c r="V648" t="str">
        <f t="shared" si="51"/>
        <v>Needs Improvement</v>
      </c>
      <c r="W648" t="str">
        <f t="shared" si="52"/>
        <v>High</v>
      </c>
      <c r="X648" t="str">
        <f t="shared" si="53"/>
        <v>Senior</v>
      </c>
      <c r="Y648" t="str">
        <f t="shared" si="54"/>
        <v>20-24</v>
      </c>
    </row>
    <row r="649" spans="1:25" x14ac:dyDescent="0.3">
      <c r="A649">
        <v>1648</v>
      </c>
      <c r="B649" t="s">
        <v>31</v>
      </c>
      <c r="C649" t="s">
        <v>21</v>
      </c>
      <c r="D649">
        <v>22</v>
      </c>
      <c r="E649" t="s">
        <v>91</v>
      </c>
      <c r="F649" t="s">
        <v>92</v>
      </c>
      <c r="G649" t="s">
        <v>51</v>
      </c>
      <c r="H649" t="s">
        <v>40</v>
      </c>
      <c r="I649">
        <v>6</v>
      </c>
      <c r="J649">
        <v>89122</v>
      </c>
      <c r="K649">
        <v>4</v>
      </c>
      <c r="L649">
        <v>99</v>
      </c>
      <c r="M649">
        <v>12</v>
      </c>
      <c r="N649">
        <v>42</v>
      </c>
      <c r="O649">
        <v>5454</v>
      </c>
      <c r="P649" t="s">
        <v>26</v>
      </c>
      <c r="Q649" t="s">
        <v>27</v>
      </c>
      <c r="R649" t="s">
        <v>58</v>
      </c>
      <c r="S649" t="s">
        <v>29</v>
      </c>
      <c r="T649" t="s">
        <v>50</v>
      </c>
      <c r="U649">
        <f t="shared" si="50"/>
        <v>94576</v>
      </c>
      <c r="V649" t="str">
        <f t="shared" si="51"/>
        <v>Excellent</v>
      </c>
      <c r="W649" t="str">
        <f t="shared" si="52"/>
        <v>Normal</v>
      </c>
      <c r="X649" t="str">
        <f t="shared" si="53"/>
        <v>Mid</v>
      </c>
      <c r="Y649" t="str">
        <f t="shared" si="54"/>
        <v>20-24</v>
      </c>
    </row>
    <row r="650" spans="1:25" x14ac:dyDescent="0.3">
      <c r="A650">
        <v>1649</v>
      </c>
      <c r="B650" t="s">
        <v>71</v>
      </c>
      <c r="C650" t="s">
        <v>37</v>
      </c>
      <c r="D650">
        <v>45</v>
      </c>
      <c r="E650" t="s">
        <v>91</v>
      </c>
      <c r="F650" t="s">
        <v>101</v>
      </c>
      <c r="G650" t="s">
        <v>45</v>
      </c>
      <c r="H650" t="s">
        <v>661</v>
      </c>
      <c r="I650">
        <v>1</v>
      </c>
      <c r="J650">
        <v>87696</v>
      </c>
      <c r="K650">
        <v>3.5</v>
      </c>
      <c r="L650">
        <v>82.8</v>
      </c>
      <c r="M650">
        <v>18</v>
      </c>
      <c r="N650">
        <v>35</v>
      </c>
      <c r="O650">
        <v>1194</v>
      </c>
      <c r="P650" t="s">
        <v>33</v>
      </c>
      <c r="Q650" t="s">
        <v>48</v>
      </c>
      <c r="R650" t="s">
        <v>28</v>
      </c>
      <c r="S650" t="s">
        <v>29</v>
      </c>
      <c r="T650" t="s">
        <v>30</v>
      </c>
      <c r="U650">
        <f t="shared" si="50"/>
        <v>88890</v>
      </c>
      <c r="V650" t="str">
        <f t="shared" si="51"/>
        <v>Needs Improvement</v>
      </c>
      <c r="W650" t="str">
        <f t="shared" si="52"/>
        <v>Normal</v>
      </c>
      <c r="X650" t="str">
        <f t="shared" si="53"/>
        <v>Junior</v>
      </c>
      <c r="Y650" t="str">
        <f t="shared" si="54"/>
        <v>45+</v>
      </c>
    </row>
    <row r="651" spans="1:25" x14ac:dyDescent="0.3">
      <c r="A651">
        <v>1650</v>
      </c>
      <c r="B651" t="s">
        <v>78</v>
      </c>
      <c r="C651" t="s">
        <v>21</v>
      </c>
      <c r="D651">
        <v>36</v>
      </c>
      <c r="E651" t="s">
        <v>38</v>
      </c>
      <c r="F651" t="s">
        <v>39</v>
      </c>
      <c r="G651" t="s">
        <v>64</v>
      </c>
      <c r="H651" t="s">
        <v>662</v>
      </c>
      <c r="I651">
        <v>4</v>
      </c>
      <c r="J651">
        <v>69123</v>
      </c>
      <c r="K651">
        <v>3.4</v>
      </c>
      <c r="L651">
        <v>93.6</v>
      </c>
      <c r="M651">
        <v>19</v>
      </c>
      <c r="N651">
        <v>32</v>
      </c>
      <c r="O651">
        <v>7860</v>
      </c>
      <c r="P651" t="s">
        <v>26</v>
      </c>
      <c r="Q651" t="s">
        <v>48</v>
      </c>
      <c r="R651" t="s">
        <v>28</v>
      </c>
      <c r="S651" t="s">
        <v>49</v>
      </c>
      <c r="T651" t="s">
        <v>35</v>
      </c>
      <c r="U651">
        <f t="shared" si="50"/>
        <v>76983</v>
      </c>
      <c r="V651" t="str">
        <f t="shared" si="51"/>
        <v>Needs Improvement</v>
      </c>
      <c r="W651" t="str">
        <f t="shared" si="52"/>
        <v>Normal</v>
      </c>
      <c r="X651" t="str">
        <f t="shared" si="53"/>
        <v>Mid</v>
      </c>
      <c r="Y651" t="str">
        <f t="shared" si="54"/>
        <v>35-44</v>
      </c>
    </row>
    <row r="652" spans="1:25" x14ac:dyDescent="0.3">
      <c r="A652">
        <v>1651</v>
      </c>
      <c r="B652" t="s">
        <v>20</v>
      </c>
      <c r="C652" t="s">
        <v>37</v>
      </c>
      <c r="D652">
        <v>23</v>
      </c>
      <c r="E652" t="s">
        <v>55</v>
      </c>
      <c r="F652" t="s">
        <v>56</v>
      </c>
      <c r="G652" t="s">
        <v>24</v>
      </c>
      <c r="H652" t="s">
        <v>663</v>
      </c>
      <c r="I652">
        <v>4</v>
      </c>
      <c r="J652">
        <v>59783</v>
      </c>
      <c r="K652">
        <v>3.7</v>
      </c>
      <c r="L652">
        <v>94.9</v>
      </c>
      <c r="M652">
        <v>4</v>
      </c>
      <c r="N652">
        <v>46</v>
      </c>
      <c r="O652">
        <v>6711</v>
      </c>
      <c r="P652" t="s">
        <v>47</v>
      </c>
      <c r="Q652" t="s">
        <v>48</v>
      </c>
      <c r="R652" t="s">
        <v>28</v>
      </c>
      <c r="S652" t="s">
        <v>49</v>
      </c>
      <c r="T652" t="s">
        <v>35</v>
      </c>
      <c r="U652">
        <f t="shared" si="50"/>
        <v>66494</v>
      </c>
      <c r="V652" t="str">
        <f t="shared" si="51"/>
        <v>Needs Improvement</v>
      </c>
      <c r="W652" t="str">
        <f t="shared" si="52"/>
        <v>Normal</v>
      </c>
      <c r="X652" t="str">
        <f t="shared" si="53"/>
        <v>Mid</v>
      </c>
      <c r="Y652" t="str">
        <f t="shared" si="54"/>
        <v>20-24</v>
      </c>
    </row>
    <row r="653" spans="1:25" x14ac:dyDescent="0.3">
      <c r="A653">
        <v>1652</v>
      </c>
      <c r="B653" t="s">
        <v>68</v>
      </c>
      <c r="C653" t="s">
        <v>21</v>
      </c>
      <c r="D653">
        <v>43</v>
      </c>
      <c r="E653" t="s">
        <v>62</v>
      </c>
      <c r="F653" t="s">
        <v>97</v>
      </c>
      <c r="G653" t="s">
        <v>64</v>
      </c>
      <c r="H653" t="s">
        <v>664</v>
      </c>
      <c r="I653">
        <v>10</v>
      </c>
      <c r="J653">
        <v>35764</v>
      </c>
      <c r="K653">
        <v>4.2</v>
      </c>
      <c r="L653">
        <v>93.7</v>
      </c>
      <c r="M653">
        <v>13</v>
      </c>
      <c r="N653">
        <v>8</v>
      </c>
      <c r="O653">
        <v>9406</v>
      </c>
      <c r="P653" t="s">
        <v>47</v>
      </c>
      <c r="Q653" t="s">
        <v>27</v>
      </c>
      <c r="R653" t="s">
        <v>58</v>
      </c>
      <c r="S653" t="s">
        <v>34</v>
      </c>
      <c r="T653" t="s">
        <v>50</v>
      </c>
      <c r="U653">
        <f t="shared" si="50"/>
        <v>45170</v>
      </c>
      <c r="V653" t="str">
        <f t="shared" si="51"/>
        <v>Needs Improvement</v>
      </c>
      <c r="W653" t="str">
        <f t="shared" si="52"/>
        <v>Normal</v>
      </c>
      <c r="X653" t="str">
        <f t="shared" si="53"/>
        <v>Senior</v>
      </c>
      <c r="Y653" t="str">
        <f t="shared" si="54"/>
        <v>35-44</v>
      </c>
    </row>
    <row r="654" spans="1:25" x14ac:dyDescent="0.3">
      <c r="A654">
        <v>1653</v>
      </c>
      <c r="B654" t="s">
        <v>20</v>
      </c>
      <c r="C654" t="s">
        <v>37</v>
      </c>
      <c r="D654">
        <v>28</v>
      </c>
      <c r="E654" t="s">
        <v>91</v>
      </c>
      <c r="F654" t="s">
        <v>92</v>
      </c>
      <c r="G654" t="s">
        <v>59</v>
      </c>
      <c r="H654" t="s">
        <v>665</v>
      </c>
      <c r="I654">
        <v>4</v>
      </c>
      <c r="J654">
        <v>33064</v>
      </c>
      <c r="K654">
        <v>4.8</v>
      </c>
      <c r="L654">
        <v>82.1</v>
      </c>
      <c r="M654">
        <v>11</v>
      </c>
      <c r="N654">
        <v>31</v>
      </c>
      <c r="O654">
        <v>12320</v>
      </c>
      <c r="P654" t="s">
        <v>33</v>
      </c>
      <c r="Q654" t="s">
        <v>27</v>
      </c>
      <c r="R654" t="s">
        <v>70</v>
      </c>
      <c r="S654" t="s">
        <v>34</v>
      </c>
      <c r="T654" t="s">
        <v>35</v>
      </c>
      <c r="U654">
        <f t="shared" si="50"/>
        <v>45384</v>
      </c>
      <c r="V654" t="str">
        <f t="shared" si="51"/>
        <v>Needs Improvement</v>
      </c>
      <c r="W654" t="str">
        <f t="shared" si="52"/>
        <v>Normal</v>
      </c>
      <c r="X654" t="str">
        <f t="shared" si="53"/>
        <v>Mid</v>
      </c>
      <c r="Y654" t="str">
        <f t="shared" si="54"/>
        <v>25-34</v>
      </c>
    </row>
    <row r="655" spans="1:25" x14ac:dyDescent="0.3">
      <c r="A655">
        <v>1654</v>
      </c>
      <c r="B655" t="s">
        <v>43</v>
      </c>
      <c r="C655" t="s">
        <v>21</v>
      </c>
      <c r="D655">
        <v>35</v>
      </c>
      <c r="E655" t="s">
        <v>55</v>
      </c>
      <c r="F655" t="s">
        <v>56</v>
      </c>
      <c r="G655" t="s">
        <v>51</v>
      </c>
      <c r="H655" t="s">
        <v>480</v>
      </c>
      <c r="I655">
        <v>6</v>
      </c>
      <c r="J655">
        <v>88897</v>
      </c>
      <c r="K655">
        <v>4.9000000000000004</v>
      </c>
      <c r="L655">
        <v>99</v>
      </c>
      <c r="M655">
        <v>19</v>
      </c>
      <c r="N655">
        <v>39</v>
      </c>
      <c r="O655">
        <v>8680</v>
      </c>
      <c r="P655" t="s">
        <v>47</v>
      </c>
      <c r="Q655" t="s">
        <v>27</v>
      </c>
      <c r="R655" t="s">
        <v>70</v>
      </c>
      <c r="S655" t="s">
        <v>29</v>
      </c>
      <c r="T655" t="s">
        <v>50</v>
      </c>
      <c r="U655">
        <f t="shared" si="50"/>
        <v>97577</v>
      </c>
      <c r="V655" t="str">
        <f t="shared" si="51"/>
        <v>Excellent</v>
      </c>
      <c r="W655" t="str">
        <f t="shared" si="52"/>
        <v>Normal</v>
      </c>
      <c r="X655" t="str">
        <f t="shared" si="53"/>
        <v>Mid</v>
      </c>
      <c r="Y655" t="str">
        <f t="shared" si="54"/>
        <v>35-44</v>
      </c>
    </row>
    <row r="656" spans="1:25" x14ac:dyDescent="0.3">
      <c r="A656">
        <v>1655</v>
      </c>
      <c r="B656" t="s">
        <v>148</v>
      </c>
      <c r="C656" t="s">
        <v>21</v>
      </c>
      <c r="D656">
        <v>36</v>
      </c>
      <c r="E656" t="s">
        <v>62</v>
      </c>
      <c r="F656" t="s">
        <v>97</v>
      </c>
      <c r="G656" t="s">
        <v>45</v>
      </c>
      <c r="H656" t="s">
        <v>666</v>
      </c>
      <c r="I656">
        <v>4</v>
      </c>
      <c r="J656">
        <v>36667</v>
      </c>
      <c r="K656">
        <v>4.3</v>
      </c>
      <c r="L656">
        <v>84.4</v>
      </c>
      <c r="M656">
        <v>21</v>
      </c>
      <c r="N656">
        <v>24</v>
      </c>
      <c r="O656">
        <v>5168</v>
      </c>
      <c r="P656" t="s">
        <v>33</v>
      </c>
      <c r="Q656" t="s">
        <v>48</v>
      </c>
      <c r="R656" t="s">
        <v>58</v>
      </c>
      <c r="S656" t="s">
        <v>34</v>
      </c>
      <c r="T656" t="s">
        <v>35</v>
      </c>
      <c r="U656">
        <f t="shared" si="50"/>
        <v>41835</v>
      </c>
      <c r="V656" t="str">
        <f t="shared" si="51"/>
        <v>Needs Improvement</v>
      </c>
      <c r="W656" t="str">
        <f t="shared" si="52"/>
        <v>High</v>
      </c>
      <c r="X656" t="str">
        <f t="shared" si="53"/>
        <v>Mid</v>
      </c>
      <c r="Y656" t="str">
        <f t="shared" si="54"/>
        <v>35-44</v>
      </c>
    </row>
    <row r="657" spans="1:25" x14ac:dyDescent="0.3">
      <c r="A657">
        <v>1656</v>
      </c>
      <c r="B657" t="s">
        <v>121</v>
      </c>
      <c r="C657" t="s">
        <v>21</v>
      </c>
      <c r="D657">
        <v>31</v>
      </c>
      <c r="E657" t="s">
        <v>62</v>
      </c>
      <c r="F657" t="s">
        <v>97</v>
      </c>
      <c r="G657" t="s">
        <v>64</v>
      </c>
      <c r="H657" t="s">
        <v>264</v>
      </c>
      <c r="I657">
        <v>1</v>
      </c>
      <c r="J657">
        <v>37683</v>
      </c>
      <c r="K657">
        <v>4.5999999999999996</v>
      </c>
      <c r="L657">
        <v>99.2</v>
      </c>
      <c r="M657">
        <v>20</v>
      </c>
      <c r="N657">
        <v>11</v>
      </c>
      <c r="O657">
        <v>8528</v>
      </c>
      <c r="P657" t="s">
        <v>26</v>
      </c>
      <c r="Q657" t="s">
        <v>48</v>
      </c>
      <c r="R657" t="s">
        <v>70</v>
      </c>
      <c r="S657" t="s">
        <v>34</v>
      </c>
      <c r="T657" t="s">
        <v>30</v>
      </c>
      <c r="U657">
        <f t="shared" si="50"/>
        <v>46211</v>
      </c>
      <c r="V657" t="str">
        <f t="shared" si="51"/>
        <v>Excellent</v>
      </c>
      <c r="W657" t="str">
        <f t="shared" si="52"/>
        <v>Normal</v>
      </c>
      <c r="X657" t="str">
        <f t="shared" si="53"/>
        <v>Junior</v>
      </c>
      <c r="Y657" t="str">
        <f t="shared" si="54"/>
        <v>25-34</v>
      </c>
    </row>
    <row r="658" spans="1:25" x14ac:dyDescent="0.3">
      <c r="A658">
        <v>1657</v>
      </c>
      <c r="B658" t="s">
        <v>61</v>
      </c>
      <c r="C658" t="s">
        <v>21</v>
      </c>
      <c r="D658">
        <v>42</v>
      </c>
      <c r="E658" t="s">
        <v>38</v>
      </c>
      <c r="F658" t="s">
        <v>44</v>
      </c>
      <c r="G658" t="s">
        <v>51</v>
      </c>
      <c r="H658" t="s">
        <v>353</v>
      </c>
      <c r="I658">
        <v>10</v>
      </c>
      <c r="J658">
        <v>89234</v>
      </c>
      <c r="K658">
        <v>3.7</v>
      </c>
      <c r="L658">
        <v>91</v>
      </c>
      <c r="M658">
        <v>12</v>
      </c>
      <c r="N658">
        <v>58</v>
      </c>
      <c r="O658">
        <v>13325</v>
      </c>
      <c r="P658" t="s">
        <v>47</v>
      </c>
      <c r="Q658" t="s">
        <v>27</v>
      </c>
      <c r="R658" t="s">
        <v>28</v>
      </c>
      <c r="S658" t="s">
        <v>29</v>
      </c>
      <c r="T658" t="s">
        <v>50</v>
      </c>
      <c r="U658">
        <f t="shared" si="50"/>
        <v>102559</v>
      </c>
      <c r="V658" t="str">
        <f t="shared" si="51"/>
        <v>Needs Improvement</v>
      </c>
      <c r="W658" t="str">
        <f t="shared" si="52"/>
        <v>Normal</v>
      </c>
      <c r="X658" t="str">
        <f t="shared" si="53"/>
        <v>Senior</v>
      </c>
      <c r="Y658" t="str">
        <f t="shared" si="54"/>
        <v>35-44</v>
      </c>
    </row>
    <row r="659" spans="1:25" x14ac:dyDescent="0.3">
      <c r="A659">
        <v>1658</v>
      </c>
      <c r="B659" t="s">
        <v>36</v>
      </c>
      <c r="C659" t="s">
        <v>21</v>
      </c>
      <c r="D659">
        <v>36</v>
      </c>
      <c r="E659" t="s">
        <v>62</v>
      </c>
      <c r="F659" t="s">
        <v>97</v>
      </c>
      <c r="G659" t="s">
        <v>59</v>
      </c>
      <c r="H659" t="s">
        <v>667</v>
      </c>
      <c r="I659">
        <v>1</v>
      </c>
      <c r="J659">
        <v>55762</v>
      </c>
      <c r="K659">
        <v>4.4000000000000004</v>
      </c>
      <c r="L659">
        <v>95.4</v>
      </c>
      <c r="M659">
        <v>20</v>
      </c>
      <c r="N659">
        <v>25</v>
      </c>
      <c r="O659">
        <v>10607</v>
      </c>
      <c r="P659" t="s">
        <v>26</v>
      </c>
      <c r="Q659" t="s">
        <v>27</v>
      </c>
      <c r="R659" t="s">
        <v>58</v>
      </c>
      <c r="S659" t="s">
        <v>49</v>
      </c>
      <c r="T659" t="s">
        <v>30</v>
      </c>
      <c r="U659">
        <f t="shared" si="50"/>
        <v>66369</v>
      </c>
      <c r="V659" t="str">
        <f t="shared" si="51"/>
        <v>Excellent</v>
      </c>
      <c r="W659" t="str">
        <f t="shared" si="52"/>
        <v>Normal</v>
      </c>
      <c r="X659" t="str">
        <f t="shared" si="53"/>
        <v>Junior</v>
      </c>
      <c r="Y659" t="str">
        <f t="shared" si="54"/>
        <v>35-44</v>
      </c>
    </row>
    <row r="660" spans="1:25" x14ac:dyDescent="0.3">
      <c r="A660">
        <v>1659</v>
      </c>
      <c r="B660" t="s">
        <v>83</v>
      </c>
      <c r="C660" t="s">
        <v>21</v>
      </c>
      <c r="D660">
        <v>27</v>
      </c>
      <c r="E660" t="s">
        <v>91</v>
      </c>
      <c r="F660" t="s">
        <v>92</v>
      </c>
      <c r="G660" t="s">
        <v>51</v>
      </c>
      <c r="H660" t="s">
        <v>668</v>
      </c>
      <c r="I660">
        <v>7</v>
      </c>
      <c r="J660">
        <v>81436</v>
      </c>
      <c r="K660">
        <v>4.2</v>
      </c>
      <c r="L660">
        <v>87.6</v>
      </c>
      <c r="M660">
        <v>1</v>
      </c>
      <c r="N660">
        <v>13</v>
      </c>
      <c r="O660">
        <v>9207</v>
      </c>
      <c r="P660" t="s">
        <v>47</v>
      </c>
      <c r="Q660" t="s">
        <v>48</v>
      </c>
      <c r="R660" t="s">
        <v>58</v>
      </c>
      <c r="S660" t="s">
        <v>29</v>
      </c>
      <c r="T660" t="s">
        <v>50</v>
      </c>
      <c r="U660">
        <f t="shared" si="50"/>
        <v>90643</v>
      </c>
      <c r="V660" t="str">
        <f t="shared" si="51"/>
        <v>Needs Improvement</v>
      </c>
      <c r="W660" t="str">
        <f t="shared" si="52"/>
        <v>Normal</v>
      </c>
      <c r="X660" t="str">
        <f t="shared" si="53"/>
        <v>Senior</v>
      </c>
      <c r="Y660" t="str">
        <f t="shared" si="54"/>
        <v>25-34</v>
      </c>
    </row>
    <row r="661" spans="1:25" x14ac:dyDescent="0.3">
      <c r="A661">
        <v>1660</v>
      </c>
      <c r="B661" t="s">
        <v>178</v>
      </c>
      <c r="C661" t="s">
        <v>21</v>
      </c>
      <c r="D661">
        <v>39</v>
      </c>
      <c r="E661" t="s">
        <v>55</v>
      </c>
      <c r="F661" t="s">
        <v>79</v>
      </c>
      <c r="G661" t="s">
        <v>59</v>
      </c>
      <c r="H661" t="s">
        <v>669</v>
      </c>
      <c r="I661">
        <v>9</v>
      </c>
      <c r="J661">
        <v>75151</v>
      </c>
      <c r="K661">
        <v>4.2</v>
      </c>
      <c r="L661">
        <v>89.2</v>
      </c>
      <c r="M661">
        <v>5</v>
      </c>
      <c r="N661">
        <v>45</v>
      </c>
      <c r="O661">
        <v>5546</v>
      </c>
      <c r="P661" t="s">
        <v>47</v>
      </c>
      <c r="Q661" t="s">
        <v>27</v>
      </c>
      <c r="R661" t="s">
        <v>58</v>
      </c>
      <c r="S661" t="s">
        <v>29</v>
      </c>
      <c r="T661" t="s">
        <v>50</v>
      </c>
      <c r="U661">
        <f t="shared" si="50"/>
        <v>80697</v>
      </c>
      <c r="V661" t="str">
        <f t="shared" si="51"/>
        <v>Needs Improvement</v>
      </c>
      <c r="W661" t="str">
        <f t="shared" si="52"/>
        <v>Normal</v>
      </c>
      <c r="X661" t="str">
        <f t="shared" si="53"/>
        <v>Senior</v>
      </c>
      <c r="Y661" t="str">
        <f t="shared" si="54"/>
        <v>35-44</v>
      </c>
    </row>
    <row r="662" spans="1:25" x14ac:dyDescent="0.3">
      <c r="A662">
        <v>1661</v>
      </c>
      <c r="B662" t="s">
        <v>61</v>
      </c>
      <c r="C662" t="s">
        <v>21</v>
      </c>
      <c r="D662">
        <v>22</v>
      </c>
      <c r="E662" t="s">
        <v>55</v>
      </c>
      <c r="F662" t="s">
        <v>56</v>
      </c>
      <c r="G662" t="s">
        <v>51</v>
      </c>
      <c r="H662" t="s">
        <v>670</v>
      </c>
      <c r="I662">
        <v>7</v>
      </c>
      <c r="J662">
        <v>61976</v>
      </c>
      <c r="K662">
        <v>4.2</v>
      </c>
      <c r="L662">
        <v>82.8</v>
      </c>
      <c r="M662">
        <v>5</v>
      </c>
      <c r="N662">
        <v>33</v>
      </c>
      <c r="O662">
        <v>13549</v>
      </c>
      <c r="P662" t="s">
        <v>47</v>
      </c>
      <c r="Q662" t="s">
        <v>48</v>
      </c>
      <c r="R662" t="s">
        <v>58</v>
      </c>
      <c r="S662" t="s">
        <v>49</v>
      </c>
      <c r="T662" t="s">
        <v>50</v>
      </c>
      <c r="U662">
        <f t="shared" si="50"/>
        <v>75525</v>
      </c>
      <c r="V662" t="str">
        <f t="shared" si="51"/>
        <v>Needs Improvement</v>
      </c>
      <c r="W662" t="str">
        <f t="shared" si="52"/>
        <v>Normal</v>
      </c>
      <c r="X662" t="str">
        <f t="shared" si="53"/>
        <v>Senior</v>
      </c>
      <c r="Y662" t="str">
        <f t="shared" si="54"/>
        <v>20-24</v>
      </c>
    </row>
    <row r="663" spans="1:25" x14ac:dyDescent="0.3">
      <c r="A663">
        <v>1662</v>
      </c>
      <c r="B663" t="s">
        <v>178</v>
      </c>
      <c r="C663" t="s">
        <v>37</v>
      </c>
      <c r="D663">
        <v>33</v>
      </c>
      <c r="E663" t="s">
        <v>55</v>
      </c>
      <c r="F663" t="s">
        <v>56</v>
      </c>
      <c r="G663" t="s">
        <v>45</v>
      </c>
      <c r="H663" t="s">
        <v>567</v>
      </c>
      <c r="I663">
        <v>3</v>
      </c>
      <c r="J663">
        <v>70165</v>
      </c>
      <c r="K663">
        <v>4</v>
      </c>
      <c r="L663">
        <v>86.9</v>
      </c>
      <c r="M663">
        <v>24</v>
      </c>
      <c r="N663">
        <v>59</v>
      </c>
      <c r="O663">
        <v>9897</v>
      </c>
      <c r="P663" t="s">
        <v>26</v>
      </c>
      <c r="Q663" t="s">
        <v>27</v>
      </c>
      <c r="R663" t="s">
        <v>58</v>
      </c>
      <c r="S663" t="s">
        <v>29</v>
      </c>
      <c r="T663" t="s">
        <v>35</v>
      </c>
      <c r="U663">
        <f t="shared" si="50"/>
        <v>80062</v>
      </c>
      <c r="V663" t="str">
        <f t="shared" si="51"/>
        <v>Needs Improvement</v>
      </c>
      <c r="W663" t="str">
        <f t="shared" si="52"/>
        <v>High</v>
      </c>
      <c r="X663" t="str">
        <f t="shared" si="53"/>
        <v>Mid</v>
      </c>
      <c r="Y663" t="str">
        <f t="shared" si="54"/>
        <v>25-34</v>
      </c>
    </row>
    <row r="664" spans="1:25" x14ac:dyDescent="0.3">
      <c r="A664">
        <v>1663</v>
      </c>
      <c r="B664" t="s">
        <v>71</v>
      </c>
      <c r="C664" t="s">
        <v>21</v>
      </c>
      <c r="D664">
        <v>32</v>
      </c>
      <c r="E664" t="s">
        <v>62</v>
      </c>
      <c r="F664" t="s">
        <v>63</v>
      </c>
      <c r="G664" t="s">
        <v>64</v>
      </c>
      <c r="H664" t="s">
        <v>671</v>
      </c>
      <c r="I664">
        <v>3</v>
      </c>
      <c r="J664">
        <v>32784</v>
      </c>
      <c r="K664">
        <v>3.8</v>
      </c>
      <c r="L664">
        <v>91.9</v>
      </c>
      <c r="M664">
        <v>0</v>
      </c>
      <c r="N664">
        <v>47</v>
      </c>
      <c r="O664">
        <v>13357</v>
      </c>
      <c r="P664" t="s">
        <v>26</v>
      </c>
      <c r="Q664" t="s">
        <v>48</v>
      </c>
      <c r="R664" t="s">
        <v>28</v>
      </c>
      <c r="S664" t="s">
        <v>34</v>
      </c>
      <c r="T664" t="s">
        <v>35</v>
      </c>
      <c r="U664">
        <f t="shared" si="50"/>
        <v>46141</v>
      </c>
      <c r="V664" t="str">
        <f t="shared" si="51"/>
        <v>Needs Improvement</v>
      </c>
      <c r="W664" t="str">
        <f t="shared" si="52"/>
        <v>Normal</v>
      </c>
      <c r="X664" t="str">
        <f t="shared" si="53"/>
        <v>Mid</v>
      </c>
      <c r="Y664" t="str">
        <f t="shared" si="54"/>
        <v>25-34</v>
      </c>
    </row>
    <row r="665" spans="1:25" x14ac:dyDescent="0.3">
      <c r="A665">
        <v>1664</v>
      </c>
      <c r="B665" t="s">
        <v>78</v>
      </c>
      <c r="C665" t="s">
        <v>21</v>
      </c>
      <c r="D665">
        <v>23</v>
      </c>
      <c r="E665" t="s">
        <v>55</v>
      </c>
      <c r="F665" t="s">
        <v>79</v>
      </c>
      <c r="G665" t="s">
        <v>45</v>
      </c>
      <c r="H665" t="s">
        <v>672</v>
      </c>
      <c r="I665">
        <v>8</v>
      </c>
      <c r="J665">
        <v>94698</v>
      </c>
      <c r="K665">
        <v>2.6</v>
      </c>
      <c r="L665">
        <v>83</v>
      </c>
      <c r="M665">
        <v>5</v>
      </c>
      <c r="N665">
        <v>7</v>
      </c>
      <c r="O665">
        <v>13743</v>
      </c>
      <c r="P665" t="s">
        <v>26</v>
      </c>
      <c r="Q665" t="s">
        <v>27</v>
      </c>
      <c r="R665" t="s">
        <v>42</v>
      </c>
      <c r="S665" t="s">
        <v>29</v>
      </c>
      <c r="T665" t="s">
        <v>50</v>
      </c>
      <c r="U665">
        <f t="shared" si="50"/>
        <v>108441</v>
      </c>
      <c r="V665" t="str">
        <f t="shared" si="51"/>
        <v>Needs Improvement</v>
      </c>
      <c r="W665" t="str">
        <f t="shared" si="52"/>
        <v>Normal</v>
      </c>
      <c r="X665" t="str">
        <f t="shared" si="53"/>
        <v>Senior</v>
      </c>
      <c r="Y665" t="str">
        <f t="shared" si="54"/>
        <v>20-24</v>
      </c>
    </row>
    <row r="666" spans="1:25" x14ac:dyDescent="0.3">
      <c r="A666">
        <v>1665</v>
      </c>
      <c r="B666" t="s">
        <v>54</v>
      </c>
      <c r="C666" t="s">
        <v>37</v>
      </c>
      <c r="D666">
        <v>25</v>
      </c>
      <c r="E666" t="s">
        <v>22</v>
      </c>
      <c r="F666" t="s">
        <v>23</v>
      </c>
      <c r="G666" t="s">
        <v>24</v>
      </c>
      <c r="H666" t="s">
        <v>673</v>
      </c>
      <c r="I666">
        <v>8</v>
      </c>
      <c r="J666">
        <v>43919</v>
      </c>
      <c r="K666">
        <v>4.3</v>
      </c>
      <c r="L666">
        <v>82.5</v>
      </c>
      <c r="M666">
        <v>18</v>
      </c>
      <c r="N666">
        <v>30</v>
      </c>
      <c r="O666">
        <v>1569</v>
      </c>
      <c r="P666" t="s">
        <v>33</v>
      </c>
      <c r="Q666" t="s">
        <v>48</v>
      </c>
      <c r="R666" t="s">
        <v>58</v>
      </c>
      <c r="S666" t="s">
        <v>34</v>
      </c>
      <c r="T666" t="s">
        <v>50</v>
      </c>
      <c r="U666">
        <f t="shared" si="50"/>
        <v>45488</v>
      </c>
      <c r="V666" t="str">
        <f t="shared" si="51"/>
        <v>Needs Improvement</v>
      </c>
      <c r="W666" t="str">
        <f t="shared" si="52"/>
        <v>Normal</v>
      </c>
      <c r="X666" t="str">
        <f t="shared" si="53"/>
        <v>Senior</v>
      </c>
      <c r="Y666" t="str">
        <f t="shared" si="54"/>
        <v>25-34</v>
      </c>
    </row>
    <row r="667" spans="1:25" x14ac:dyDescent="0.3">
      <c r="A667">
        <v>1666</v>
      </c>
      <c r="B667" t="s">
        <v>71</v>
      </c>
      <c r="C667" t="s">
        <v>21</v>
      </c>
      <c r="D667">
        <v>29</v>
      </c>
      <c r="E667" t="s">
        <v>38</v>
      </c>
      <c r="F667" t="s">
        <v>44</v>
      </c>
      <c r="G667" t="s">
        <v>59</v>
      </c>
      <c r="H667" t="s">
        <v>438</v>
      </c>
      <c r="I667">
        <v>3</v>
      </c>
      <c r="J667">
        <v>64961</v>
      </c>
      <c r="K667">
        <v>3.6</v>
      </c>
      <c r="L667">
        <v>93.2</v>
      </c>
      <c r="M667">
        <v>18</v>
      </c>
      <c r="N667">
        <v>42</v>
      </c>
      <c r="O667">
        <v>8991</v>
      </c>
      <c r="P667" t="s">
        <v>33</v>
      </c>
      <c r="Q667" t="s">
        <v>27</v>
      </c>
      <c r="R667" t="s">
        <v>28</v>
      </c>
      <c r="S667" t="s">
        <v>49</v>
      </c>
      <c r="T667" t="s">
        <v>35</v>
      </c>
      <c r="U667">
        <f t="shared" si="50"/>
        <v>73952</v>
      </c>
      <c r="V667" t="str">
        <f t="shared" si="51"/>
        <v>Needs Improvement</v>
      </c>
      <c r="W667" t="str">
        <f t="shared" si="52"/>
        <v>Normal</v>
      </c>
      <c r="X667" t="str">
        <f t="shared" si="53"/>
        <v>Mid</v>
      </c>
      <c r="Y667" t="str">
        <f t="shared" si="54"/>
        <v>25-34</v>
      </c>
    </row>
    <row r="668" spans="1:25" x14ac:dyDescent="0.3">
      <c r="A668">
        <v>1667</v>
      </c>
      <c r="B668" t="s">
        <v>54</v>
      </c>
      <c r="C668" t="s">
        <v>37</v>
      </c>
      <c r="D668">
        <v>30</v>
      </c>
      <c r="E668" t="s">
        <v>22</v>
      </c>
      <c r="F668" t="s">
        <v>66</v>
      </c>
      <c r="G668" t="s">
        <v>59</v>
      </c>
      <c r="H668" t="s">
        <v>674</v>
      </c>
      <c r="I668">
        <v>0</v>
      </c>
      <c r="J668">
        <v>87017</v>
      </c>
      <c r="K668">
        <v>3.6</v>
      </c>
      <c r="L668">
        <v>85</v>
      </c>
      <c r="M668">
        <v>8</v>
      </c>
      <c r="N668">
        <v>32</v>
      </c>
      <c r="O668">
        <v>11809</v>
      </c>
      <c r="P668" t="s">
        <v>53</v>
      </c>
      <c r="Q668" t="s">
        <v>48</v>
      </c>
      <c r="R668" t="s">
        <v>28</v>
      </c>
      <c r="S668" t="s">
        <v>29</v>
      </c>
      <c r="T668" t="s">
        <v>30</v>
      </c>
      <c r="U668">
        <f t="shared" si="50"/>
        <v>98826</v>
      </c>
      <c r="V668" t="str">
        <f t="shared" si="51"/>
        <v>Needs Improvement</v>
      </c>
      <c r="W668" t="str">
        <f t="shared" si="52"/>
        <v>Normal</v>
      </c>
      <c r="X668" t="str">
        <f t="shared" si="53"/>
        <v>Junior</v>
      </c>
      <c r="Y668" t="str">
        <f t="shared" si="54"/>
        <v>25-34</v>
      </c>
    </row>
    <row r="669" spans="1:25" x14ac:dyDescent="0.3">
      <c r="A669">
        <v>1668</v>
      </c>
      <c r="B669" t="s">
        <v>43</v>
      </c>
      <c r="C669" t="s">
        <v>37</v>
      </c>
      <c r="D669">
        <v>36</v>
      </c>
      <c r="E669" t="s">
        <v>22</v>
      </c>
      <c r="F669" t="s">
        <v>23</v>
      </c>
      <c r="G669" t="s">
        <v>24</v>
      </c>
      <c r="H669" t="s">
        <v>657</v>
      </c>
      <c r="I669">
        <v>2</v>
      </c>
      <c r="J669">
        <v>35931</v>
      </c>
      <c r="K669">
        <v>4</v>
      </c>
      <c r="L669">
        <v>84.5</v>
      </c>
      <c r="M669">
        <v>20</v>
      </c>
      <c r="N669">
        <v>55</v>
      </c>
      <c r="O669">
        <v>9391</v>
      </c>
      <c r="P669" t="s">
        <v>33</v>
      </c>
      <c r="Q669" t="s">
        <v>48</v>
      </c>
      <c r="R669" t="s">
        <v>58</v>
      </c>
      <c r="S669" t="s">
        <v>34</v>
      </c>
      <c r="T669" t="s">
        <v>30</v>
      </c>
      <c r="U669">
        <f t="shared" si="50"/>
        <v>45322</v>
      </c>
      <c r="V669" t="str">
        <f t="shared" si="51"/>
        <v>Needs Improvement</v>
      </c>
      <c r="W669" t="str">
        <f t="shared" si="52"/>
        <v>Normal</v>
      </c>
      <c r="X669" t="str">
        <f t="shared" si="53"/>
        <v>Junior</v>
      </c>
      <c r="Y669" t="str">
        <f t="shared" si="54"/>
        <v>35-44</v>
      </c>
    </row>
    <row r="670" spans="1:25" x14ac:dyDescent="0.3">
      <c r="A670">
        <v>1669</v>
      </c>
      <c r="B670" t="s">
        <v>99</v>
      </c>
      <c r="C670" t="s">
        <v>21</v>
      </c>
      <c r="D670">
        <v>42</v>
      </c>
      <c r="E670" t="s">
        <v>91</v>
      </c>
      <c r="F670" t="s">
        <v>92</v>
      </c>
      <c r="G670" t="s">
        <v>64</v>
      </c>
      <c r="H670" t="s">
        <v>675</v>
      </c>
      <c r="I670">
        <v>6</v>
      </c>
      <c r="J670">
        <v>50786</v>
      </c>
      <c r="K670">
        <v>3.9</v>
      </c>
      <c r="L670">
        <v>87.1</v>
      </c>
      <c r="M670">
        <v>24</v>
      </c>
      <c r="N670">
        <v>39</v>
      </c>
      <c r="O670">
        <v>8751</v>
      </c>
      <c r="P670" t="s">
        <v>53</v>
      </c>
      <c r="Q670" t="s">
        <v>27</v>
      </c>
      <c r="R670" t="s">
        <v>28</v>
      </c>
      <c r="S670" t="s">
        <v>49</v>
      </c>
      <c r="T670" t="s">
        <v>50</v>
      </c>
      <c r="U670">
        <f t="shared" si="50"/>
        <v>59537</v>
      </c>
      <c r="V670" t="str">
        <f t="shared" si="51"/>
        <v>Needs Improvement</v>
      </c>
      <c r="W670" t="str">
        <f t="shared" si="52"/>
        <v>High</v>
      </c>
      <c r="X670" t="str">
        <f t="shared" si="53"/>
        <v>Mid</v>
      </c>
      <c r="Y670" t="str">
        <f t="shared" si="54"/>
        <v>35-44</v>
      </c>
    </row>
    <row r="671" spans="1:25" x14ac:dyDescent="0.3">
      <c r="A671">
        <v>1670</v>
      </c>
      <c r="B671" t="s">
        <v>85</v>
      </c>
      <c r="C671" t="s">
        <v>37</v>
      </c>
      <c r="D671">
        <v>34</v>
      </c>
      <c r="E671" t="s">
        <v>22</v>
      </c>
      <c r="F671" t="s">
        <v>66</v>
      </c>
      <c r="G671" t="s">
        <v>24</v>
      </c>
      <c r="H671" t="s">
        <v>676</v>
      </c>
      <c r="I671">
        <v>8</v>
      </c>
      <c r="J671">
        <v>67673</v>
      </c>
      <c r="K671">
        <v>2.8</v>
      </c>
      <c r="L671">
        <v>94.2</v>
      </c>
      <c r="M671">
        <v>23</v>
      </c>
      <c r="N671">
        <v>24</v>
      </c>
      <c r="O671">
        <v>14575</v>
      </c>
      <c r="P671" t="s">
        <v>47</v>
      </c>
      <c r="Q671" t="s">
        <v>27</v>
      </c>
      <c r="R671" t="s">
        <v>42</v>
      </c>
      <c r="S671" t="s">
        <v>49</v>
      </c>
      <c r="T671" t="s">
        <v>50</v>
      </c>
      <c r="U671">
        <f t="shared" si="50"/>
        <v>82248</v>
      </c>
      <c r="V671" t="str">
        <f t="shared" si="51"/>
        <v>Needs Improvement</v>
      </c>
      <c r="W671" t="str">
        <f t="shared" si="52"/>
        <v>High</v>
      </c>
      <c r="X671" t="str">
        <f t="shared" si="53"/>
        <v>Senior</v>
      </c>
      <c r="Y671" t="str">
        <f t="shared" si="54"/>
        <v>25-34</v>
      </c>
    </row>
    <row r="672" spans="1:25" x14ac:dyDescent="0.3">
      <c r="A672">
        <v>1671</v>
      </c>
      <c r="B672" t="s">
        <v>20</v>
      </c>
      <c r="C672" t="s">
        <v>21</v>
      </c>
      <c r="D672">
        <v>27</v>
      </c>
      <c r="E672" t="s">
        <v>55</v>
      </c>
      <c r="F672" t="s">
        <v>79</v>
      </c>
      <c r="G672" t="s">
        <v>64</v>
      </c>
      <c r="H672" t="s">
        <v>677</v>
      </c>
      <c r="I672">
        <v>1</v>
      </c>
      <c r="J672">
        <v>72424</v>
      </c>
      <c r="K672">
        <v>4.3</v>
      </c>
      <c r="L672">
        <v>96.9</v>
      </c>
      <c r="M672">
        <v>25</v>
      </c>
      <c r="N672">
        <v>38</v>
      </c>
      <c r="O672">
        <v>11718</v>
      </c>
      <c r="P672" t="s">
        <v>47</v>
      </c>
      <c r="Q672" t="s">
        <v>48</v>
      </c>
      <c r="R672" t="s">
        <v>58</v>
      </c>
      <c r="S672" t="s">
        <v>29</v>
      </c>
      <c r="T672" t="s">
        <v>30</v>
      </c>
      <c r="U672">
        <f t="shared" si="50"/>
        <v>84142</v>
      </c>
      <c r="V672" t="str">
        <f t="shared" si="51"/>
        <v>Excellent</v>
      </c>
      <c r="W672" t="str">
        <f t="shared" si="52"/>
        <v>High</v>
      </c>
      <c r="X672" t="str">
        <f t="shared" si="53"/>
        <v>Junior</v>
      </c>
      <c r="Y672" t="str">
        <f t="shared" si="54"/>
        <v>25-34</v>
      </c>
    </row>
    <row r="673" spans="1:25" x14ac:dyDescent="0.3">
      <c r="A673">
        <v>1672</v>
      </c>
      <c r="B673" t="s">
        <v>20</v>
      </c>
      <c r="C673" t="s">
        <v>21</v>
      </c>
      <c r="D673">
        <v>32</v>
      </c>
      <c r="E673" t="s">
        <v>62</v>
      </c>
      <c r="F673" t="s">
        <v>63</v>
      </c>
      <c r="G673" t="s">
        <v>64</v>
      </c>
      <c r="H673" t="s">
        <v>678</v>
      </c>
      <c r="I673">
        <v>8</v>
      </c>
      <c r="J673">
        <v>54862</v>
      </c>
      <c r="K673">
        <v>3.9</v>
      </c>
      <c r="L673">
        <v>94</v>
      </c>
      <c r="M673">
        <v>25</v>
      </c>
      <c r="N673">
        <v>7</v>
      </c>
      <c r="O673">
        <v>3724</v>
      </c>
      <c r="P673" t="s">
        <v>33</v>
      </c>
      <c r="Q673" t="s">
        <v>48</v>
      </c>
      <c r="R673" t="s">
        <v>28</v>
      </c>
      <c r="S673" t="s">
        <v>49</v>
      </c>
      <c r="T673" t="s">
        <v>50</v>
      </c>
      <c r="U673">
        <f t="shared" si="50"/>
        <v>58586</v>
      </c>
      <c r="V673" t="str">
        <f t="shared" si="51"/>
        <v>Needs Improvement</v>
      </c>
      <c r="W673" t="str">
        <f t="shared" si="52"/>
        <v>High</v>
      </c>
      <c r="X673" t="str">
        <f t="shared" si="53"/>
        <v>Senior</v>
      </c>
      <c r="Y673" t="str">
        <f t="shared" si="54"/>
        <v>25-34</v>
      </c>
    </row>
    <row r="674" spans="1:25" x14ac:dyDescent="0.3">
      <c r="A674">
        <v>1673</v>
      </c>
      <c r="B674" t="s">
        <v>88</v>
      </c>
      <c r="C674" t="s">
        <v>37</v>
      </c>
      <c r="D674">
        <v>42</v>
      </c>
      <c r="E674" t="s">
        <v>38</v>
      </c>
      <c r="F674" t="s">
        <v>39</v>
      </c>
      <c r="G674" t="s">
        <v>59</v>
      </c>
      <c r="H674" t="s">
        <v>679</v>
      </c>
      <c r="I674">
        <v>7</v>
      </c>
      <c r="J674">
        <v>80194</v>
      </c>
      <c r="K674">
        <v>3</v>
      </c>
      <c r="L674">
        <v>99.3</v>
      </c>
      <c r="M674">
        <v>12</v>
      </c>
      <c r="N674">
        <v>40</v>
      </c>
      <c r="O674">
        <v>7991</v>
      </c>
      <c r="P674" t="s">
        <v>41</v>
      </c>
      <c r="Q674" t="s">
        <v>27</v>
      </c>
      <c r="R674" t="s">
        <v>28</v>
      </c>
      <c r="S674" t="s">
        <v>29</v>
      </c>
      <c r="T674" t="s">
        <v>50</v>
      </c>
      <c r="U674">
        <f t="shared" si="50"/>
        <v>88185</v>
      </c>
      <c r="V674" t="str">
        <f t="shared" si="51"/>
        <v>Excellent</v>
      </c>
      <c r="W674" t="str">
        <f t="shared" si="52"/>
        <v>Normal</v>
      </c>
      <c r="X674" t="str">
        <f t="shared" si="53"/>
        <v>Senior</v>
      </c>
      <c r="Y674" t="str">
        <f t="shared" si="54"/>
        <v>35-44</v>
      </c>
    </row>
    <row r="675" spans="1:25" x14ac:dyDescent="0.3">
      <c r="A675">
        <v>1674</v>
      </c>
      <c r="B675" t="s">
        <v>31</v>
      </c>
      <c r="C675" t="s">
        <v>21</v>
      </c>
      <c r="D675">
        <v>29</v>
      </c>
      <c r="E675" t="s">
        <v>38</v>
      </c>
      <c r="F675" t="s">
        <v>39</v>
      </c>
      <c r="G675" t="s">
        <v>51</v>
      </c>
      <c r="H675" t="s">
        <v>680</v>
      </c>
      <c r="I675">
        <v>2</v>
      </c>
      <c r="J675">
        <v>50955</v>
      </c>
      <c r="K675">
        <v>2.8</v>
      </c>
      <c r="L675">
        <v>94.6</v>
      </c>
      <c r="M675">
        <v>21</v>
      </c>
      <c r="N675">
        <v>58</v>
      </c>
      <c r="O675">
        <v>12892</v>
      </c>
      <c r="P675" t="s">
        <v>53</v>
      </c>
      <c r="Q675" t="s">
        <v>27</v>
      </c>
      <c r="R675" t="s">
        <v>42</v>
      </c>
      <c r="S675" t="s">
        <v>49</v>
      </c>
      <c r="T675" t="s">
        <v>30</v>
      </c>
      <c r="U675">
        <f t="shared" si="50"/>
        <v>63847</v>
      </c>
      <c r="V675" t="str">
        <f t="shared" si="51"/>
        <v>Needs Improvement</v>
      </c>
      <c r="W675" t="str">
        <f t="shared" si="52"/>
        <v>High</v>
      </c>
      <c r="X675" t="str">
        <f t="shared" si="53"/>
        <v>Junior</v>
      </c>
      <c r="Y675" t="str">
        <f t="shared" si="54"/>
        <v>25-34</v>
      </c>
    </row>
    <row r="676" spans="1:25" x14ac:dyDescent="0.3">
      <c r="A676">
        <v>1675</v>
      </c>
      <c r="B676" t="s">
        <v>85</v>
      </c>
      <c r="C676" t="s">
        <v>21</v>
      </c>
      <c r="D676">
        <v>39</v>
      </c>
      <c r="E676" t="s">
        <v>38</v>
      </c>
      <c r="F676" t="s">
        <v>44</v>
      </c>
      <c r="G676" t="s">
        <v>51</v>
      </c>
      <c r="H676" t="s">
        <v>681</v>
      </c>
      <c r="I676">
        <v>4</v>
      </c>
      <c r="J676">
        <v>90511</v>
      </c>
      <c r="K676">
        <v>4</v>
      </c>
      <c r="L676">
        <v>97.4</v>
      </c>
      <c r="M676">
        <v>19</v>
      </c>
      <c r="N676">
        <v>16</v>
      </c>
      <c r="O676">
        <v>14550</v>
      </c>
      <c r="P676" t="s">
        <v>47</v>
      </c>
      <c r="Q676" t="s">
        <v>48</v>
      </c>
      <c r="R676" t="s">
        <v>58</v>
      </c>
      <c r="S676" t="s">
        <v>29</v>
      </c>
      <c r="T676" t="s">
        <v>35</v>
      </c>
      <c r="U676">
        <f t="shared" si="50"/>
        <v>105061</v>
      </c>
      <c r="V676" t="str">
        <f t="shared" si="51"/>
        <v>Excellent</v>
      </c>
      <c r="W676" t="str">
        <f t="shared" si="52"/>
        <v>Normal</v>
      </c>
      <c r="X676" t="str">
        <f t="shared" si="53"/>
        <v>Mid</v>
      </c>
      <c r="Y676" t="str">
        <f t="shared" si="54"/>
        <v>35-44</v>
      </c>
    </row>
    <row r="677" spans="1:25" x14ac:dyDescent="0.3">
      <c r="A677">
        <v>1676</v>
      </c>
      <c r="B677" t="s">
        <v>111</v>
      </c>
      <c r="C677" t="s">
        <v>21</v>
      </c>
      <c r="D677">
        <v>25</v>
      </c>
      <c r="E677" t="s">
        <v>62</v>
      </c>
      <c r="F677" t="s">
        <v>97</v>
      </c>
      <c r="G677" t="s">
        <v>45</v>
      </c>
      <c r="H677" t="s">
        <v>682</v>
      </c>
      <c r="I677">
        <v>7</v>
      </c>
      <c r="J677">
        <v>40313</v>
      </c>
      <c r="K677">
        <v>4</v>
      </c>
      <c r="L677">
        <v>99.1</v>
      </c>
      <c r="M677">
        <v>14</v>
      </c>
      <c r="N677">
        <v>12</v>
      </c>
      <c r="O677">
        <v>10975</v>
      </c>
      <c r="P677" t="s">
        <v>41</v>
      </c>
      <c r="Q677" t="s">
        <v>48</v>
      </c>
      <c r="R677" t="s">
        <v>58</v>
      </c>
      <c r="S677" t="s">
        <v>34</v>
      </c>
      <c r="T677" t="s">
        <v>50</v>
      </c>
      <c r="U677">
        <f t="shared" si="50"/>
        <v>51288</v>
      </c>
      <c r="V677" t="str">
        <f t="shared" si="51"/>
        <v>Excellent</v>
      </c>
      <c r="W677" t="str">
        <f t="shared" si="52"/>
        <v>Normal</v>
      </c>
      <c r="X677" t="str">
        <f t="shared" si="53"/>
        <v>Senior</v>
      </c>
      <c r="Y677" t="str">
        <f t="shared" si="54"/>
        <v>25-34</v>
      </c>
    </row>
    <row r="678" spans="1:25" x14ac:dyDescent="0.3">
      <c r="A678">
        <v>1677</v>
      </c>
      <c r="B678" t="s">
        <v>31</v>
      </c>
      <c r="C678" t="s">
        <v>21</v>
      </c>
      <c r="D678">
        <v>28</v>
      </c>
      <c r="E678" t="s">
        <v>38</v>
      </c>
      <c r="F678" t="s">
        <v>39</v>
      </c>
      <c r="G678" t="s">
        <v>59</v>
      </c>
      <c r="H678" t="s">
        <v>541</v>
      </c>
      <c r="I678">
        <v>0</v>
      </c>
      <c r="J678">
        <v>74167</v>
      </c>
      <c r="K678">
        <v>2.6</v>
      </c>
      <c r="L678">
        <v>87.9</v>
      </c>
      <c r="M678">
        <v>2</v>
      </c>
      <c r="N678">
        <v>34</v>
      </c>
      <c r="O678">
        <v>4943</v>
      </c>
      <c r="P678" t="s">
        <v>33</v>
      </c>
      <c r="Q678" t="s">
        <v>27</v>
      </c>
      <c r="R678" t="s">
        <v>42</v>
      </c>
      <c r="S678" t="s">
        <v>29</v>
      </c>
      <c r="T678" t="s">
        <v>30</v>
      </c>
      <c r="U678">
        <f t="shared" si="50"/>
        <v>79110</v>
      </c>
      <c r="V678" t="str">
        <f t="shared" si="51"/>
        <v>Needs Improvement</v>
      </c>
      <c r="W678" t="str">
        <f t="shared" si="52"/>
        <v>Normal</v>
      </c>
      <c r="X678" t="str">
        <f t="shared" si="53"/>
        <v>Junior</v>
      </c>
      <c r="Y678" t="str">
        <f t="shared" si="54"/>
        <v>25-34</v>
      </c>
    </row>
    <row r="679" spans="1:25" x14ac:dyDescent="0.3">
      <c r="A679">
        <v>1678</v>
      </c>
      <c r="B679" t="s">
        <v>148</v>
      </c>
      <c r="C679" t="s">
        <v>37</v>
      </c>
      <c r="D679">
        <v>31</v>
      </c>
      <c r="E679" t="s">
        <v>91</v>
      </c>
      <c r="F679" t="s">
        <v>92</v>
      </c>
      <c r="G679" t="s">
        <v>24</v>
      </c>
      <c r="H679" t="s">
        <v>163</v>
      </c>
      <c r="I679">
        <v>6</v>
      </c>
      <c r="J679">
        <v>46198</v>
      </c>
      <c r="K679">
        <v>2.6</v>
      </c>
      <c r="L679">
        <v>83.1</v>
      </c>
      <c r="M679">
        <v>15</v>
      </c>
      <c r="N679">
        <v>34</v>
      </c>
      <c r="O679">
        <v>9388</v>
      </c>
      <c r="P679" t="s">
        <v>47</v>
      </c>
      <c r="Q679" t="s">
        <v>27</v>
      </c>
      <c r="R679" t="s">
        <v>42</v>
      </c>
      <c r="S679" t="s">
        <v>34</v>
      </c>
      <c r="T679" t="s">
        <v>50</v>
      </c>
      <c r="U679">
        <f t="shared" si="50"/>
        <v>55586</v>
      </c>
      <c r="V679" t="str">
        <f t="shared" si="51"/>
        <v>Needs Improvement</v>
      </c>
      <c r="W679" t="str">
        <f t="shared" si="52"/>
        <v>Normal</v>
      </c>
      <c r="X679" t="str">
        <f t="shared" si="53"/>
        <v>Mid</v>
      </c>
      <c r="Y679" t="str">
        <f t="shared" si="54"/>
        <v>25-34</v>
      </c>
    </row>
    <row r="680" spans="1:25" x14ac:dyDescent="0.3">
      <c r="A680">
        <v>1679</v>
      </c>
      <c r="B680" t="s">
        <v>178</v>
      </c>
      <c r="C680" t="s">
        <v>21</v>
      </c>
      <c r="D680">
        <v>24</v>
      </c>
      <c r="E680" t="s">
        <v>62</v>
      </c>
      <c r="F680" t="s">
        <v>97</v>
      </c>
      <c r="G680" t="s">
        <v>59</v>
      </c>
      <c r="H680" t="s">
        <v>683</v>
      </c>
      <c r="I680">
        <v>6</v>
      </c>
      <c r="J680">
        <v>31136</v>
      </c>
      <c r="K680">
        <v>4.9000000000000004</v>
      </c>
      <c r="L680">
        <v>94.4</v>
      </c>
      <c r="M680">
        <v>12</v>
      </c>
      <c r="N680">
        <v>39</v>
      </c>
      <c r="O680">
        <v>3165</v>
      </c>
      <c r="P680" t="s">
        <v>33</v>
      </c>
      <c r="Q680" t="s">
        <v>48</v>
      </c>
      <c r="R680" t="s">
        <v>70</v>
      </c>
      <c r="S680" t="s">
        <v>34</v>
      </c>
      <c r="T680" t="s">
        <v>50</v>
      </c>
      <c r="U680">
        <f t="shared" si="50"/>
        <v>34301</v>
      </c>
      <c r="V680" t="str">
        <f t="shared" si="51"/>
        <v>Needs Improvement</v>
      </c>
      <c r="W680" t="str">
        <f t="shared" si="52"/>
        <v>Normal</v>
      </c>
      <c r="X680" t="str">
        <f t="shared" si="53"/>
        <v>Mid</v>
      </c>
      <c r="Y680" t="str">
        <f t="shared" si="54"/>
        <v>20-24</v>
      </c>
    </row>
    <row r="681" spans="1:25" x14ac:dyDescent="0.3">
      <c r="A681">
        <v>1680</v>
      </c>
      <c r="B681" t="s">
        <v>36</v>
      </c>
      <c r="C681" t="s">
        <v>37</v>
      </c>
      <c r="D681">
        <v>28</v>
      </c>
      <c r="E681" t="s">
        <v>22</v>
      </c>
      <c r="F681" t="s">
        <v>23</v>
      </c>
      <c r="G681" t="s">
        <v>24</v>
      </c>
      <c r="H681" t="s">
        <v>684</v>
      </c>
      <c r="I681">
        <v>8</v>
      </c>
      <c r="J681">
        <v>75011</v>
      </c>
      <c r="K681">
        <v>3.3</v>
      </c>
      <c r="L681">
        <v>89.9</v>
      </c>
      <c r="M681">
        <v>15</v>
      </c>
      <c r="N681">
        <v>52</v>
      </c>
      <c r="O681">
        <v>14358</v>
      </c>
      <c r="P681" t="s">
        <v>41</v>
      </c>
      <c r="Q681" t="s">
        <v>27</v>
      </c>
      <c r="R681" t="s">
        <v>28</v>
      </c>
      <c r="S681" t="s">
        <v>29</v>
      </c>
      <c r="T681" t="s">
        <v>50</v>
      </c>
      <c r="U681">
        <f t="shared" si="50"/>
        <v>89369</v>
      </c>
      <c r="V681" t="str">
        <f t="shared" si="51"/>
        <v>Needs Improvement</v>
      </c>
      <c r="W681" t="str">
        <f t="shared" si="52"/>
        <v>Normal</v>
      </c>
      <c r="X681" t="str">
        <f t="shared" si="53"/>
        <v>Senior</v>
      </c>
      <c r="Y681" t="str">
        <f t="shared" si="54"/>
        <v>25-34</v>
      </c>
    </row>
    <row r="682" spans="1:25" x14ac:dyDescent="0.3">
      <c r="A682">
        <v>1681</v>
      </c>
      <c r="B682" t="s">
        <v>73</v>
      </c>
      <c r="C682" t="s">
        <v>37</v>
      </c>
      <c r="D682">
        <v>22</v>
      </c>
      <c r="E682" t="s">
        <v>62</v>
      </c>
      <c r="F682" t="s">
        <v>97</v>
      </c>
      <c r="G682" t="s">
        <v>64</v>
      </c>
      <c r="H682" t="s">
        <v>685</v>
      </c>
      <c r="I682">
        <v>8</v>
      </c>
      <c r="J682">
        <v>44982</v>
      </c>
      <c r="K682">
        <v>4.2</v>
      </c>
      <c r="L682">
        <v>83.8</v>
      </c>
      <c r="M682">
        <v>9</v>
      </c>
      <c r="N682">
        <v>18</v>
      </c>
      <c r="O682">
        <v>4037</v>
      </c>
      <c r="P682" t="s">
        <v>33</v>
      </c>
      <c r="Q682" t="s">
        <v>27</v>
      </c>
      <c r="R682" t="s">
        <v>58</v>
      </c>
      <c r="S682" t="s">
        <v>34</v>
      </c>
      <c r="T682" t="s">
        <v>50</v>
      </c>
      <c r="U682">
        <f t="shared" si="50"/>
        <v>49019</v>
      </c>
      <c r="V682" t="str">
        <f t="shared" si="51"/>
        <v>Needs Improvement</v>
      </c>
      <c r="W682" t="str">
        <f t="shared" si="52"/>
        <v>Normal</v>
      </c>
      <c r="X682" t="str">
        <f t="shared" si="53"/>
        <v>Senior</v>
      </c>
      <c r="Y682" t="str">
        <f t="shared" si="54"/>
        <v>20-24</v>
      </c>
    </row>
    <row r="683" spans="1:25" x14ac:dyDescent="0.3">
      <c r="A683">
        <v>1682</v>
      </c>
      <c r="B683" t="s">
        <v>178</v>
      </c>
      <c r="C683" t="s">
        <v>21</v>
      </c>
      <c r="D683">
        <v>35</v>
      </c>
      <c r="E683" t="s">
        <v>62</v>
      </c>
      <c r="F683" t="s">
        <v>97</v>
      </c>
      <c r="G683" t="s">
        <v>64</v>
      </c>
      <c r="H683" t="s">
        <v>686</v>
      </c>
      <c r="I683">
        <v>0</v>
      </c>
      <c r="J683">
        <v>92374</v>
      </c>
      <c r="K683">
        <v>2.7</v>
      </c>
      <c r="L683">
        <v>89.3</v>
      </c>
      <c r="M683">
        <v>1</v>
      </c>
      <c r="N683">
        <v>11</v>
      </c>
      <c r="O683">
        <v>4453</v>
      </c>
      <c r="P683" t="s">
        <v>41</v>
      </c>
      <c r="Q683" t="s">
        <v>48</v>
      </c>
      <c r="R683" t="s">
        <v>42</v>
      </c>
      <c r="S683" t="s">
        <v>29</v>
      </c>
      <c r="T683" t="s">
        <v>30</v>
      </c>
      <c r="U683">
        <f t="shared" si="50"/>
        <v>96827</v>
      </c>
      <c r="V683" t="str">
        <f t="shared" si="51"/>
        <v>Needs Improvement</v>
      </c>
      <c r="W683" t="str">
        <f t="shared" si="52"/>
        <v>Normal</v>
      </c>
      <c r="X683" t="str">
        <f t="shared" si="53"/>
        <v>Junior</v>
      </c>
      <c r="Y683" t="str">
        <f t="shared" si="54"/>
        <v>35-44</v>
      </c>
    </row>
    <row r="684" spans="1:25" x14ac:dyDescent="0.3">
      <c r="A684">
        <v>1683</v>
      </c>
      <c r="B684" t="s">
        <v>73</v>
      </c>
      <c r="C684" t="s">
        <v>21</v>
      </c>
      <c r="D684">
        <v>23</v>
      </c>
      <c r="E684" t="s">
        <v>91</v>
      </c>
      <c r="F684" t="s">
        <v>101</v>
      </c>
      <c r="G684" t="s">
        <v>24</v>
      </c>
      <c r="H684" t="s">
        <v>578</v>
      </c>
      <c r="I684">
        <v>10</v>
      </c>
      <c r="J684">
        <v>79902</v>
      </c>
      <c r="K684">
        <v>4.5999999999999996</v>
      </c>
      <c r="L684">
        <v>86.8</v>
      </c>
      <c r="M684">
        <v>25</v>
      </c>
      <c r="N684">
        <v>7</v>
      </c>
      <c r="O684">
        <v>12999</v>
      </c>
      <c r="P684" t="s">
        <v>47</v>
      </c>
      <c r="Q684" t="s">
        <v>27</v>
      </c>
      <c r="R684" t="s">
        <v>70</v>
      </c>
      <c r="S684" t="s">
        <v>29</v>
      </c>
      <c r="T684" t="s">
        <v>50</v>
      </c>
      <c r="U684">
        <f t="shared" si="50"/>
        <v>92901</v>
      </c>
      <c r="V684" t="str">
        <f t="shared" si="51"/>
        <v>Needs Improvement</v>
      </c>
      <c r="W684" t="str">
        <f t="shared" si="52"/>
        <v>High</v>
      </c>
      <c r="X684" t="str">
        <f t="shared" si="53"/>
        <v>Senior</v>
      </c>
      <c r="Y684" t="str">
        <f t="shared" si="54"/>
        <v>20-24</v>
      </c>
    </row>
    <row r="685" spans="1:25" x14ac:dyDescent="0.3">
      <c r="A685">
        <v>1684</v>
      </c>
      <c r="B685" t="s">
        <v>36</v>
      </c>
      <c r="C685" t="s">
        <v>37</v>
      </c>
      <c r="D685">
        <v>38</v>
      </c>
      <c r="E685" t="s">
        <v>22</v>
      </c>
      <c r="F685" t="s">
        <v>66</v>
      </c>
      <c r="G685" t="s">
        <v>64</v>
      </c>
      <c r="H685" t="s">
        <v>687</v>
      </c>
      <c r="I685">
        <v>6</v>
      </c>
      <c r="J685">
        <v>67436</v>
      </c>
      <c r="K685">
        <v>4.5</v>
      </c>
      <c r="L685">
        <v>90.2</v>
      </c>
      <c r="M685">
        <v>21</v>
      </c>
      <c r="N685">
        <v>58</v>
      </c>
      <c r="O685">
        <v>9462</v>
      </c>
      <c r="P685" t="s">
        <v>33</v>
      </c>
      <c r="Q685" t="s">
        <v>48</v>
      </c>
      <c r="R685" t="s">
        <v>70</v>
      </c>
      <c r="S685" t="s">
        <v>49</v>
      </c>
      <c r="T685" t="s">
        <v>50</v>
      </c>
      <c r="U685">
        <f t="shared" si="50"/>
        <v>76898</v>
      </c>
      <c r="V685" t="str">
        <f t="shared" si="51"/>
        <v>Needs Improvement</v>
      </c>
      <c r="W685" t="str">
        <f t="shared" si="52"/>
        <v>High</v>
      </c>
      <c r="X685" t="str">
        <f t="shared" si="53"/>
        <v>Mid</v>
      </c>
      <c r="Y685" t="str">
        <f t="shared" si="54"/>
        <v>35-44</v>
      </c>
    </row>
    <row r="686" spans="1:25" x14ac:dyDescent="0.3">
      <c r="A686">
        <v>1685</v>
      </c>
      <c r="B686" t="s">
        <v>54</v>
      </c>
      <c r="C686" t="s">
        <v>21</v>
      </c>
      <c r="D686">
        <v>25</v>
      </c>
      <c r="E686" t="s">
        <v>91</v>
      </c>
      <c r="F686" t="s">
        <v>101</v>
      </c>
      <c r="G686" t="s">
        <v>51</v>
      </c>
      <c r="H686" t="s">
        <v>688</v>
      </c>
      <c r="I686">
        <v>7</v>
      </c>
      <c r="J686">
        <v>89012</v>
      </c>
      <c r="K686">
        <v>4</v>
      </c>
      <c r="L686">
        <v>93</v>
      </c>
      <c r="M686">
        <v>17</v>
      </c>
      <c r="N686">
        <v>52</v>
      </c>
      <c r="O686">
        <v>7634</v>
      </c>
      <c r="P686" t="s">
        <v>41</v>
      </c>
      <c r="Q686" t="s">
        <v>27</v>
      </c>
      <c r="R686" t="s">
        <v>58</v>
      </c>
      <c r="S686" t="s">
        <v>29</v>
      </c>
      <c r="T686" t="s">
        <v>50</v>
      </c>
      <c r="U686">
        <f t="shared" si="50"/>
        <v>96646</v>
      </c>
      <c r="V686" t="str">
        <f t="shared" si="51"/>
        <v>Needs Improvement</v>
      </c>
      <c r="W686" t="str">
        <f t="shared" si="52"/>
        <v>Normal</v>
      </c>
      <c r="X686" t="str">
        <f t="shared" si="53"/>
        <v>Senior</v>
      </c>
      <c r="Y686" t="str">
        <f t="shared" si="54"/>
        <v>25-34</v>
      </c>
    </row>
    <row r="687" spans="1:25" x14ac:dyDescent="0.3">
      <c r="A687">
        <v>1686</v>
      </c>
      <c r="B687" t="s">
        <v>73</v>
      </c>
      <c r="C687" t="s">
        <v>21</v>
      </c>
      <c r="D687">
        <v>22</v>
      </c>
      <c r="E687" t="s">
        <v>55</v>
      </c>
      <c r="F687" t="s">
        <v>143</v>
      </c>
      <c r="G687" t="s">
        <v>24</v>
      </c>
      <c r="H687" t="s">
        <v>689</v>
      </c>
      <c r="I687">
        <v>1</v>
      </c>
      <c r="J687">
        <v>42191</v>
      </c>
      <c r="K687">
        <v>3.5</v>
      </c>
      <c r="L687">
        <v>93.5</v>
      </c>
      <c r="M687">
        <v>17</v>
      </c>
      <c r="N687">
        <v>6</v>
      </c>
      <c r="O687">
        <v>13378</v>
      </c>
      <c r="P687" t="s">
        <v>26</v>
      </c>
      <c r="Q687" t="s">
        <v>48</v>
      </c>
      <c r="R687" t="s">
        <v>28</v>
      </c>
      <c r="S687" t="s">
        <v>34</v>
      </c>
      <c r="T687" t="s">
        <v>30</v>
      </c>
      <c r="U687">
        <f t="shared" si="50"/>
        <v>55569</v>
      </c>
      <c r="V687" t="str">
        <f t="shared" si="51"/>
        <v>Needs Improvement</v>
      </c>
      <c r="W687" t="str">
        <f t="shared" si="52"/>
        <v>Normal</v>
      </c>
      <c r="X687" t="str">
        <f t="shared" si="53"/>
        <v>Junior</v>
      </c>
      <c r="Y687" t="str">
        <f t="shared" si="54"/>
        <v>20-24</v>
      </c>
    </row>
    <row r="688" spans="1:25" x14ac:dyDescent="0.3">
      <c r="A688">
        <v>1687</v>
      </c>
      <c r="B688" t="s">
        <v>54</v>
      </c>
      <c r="C688" t="s">
        <v>37</v>
      </c>
      <c r="D688">
        <v>41</v>
      </c>
      <c r="E688" t="s">
        <v>38</v>
      </c>
      <c r="F688" t="s">
        <v>44</v>
      </c>
      <c r="G688" t="s">
        <v>59</v>
      </c>
      <c r="H688" t="s">
        <v>690</v>
      </c>
      <c r="I688">
        <v>7</v>
      </c>
      <c r="J688">
        <v>51209</v>
      </c>
      <c r="K688">
        <v>4.7</v>
      </c>
      <c r="L688">
        <v>86.8</v>
      </c>
      <c r="M688">
        <v>13</v>
      </c>
      <c r="N688">
        <v>56</v>
      </c>
      <c r="O688">
        <v>10104</v>
      </c>
      <c r="P688" t="s">
        <v>53</v>
      </c>
      <c r="Q688" t="s">
        <v>27</v>
      </c>
      <c r="R688" t="s">
        <v>70</v>
      </c>
      <c r="S688" t="s">
        <v>49</v>
      </c>
      <c r="T688" t="s">
        <v>50</v>
      </c>
      <c r="U688">
        <f t="shared" si="50"/>
        <v>61313</v>
      </c>
      <c r="V688" t="str">
        <f t="shared" si="51"/>
        <v>Needs Improvement</v>
      </c>
      <c r="W688" t="str">
        <f t="shared" si="52"/>
        <v>Normal</v>
      </c>
      <c r="X688" t="str">
        <f t="shared" si="53"/>
        <v>Senior</v>
      </c>
      <c r="Y688" t="str">
        <f t="shared" si="54"/>
        <v>35-44</v>
      </c>
    </row>
    <row r="689" spans="1:25" x14ac:dyDescent="0.3">
      <c r="A689">
        <v>1688</v>
      </c>
      <c r="B689" t="s">
        <v>124</v>
      </c>
      <c r="C689" t="s">
        <v>21</v>
      </c>
      <c r="D689">
        <v>39</v>
      </c>
      <c r="E689" t="s">
        <v>38</v>
      </c>
      <c r="F689" t="s">
        <v>44</v>
      </c>
      <c r="G689" t="s">
        <v>64</v>
      </c>
      <c r="H689" t="s">
        <v>365</v>
      </c>
      <c r="I689">
        <v>6</v>
      </c>
      <c r="J689">
        <v>55415</v>
      </c>
      <c r="K689">
        <v>4.5999999999999996</v>
      </c>
      <c r="L689">
        <v>87</v>
      </c>
      <c r="M689">
        <v>21</v>
      </c>
      <c r="N689">
        <v>30</v>
      </c>
      <c r="O689">
        <v>12559</v>
      </c>
      <c r="P689" t="s">
        <v>53</v>
      </c>
      <c r="Q689" t="s">
        <v>48</v>
      </c>
      <c r="R689" t="s">
        <v>70</v>
      </c>
      <c r="S689" t="s">
        <v>49</v>
      </c>
      <c r="T689" t="s">
        <v>50</v>
      </c>
      <c r="U689">
        <f t="shared" si="50"/>
        <v>67974</v>
      </c>
      <c r="V689" t="str">
        <f t="shared" si="51"/>
        <v>Needs Improvement</v>
      </c>
      <c r="W689" t="str">
        <f t="shared" si="52"/>
        <v>High</v>
      </c>
      <c r="X689" t="str">
        <f t="shared" si="53"/>
        <v>Mid</v>
      </c>
      <c r="Y689" t="str">
        <f t="shared" si="54"/>
        <v>35-44</v>
      </c>
    </row>
    <row r="690" spans="1:25" x14ac:dyDescent="0.3">
      <c r="A690">
        <v>1689</v>
      </c>
      <c r="B690" t="s">
        <v>83</v>
      </c>
      <c r="C690" t="s">
        <v>21</v>
      </c>
      <c r="D690">
        <v>37</v>
      </c>
      <c r="E690" t="s">
        <v>55</v>
      </c>
      <c r="F690" t="s">
        <v>56</v>
      </c>
      <c r="G690" t="s">
        <v>64</v>
      </c>
      <c r="H690" t="s">
        <v>186</v>
      </c>
      <c r="I690">
        <v>3</v>
      </c>
      <c r="J690">
        <v>87570</v>
      </c>
      <c r="K690">
        <v>3.3</v>
      </c>
      <c r="L690">
        <v>92.9</v>
      </c>
      <c r="M690">
        <v>2</v>
      </c>
      <c r="N690">
        <v>54</v>
      </c>
      <c r="O690">
        <v>12648</v>
      </c>
      <c r="P690" t="s">
        <v>47</v>
      </c>
      <c r="Q690" t="s">
        <v>48</v>
      </c>
      <c r="R690" t="s">
        <v>28</v>
      </c>
      <c r="S690" t="s">
        <v>29</v>
      </c>
      <c r="T690" t="s">
        <v>35</v>
      </c>
      <c r="U690">
        <f t="shared" si="50"/>
        <v>100218</v>
      </c>
      <c r="V690" t="str">
        <f t="shared" si="51"/>
        <v>Needs Improvement</v>
      </c>
      <c r="W690" t="str">
        <f t="shared" si="52"/>
        <v>Normal</v>
      </c>
      <c r="X690" t="str">
        <f t="shared" si="53"/>
        <v>Mid</v>
      </c>
      <c r="Y690" t="str">
        <f t="shared" si="54"/>
        <v>35-44</v>
      </c>
    </row>
    <row r="691" spans="1:25" x14ac:dyDescent="0.3">
      <c r="A691">
        <v>1690</v>
      </c>
      <c r="B691" t="s">
        <v>31</v>
      </c>
      <c r="C691" t="s">
        <v>21</v>
      </c>
      <c r="D691">
        <v>39</v>
      </c>
      <c r="E691" t="s">
        <v>62</v>
      </c>
      <c r="F691" t="s">
        <v>97</v>
      </c>
      <c r="G691" t="s">
        <v>64</v>
      </c>
      <c r="H691" t="s">
        <v>691</v>
      </c>
      <c r="I691">
        <v>7</v>
      </c>
      <c r="J691">
        <v>80316</v>
      </c>
      <c r="K691">
        <v>4.2</v>
      </c>
      <c r="L691">
        <v>93.1</v>
      </c>
      <c r="M691">
        <v>20</v>
      </c>
      <c r="N691">
        <v>36</v>
      </c>
      <c r="O691">
        <v>14704</v>
      </c>
      <c r="P691" t="s">
        <v>47</v>
      </c>
      <c r="Q691" t="s">
        <v>48</v>
      </c>
      <c r="R691" t="s">
        <v>58</v>
      </c>
      <c r="S691" t="s">
        <v>29</v>
      </c>
      <c r="T691" t="s">
        <v>50</v>
      </c>
      <c r="U691">
        <f t="shared" si="50"/>
        <v>95020</v>
      </c>
      <c r="V691" t="str">
        <f t="shared" si="51"/>
        <v>Needs Improvement</v>
      </c>
      <c r="W691" t="str">
        <f t="shared" si="52"/>
        <v>Normal</v>
      </c>
      <c r="X691" t="str">
        <f t="shared" si="53"/>
        <v>Senior</v>
      </c>
      <c r="Y691" t="str">
        <f t="shared" si="54"/>
        <v>35-44</v>
      </c>
    </row>
    <row r="692" spans="1:25" x14ac:dyDescent="0.3">
      <c r="A692">
        <v>1691</v>
      </c>
      <c r="B692" t="s">
        <v>111</v>
      </c>
      <c r="C692" t="s">
        <v>21</v>
      </c>
      <c r="D692">
        <v>31</v>
      </c>
      <c r="E692" t="s">
        <v>38</v>
      </c>
      <c r="F692" t="s">
        <v>44</v>
      </c>
      <c r="G692" t="s">
        <v>51</v>
      </c>
      <c r="H692" t="s">
        <v>692</v>
      </c>
      <c r="I692">
        <v>7</v>
      </c>
      <c r="J692">
        <v>34205</v>
      </c>
      <c r="K692">
        <v>4.4000000000000004</v>
      </c>
      <c r="L692">
        <v>89.8</v>
      </c>
      <c r="M692">
        <v>5</v>
      </c>
      <c r="N692">
        <v>47</v>
      </c>
      <c r="O692">
        <v>7985</v>
      </c>
      <c r="P692" t="s">
        <v>26</v>
      </c>
      <c r="Q692" t="s">
        <v>48</v>
      </c>
      <c r="R692" t="s">
        <v>58</v>
      </c>
      <c r="S692" t="s">
        <v>34</v>
      </c>
      <c r="T692" t="s">
        <v>50</v>
      </c>
      <c r="U692">
        <f t="shared" si="50"/>
        <v>42190</v>
      </c>
      <c r="V692" t="str">
        <f t="shared" si="51"/>
        <v>Needs Improvement</v>
      </c>
      <c r="W692" t="str">
        <f t="shared" si="52"/>
        <v>Normal</v>
      </c>
      <c r="X692" t="str">
        <f t="shared" si="53"/>
        <v>Senior</v>
      </c>
      <c r="Y692" t="str">
        <f t="shared" si="54"/>
        <v>25-34</v>
      </c>
    </row>
    <row r="693" spans="1:25" x14ac:dyDescent="0.3">
      <c r="A693">
        <v>1692</v>
      </c>
      <c r="B693" t="s">
        <v>99</v>
      </c>
      <c r="C693" t="s">
        <v>21</v>
      </c>
      <c r="D693">
        <v>26</v>
      </c>
      <c r="E693" t="s">
        <v>38</v>
      </c>
      <c r="F693" t="s">
        <v>44</v>
      </c>
      <c r="G693" t="s">
        <v>24</v>
      </c>
      <c r="H693" t="s">
        <v>693</v>
      </c>
      <c r="I693">
        <v>0</v>
      </c>
      <c r="J693">
        <v>93240</v>
      </c>
      <c r="K693">
        <v>4</v>
      </c>
      <c r="L693">
        <v>95.4</v>
      </c>
      <c r="M693">
        <v>0</v>
      </c>
      <c r="N693">
        <v>59</v>
      </c>
      <c r="O693">
        <v>10703</v>
      </c>
      <c r="P693" t="s">
        <v>33</v>
      </c>
      <c r="Q693" t="s">
        <v>27</v>
      </c>
      <c r="R693" t="s">
        <v>58</v>
      </c>
      <c r="S693" t="s">
        <v>29</v>
      </c>
      <c r="T693" t="s">
        <v>30</v>
      </c>
      <c r="U693">
        <f t="shared" si="50"/>
        <v>103943</v>
      </c>
      <c r="V693" t="str">
        <f t="shared" si="51"/>
        <v>Excellent</v>
      </c>
      <c r="W693" t="str">
        <f t="shared" si="52"/>
        <v>Normal</v>
      </c>
      <c r="X693" t="str">
        <f t="shared" si="53"/>
        <v>Junior</v>
      </c>
      <c r="Y693" t="str">
        <f t="shared" si="54"/>
        <v>25-34</v>
      </c>
    </row>
    <row r="694" spans="1:25" x14ac:dyDescent="0.3">
      <c r="A694">
        <v>1693</v>
      </c>
      <c r="B694" t="s">
        <v>73</v>
      </c>
      <c r="C694" t="s">
        <v>21</v>
      </c>
      <c r="D694">
        <v>24</v>
      </c>
      <c r="E694" t="s">
        <v>38</v>
      </c>
      <c r="F694" t="s">
        <v>39</v>
      </c>
      <c r="G694" t="s">
        <v>64</v>
      </c>
      <c r="H694" t="s">
        <v>694</v>
      </c>
      <c r="I694">
        <v>4</v>
      </c>
      <c r="J694">
        <v>94325</v>
      </c>
      <c r="K694">
        <v>4.3</v>
      </c>
      <c r="L694">
        <v>99.6</v>
      </c>
      <c r="M694">
        <v>2</v>
      </c>
      <c r="N694">
        <v>48</v>
      </c>
      <c r="O694">
        <v>1486</v>
      </c>
      <c r="P694" t="s">
        <v>53</v>
      </c>
      <c r="Q694" t="s">
        <v>48</v>
      </c>
      <c r="R694" t="s">
        <v>58</v>
      </c>
      <c r="S694" t="s">
        <v>29</v>
      </c>
      <c r="T694" t="s">
        <v>35</v>
      </c>
      <c r="U694">
        <f t="shared" si="50"/>
        <v>95811</v>
      </c>
      <c r="V694" t="str">
        <f t="shared" si="51"/>
        <v>Excellent</v>
      </c>
      <c r="W694" t="str">
        <f t="shared" si="52"/>
        <v>Normal</v>
      </c>
      <c r="X694" t="str">
        <f t="shared" si="53"/>
        <v>Mid</v>
      </c>
      <c r="Y694" t="str">
        <f t="shared" si="54"/>
        <v>20-24</v>
      </c>
    </row>
    <row r="695" spans="1:25" x14ac:dyDescent="0.3">
      <c r="A695">
        <v>1694</v>
      </c>
      <c r="B695" t="s">
        <v>20</v>
      </c>
      <c r="C695" t="s">
        <v>37</v>
      </c>
      <c r="D695">
        <v>30</v>
      </c>
      <c r="E695" t="s">
        <v>22</v>
      </c>
      <c r="F695" t="s">
        <v>66</v>
      </c>
      <c r="G695" t="s">
        <v>51</v>
      </c>
      <c r="H695" t="s">
        <v>695</v>
      </c>
      <c r="I695">
        <v>5</v>
      </c>
      <c r="J695">
        <v>64575</v>
      </c>
      <c r="K695">
        <v>2.9</v>
      </c>
      <c r="L695">
        <v>82.8</v>
      </c>
      <c r="M695">
        <v>3</v>
      </c>
      <c r="N695">
        <v>36</v>
      </c>
      <c r="O695">
        <v>11246</v>
      </c>
      <c r="P695" t="s">
        <v>41</v>
      </c>
      <c r="Q695" t="s">
        <v>27</v>
      </c>
      <c r="R695" t="s">
        <v>42</v>
      </c>
      <c r="S695" t="s">
        <v>49</v>
      </c>
      <c r="T695" t="s">
        <v>35</v>
      </c>
      <c r="U695">
        <f t="shared" si="50"/>
        <v>75821</v>
      </c>
      <c r="V695" t="str">
        <f t="shared" si="51"/>
        <v>Needs Improvement</v>
      </c>
      <c r="W695" t="str">
        <f t="shared" si="52"/>
        <v>Normal</v>
      </c>
      <c r="X695" t="str">
        <f t="shared" si="53"/>
        <v>Mid</v>
      </c>
      <c r="Y695" t="str">
        <f t="shared" si="54"/>
        <v>25-34</v>
      </c>
    </row>
    <row r="696" spans="1:25" x14ac:dyDescent="0.3">
      <c r="A696">
        <v>1695</v>
      </c>
      <c r="B696" t="s">
        <v>121</v>
      </c>
      <c r="C696" t="s">
        <v>21</v>
      </c>
      <c r="D696">
        <v>42</v>
      </c>
      <c r="E696" t="s">
        <v>38</v>
      </c>
      <c r="F696" t="s">
        <v>44</v>
      </c>
      <c r="G696" t="s">
        <v>59</v>
      </c>
      <c r="H696" t="s">
        <v>696</v>
      </c>
      <c r="I696">
        <v>7</v>
      </c>
      <c r="J696">
        <v>91896</v>
      </c>
      <c r="K696">
        <v>3.5</v>
      </c>
      <c r="L696">
        <v>83.5</v>
      </c>
      <c r="M696">
        <v>17</v>
      </c>
      <c r="N696">
        <v>22</v>
      </c>
      <c r="O696">
        <v>6022</v>
      </c>
      <c r="P696" t="s">
        <v>26</v>
      </c>
      <c r="Q696" t="s">
        <v>27</v>
      </c>
      <c r="R696" t="s">
        <v>28</v>
      </c>
      <c r="S696" t="s">
        <v>29</v>
      </c>
      <c r="T696" t="s">
        <v>50</v>
      </c>
      <c r="U696">
        <f t="shared" si="50"/>
        <v>97918</v>
      </c>
      <c r="V696" t="str">
        <f t="shared" si="51"/>
        <v>Needs Improvement</v>
      </c>
      <c r="W696" t="str">
        <f t="shared" si="52"/>
        <v>Normal</v>
      </c>
      <c r="X696" t="str">
        <f t="shared" si="53"/>
        <v>Senior</v>
      </c>
      <c r="Y696" t="str">
        <f t="shared" si="54"/>
        <v>35-44</v>
      </c>
    </row>
    <row r="697" spans="1:25" x14ac:dyDescent="0.3">
      <c r="A697">
        <v>1696</v>
      </c>
      <c r="B697" t="s">
        <v>31</v>
      </c>
      <c r="C697" t="s">
        <v>21</v>
      </c>
      <c r="D697">
        <v>40</v>
      </c>
      <c r="E697" t="s">
        <v>62</v>
      </c>
      <c r="F697" t="s">
        <v>97</v>
      </c>
      <c r="G697" t="s">
        <v>64</v>
      </c>
      <c r="H697" t="s">
        <v>697</v>
      </c>
      <c r="I697">
        <v>7</v>
      </c>
      <c r="J697">
        <v>65826</v>
      </c>
      <c r="K697">
        <v>3.6</v>
      </c>
      <c r="L697">
        <v>84.5</v>
      </c>
      <c r="M697">
        <v>18</v>
      </c>
      <c r="N697">
        <v>44</v>
      </c>
      <c r="O697">
        <v>11583</v>
      </c>
      <c r="P697" t="s">
        <v>47</v>
      </c>
      <c r="Q697" t="s">
        <v>48</v>
      </c>
      <c r="R697" t="s">
        <v>28</v>
      </c>
      <c r="S697" t="s">
        <v>49</v>
      </c>
      <c r="T697" t="s">
        <v>50</v>
      </c>
      <c r="U697">
        <f t="shared" si="50"/>
        <v>77409</v>
      </c>
      <c r="V697" t="str">
        <f t="shared" si="51"/>
        <v>Needs Improvement</v>
      </c>
      <c r="W697" t="str">
        <f t="shared" si="52"/>
        <v>Normal</v>
      </c>
      <c r="X697" t="str">
        <f t="shared" si="53"/>
        <v>Senior</v>
      </c>
      <c r="Y697" t="str">
        <f t="shared" si="54"/>
        <v>35-44</v>
      </c>
    </row>
    <row r="698" spans="1:25" x14ac:dyDescent="0.3">
      <c r="A698">
        <v>1697</v>
      </c>
      <c r="B698" t="s">
        <v>54</v>
      </c>
      <c r="C698" t="s">
        <v>21</v>
      </c>
      <c r="D698">
        <v>33</v>
      </c>
      <c r="E698" t="s">
        <v>55</v>
      </c>
      <c r="F698" t="s">
        <v>79</v>
      </c>
      <c r="G698" t="s">
        <v>24</v>
      </c>
      <c r="H698" t="s">
        <v>642</v>
      </c>
      <c r="I698">
        <v>7</v>
      </c>
      <c r="J698">
        <v>67143</v>
      </c>
      <c r="K698">
        <v>4.2</v>
      </c>
      <c r="L698">
        <v>96.9</v>
      </c>
      <c r="M698">
        <v>2</v>
      </c>
      <c r="N698">
        <v>37</v>
      </c>
      <c r="O698">
        <v>8609</v>
      </c>
      <c r="P698" t="s">
        <v>41</v>
      </c>
      <c r="Q698" t="s">
        <v>48</v>
      </c>
      <c r="R698" t="s">
        <v>58</v>
      </c>
      <c r="S698" t="s">
        <v>49</v>
      </c>
      <c r="T698" t="s">
        <v>50</v>
      </c>
      <c r="U698">
        <f t="shared" si="50"/>
        <v>75752</v>
      </c>
      <c r="V698" t="str">
        <f t="shared" si="51"/>
        <v>Excellent</v>
      </c>
      <c r="W698" t="str">
        <f t="shared" si="52"/>
        <v>Normal</v>
      </c>
      <c r="X698" t="str">
        <f t="shared" si="53"/>
        <v>Senior</v>
      </c>
      <c r="Y698" t="str">
        <f t="shared" si="54"/>
        <v>25-34</v>
      </c>
    </row>
    <row r="699" spans="1:25" x14ac:dyDescent="0.3">
      <c r="A699">
        <v>1698</v>
      </c>
      <c r="B699" t="s">
        <v>54</v>
      </c>
      <c r="C699" t="s">
        <v>37</v>
      </c>
      <c r="D699">
        <v>43</v>
      </c>
      <c r="E699" t="s">
        <v>55</v>
      </c>
      <c r="F699" t="s">
        <v>143</v>
      </c>
      <c r="G699" t="s">
        <v>59</v>
      </c>
      <c r="H699" t="s">
        <v>698</v>
      </c>
      <c r="I699">
        <v>6</v>
      </c>
      <c r="J699">
        <v>26497</v>
      </c>
      <c r="K699">
        <v>3.1</v>
      </c>
      <c r="L699">
        <v>95.8</v>
      </c>
      <c r="M699">
        <v>12</v>
      </c>
      <c r="N699">
        <v>5</v>
      </c>
      <c r="O699">
        <v>13871</v>
      </c>
      <c r="P699" t="s">
        <v>47</v>
      </c>
      <c r="Q699" t="s">
        <v>27</v>
      </c>
      <c r="R699" t="s">
        <v>28</v>
      </c>
      <c r="S699" t="s">
        <v>34</v>
      </c>
      <c r="T699" t="s">
        <v>50</v>
      </c>
      <c r="U699">
        <f t="shared" si="50"/>
        <v>40368</v>
      </c>
      <c r="V699" t="str">
        <f t="shared" si="51"/>
        <v>Excellent</v>
      </c>
      <c r="W699" t="str">
        <f t="shared" si="52"/>
        <v>Normal</v>
      </c>
      <c r="X699" t="str">
        <f t="shared" si="53"/>
        <v>Mid</v>
      </c>
      <c r="Y699" t="str">
        <f t="shared" si="54"/>
        <v>35-44</v>
      </c>
    </row>
    <row r="700" spans="1:25" x14ac:dyDescent="0.3">
      <c r="A700">
        <v>1699</v>
      </c>
      <c r="B700" t="s">
        <v>124</v>
      </c>
      <c r="C700" t="s">
        <v>21</v>
      </c>
      <c r="D700">
        <v>25</v>
      </c>
      <c r="E700" t="s">
        <v>55</v>
      </c>
      <c r="F700" t="s">
        <v>79</v>
      </c>
      <c r="G700" t="s">
        <v>51</v>
      </c>
      <c r="H700" t="s">
        <v>699</v>
      </c>
      <c r="I700">
        <v>9</v>
      </c>
      <c r="J700">
        <v>60570</v>
      </c>
      <c r="K700">
        <v>2.9</v>
      </c>
      <c r="L700">
        <v>95.3</v>
      </c>
      <c r="M700">
        <v>6</v>
      </c>
      <c r="N700">
        <v>14</v>
      </c>
      <c r="O700">
        <v>3092</v>
      </c>
      <c r="P700" t="s">
        <v>53</v>
      </c>
      <c r="Q700" t="s">
        <v>27</v>
      </c>
      <c r="R700" t="s">
        <v>42</v>
      </c>
      <c r="S700" t="s">
        <v>49</v>
      </c>
      <c r="T700" t="s">
        <v>50</v>
      </c>
      <c r="U700">
        <f t="shared" si="50"/>
        <v>63662</v>
      </c>
      <c r="V700" t="str">
        <f t="shared" si="51"/>
        <v>Excellent</v>
      </c>
      <c r="W700" t="str">
        <f t="shared" si="52"/>
        <v>Normal</v>
      </c>
      <c r="X700" t="str">
        <f t="shared" si="53"/>
        <v>Senior</v>
      </c>
      <c r="Y700" t="str">
        <f t="shared" si="54"/>
        <v>25-34</v>
      </c>
    </row>
    <row r="701" spans="1:25" x14ac:dyDescent="0.3">
      <c r="A701">
        <v>1700</v>
      </c>
      <c r="B701" t="s">
        <v>71</v>
      </c>
      <c r="C701" t="s">
        <v>37</v>
      </c>
      <c r="D701">
        <v>37</v>
      </c>
      <c r="E701" t="s">
        <v>22</v>
      </c>
      <c r="F701" t="s">
        <v>23</v>
      </c>
      <c r="G701" t="s">
        <v>51</v>
      </c>
      <c r="H701" t="s">
        <v>649</v>
      </c>
      <c r="I701">
        <v>2</v>
      </c>
      <c r="J701">
        <v>58459</v>
      </c>
      <c r="K701">
        <v>3.3</v>
      </c>
      <c r="L701">
        <v>96.3</v>
      </c>
      <c r="M701">
        <v>16</v>
      </c>
      <c r="N701">
        <v>56</v>
      </c>
      <c r="O701">
        <v>1252</v>
      </c>
      <c r="P701" t="s">
        <v>33</v>
      </c>
      <c r="Q701" t="s">
        <v>48</v>
      </c>
      <c r="R701" t="s">
        <v>28</v>
      </c>
      <c r="S701" t="s">
        <v>49</v>
      </c>
      <c r="T701" t="s">
        <v>30</v>
      </c>
      <c r="U701">
        <f t="shared" si="50"/>
        <v>59711</v>
      </c>
      <c r="V701" t="str">
        <f t="shared" si="51"/>
        <v>Excellent</v>
      </c>
      <c r="W701" t="str">
        <f t="shared" si="52"/>
        <v>Normal</v>
      </c>
      <c r="X701" t="str">
        <f t="shared" si="53"/>
        <v>Junior</v>
      </c>
      <c r="Y701" t="str">
        <f t="shared" si="54"/>
        <v>35-44</v>
      </c>
    </row>
    <row r="702" spans="1:25" x14ac:dyDescent="0.3">
      <c r="A702">
        <v>1701</v>
      </c>
      <c r="B702" t="s">
        <v>78</v>
      </c>
      <c r="C702" t="s">
        <v>37</v>
      </c>
      <c r="D702">
        <v>39</v>
      </c>
      <c r="E702" t="s">
        <v>55</v>
      </c>
      <c r="F702" t="s">
        <v>143</v>
      </c>
      <c r="G702" t="s">
        <v>51</v>
      </c>
      <c r="H702" t="s">
        <v>700</v>
      </c>
      <c r="I702">
        <v>6</v>
      </c>
      <c r="J702">
        <v>86009</v>
      </c>
      <c r="K702">
        <v>2.8</v>
      </c>
      <c r="L702">
        <v>99.8</v>
      </c>
      <c r="M702">
        <v>22</v>
      </c>
      <c r="N702">
        <v>14</v>
      </c>
      <c r="O702">
        <v>8998</v>
      </c>
      <c r="P702" t="s">
        <v>47</v>
      </c>
      <c r="Q702" t="s">
        <v>48</v>
      </c>
      <c r="R702" t="s">
        <v>42</v>
      </c>
      <c r="S702" t="s">
        <v>29</v>
      </c>
      <c r="T702" t="s">
        <v>50</v>
      </c>
      <c r="U702">
        <f t="shared" si="50"/>
        <v>95007</v>
      </c>
      <c r="V702" t="str">
        <f t="shared" si="51"/>
        <v>Excellent</v>
      </c>
      <c r="W702" t="str">
        <f t="shared" si="52"/>
        <v>High</v>
      </c>
      <c r="X702" t="str">
        <f t="shared" si="53"/>
        <v>Mid</v>
      </c>
      <c r="Y702" t="str">
        <f t="shared" si="54"/>
        <v>35-44</v>
      </c>
    </row>
    <row r="703" spans="1:25" x14ac:dyDescent="0.3">
      <c r="A703">
        <v>1702</v>
      </c>
      <c r="B703" t="s">
        <v>36</v>
      </c>
      <c r="C703" t="s">
        <v>37</v>
      </c>
      <c r="D703">
        <v>32</v>
      </c>
      <c r="E703" t="s">
        <v>22</v>
      </c>
      <c r="F703" t="s">
        <v>66</v>
      </c>
      <c r="G703" t="s">
        <v>59</v>
      </c>
      <c r="H703" t="s">
        <v>701</v>
      </c>
      <c r="I703">
        <v>4</v>
      </c>
      <c r="J703">
        <v>77724</v>
      </c>
      <c r="K703">
        <v>4.5</v>
      </c>
      <c r="L703">
        <v>95.9</v>
      </c>
      <c r="M703">
        <v>20</v>
      </c>
      <c r="N703">
        <v>20</v>
      </c>
      <c r="O703">
        <v>12223</v>
      </c>
      <c r="P703" t="s">
        <v>26</v>
      </c>
      <c r="Q703" t="s">
        <v>27</v>
      </c>
      <c r="R703" t="s">
        <v>70</v>
      </c>
      <c r="S703" t="s">
        <v>29</v>
      </c>
      <c r="T703" t="s">
        <v>35</v>
      </c>
      <c r="U703">
        <f t="shared" si="50"/>
        <v>89947</v>
      </c>
      <c r="V703" t="str">
        <f t="shared" si="51"/>
        <v>Excellent</v>
      </c>
      <c r="W703" t="str">
        <f t="shared" si="52"/>
        <v>Normal</v>
      </c>
      <c r="X703" t="str">
        <f t="shared" si="53"/>
        <v>Mid</v>
      </c>
      <c r="Y703" t="str">
        <f t="shared" si="54"/>
        <v>25-34</v>
      </c>
    </row>
    <row r="704" spans="1:25" x14ac:dyDescent="0.3">
      <c r="A704">
        <v>1703</v>
      </c>
      <c r="B704" t="s">
        <v>85</v>
      </c>
      <c r="C704" t="s">
        <v>37</v>
      </c>
      <c r="D704">
        <v>33</v>
      </c>
      <c r="E704" t="s">
        <v>55</v>
      </c>
      <c r="F704" t="s">
        <v>56</v>
      </c>
      <c r="G704" t="s">
        <v>24</v>
      </c>
      <c r="H704" t="s">
        <v>702</v>
      </c>
      <c r="I704">
        <v>0</v>
      </c>
      <c r="J704">
        <v>53019</v>
      </c>
      <c r="K704">
        <v>3</v>
      </c>
      <c r="L704">
        <v>97.4</v>
      </c>
      <c r="M704">
        <v>13</v>
      </c>
      <c r="N704">
        <v>39</v>
      </c>
      <c r="O704">
        <v>2046</v>
      </c>
      <c r="P704" t="s">
        <v>47</v>
      </c>
      <c r="Q704" t="s">
        <v>48</v>
      </c>
      <c r="R704" t="s">
        <v>28</v>
      </c>
      <c r="S704" t="s">
        <v>49</v>
      </c>
      <c r="T704" t="s">
        <v>30</v>
      </c>
      <c r="U704">
        <f t="shared" si="50"/>
        <v>55065</v>
      </c>
      <c r="V704" t="str">
        <f t="shared" si="51"/>
        <v>Excellent</v>
      </c>
      <c r="W704" t="str">
        <f t="shared" si="52"/>
        <v>Normal</v>
      </c>
      <c r="X704" t="str">
        <f t="shared" si="53"/>
        <v>Junior</v>
      </c>
      <c r="Y704" t="str">
        <f t="shared" si="54"/>
        <v>25-34</v>
      </c>
    </row>
    <row r="705" spans="1:25" x14ac:dyDescent="0.3">
      <c r="A705">
        <v>1704</v>
      </c>
      <c r="B705" t="s">
        <v>75</v>
      </c>
      <c r="C705" t="s">
        <v>21</v>
      </c>
      <c r="D705">
        <v>36</v>
      </c>
      <c r="E705" t="s">
        <v>62</v>
      </c>
      <c r="F705" t="s">
        <v>97</v>
      </c>
      <c r="G705" t="s">
        <v>24</v>
      </c>
      <c r="H705" t="s">
        <v>196</v>
      </c>
      <c r="I705">
        <v>8</v>
      </c>
      <c r="J705">
        <v>76902</v>
      </c>
      <c r="K705">
        <v>4.5999999999999996</v>
      </c>
      <c r="L705">
        <v>85.2</v>
      </c>
      <c r="M705">
        <v>4</v>
      </c>
      <c r="N705">
        <v>10</v>
      </c>
      <c r="O705">
        <v>6761</v>
      </c>
      <c r="P705" t="s">
        <v>47</v>
      </c>
      <c r="Q705" t="s">
        <v>48</v>
      </c>
      <c r="R705" t="s">
        <v>70</v>
      </c>
      <c r="S705" t="s">
        <v>29</v>
      </c>
      <c r="T705" t="s">
        <v>50</v>
      </c>
      <c r="U705">
        <f t="shared" si="50"/>
        <v>83663</v>
      </c>
      <c r="V705" t="str">
        <f t="shared" si="51"/>
        <v>Needs Improvement</v>
      </c>
      <c r="W705" t="str">
        <f t="shared" si="52"/>
        <v>Normal</v>
      </c>
      <c r="X705" t="str">
        <f t="shared" si="53"/>
        <v>Senior</v>
      </c>
      <c r="Y705" t="str">
        <f t="shared" si="54"/>
        <v>35-44</v>
      </c>
    </row>
    <row r="706" spans="1:25" x14ac:dyDescent="0.3">
      <c r="A706">
        <v>1705</v>
      </c>
      <c r="B706" t="s">
        <v>36</v>
      </c>
      <c r="C706" t="s">
        <v>21</v>
      </c>
      <c r="D706">
        <v>39</v>
      </c>
      <c r="E706" t="s">
        <v>55</v>
      </c>
      <c r="F706" t="s">
        <v>143</v>
      </c>
      <c r="G706" t="s">
        <v>24</v>
      </c>
      <c r="H706" t="s">
        <v>703</v>
      </c>
      <c r="I706">
        <v>6</v>
      </c>
      <c r="J706">
        <v>54843</v>
      </c>
      <c r="K706">
        <v>2.6</v>
      </c>
      <c r="L706">
        <v>89.6</v>
      </c>
      <c r="M706">
        <v>15</v>
      </c>
      <c r="N706">
        <v>38</v>
      </c>
      <c r="O706">
        <v>13185</v>
      </c>
      <c r="P706" t="s">
        <v>33</v>
      </c>
      <c r="Q706" t="s">
        <v>48</v>
      </c>
      <c r="R706" t="s">
        <v>42</v>
      </c>
      <c r="S706" t="s">
        <v>49</v>
      </c>
      <c r="T706" t="s">
        <v>50</v>
      </c>
      <c r="U706">
        <f t="shared" si="50"/>
        <v>68028</v>
      </c>
      <c r="V706" t="str">
        <f t="shared" si="51"/>
        <v>Needs Improvement</v>
      </c>
      <c r="W706" t="str">
        <f t="shared" si="52"/>
        <v>Normal</v>
      </c>
      <c r="X706" t="str">
        <f t="shared" si="53"/>
        <v>Mid</v>
      </c>
      <c r="Y706" t="str">
        <f t="shared" si="54"/>
        <v>35-44</v>
      </c>
    </row>
    <row r="707" spans="1:25" x14ac:dyDescent="0.3">
      <c r="A707">
        <v>1706</v>
      </c>
      <c r="B707" t="s">
        <v>36</v>
      </c>
      <c r="C707" t="s">
        <v>21</v>
      </c>
      <c r="D707">
        <v>40</v>
      </c>
      <c r="E707" t="s">
        <v>22</v>
      </c>
      <c r="F707" t="s">
        <v>66</v>
      </c>
      <c r="G707" t="s">
        <v>45</v>
      </c>
      <c r="H707" t="s">
        <v>377</v>
      </c>
      <c r="I707">
        <v>5</v>
      </c>
      <c r="J707">
        <v>43264</v>
      </c>
      <c r="K707">
        <v>3.9</v>
      </c>
      <c r="L707">
        <v>95.2</v>
      </c>
      <c r="M707">
        <v>12</v>
      </c>
      <c r="N707">
        <v>52</v>
      </c>
      <c r="O707">
        <v>13618</v>
      </c>
      <c r="P707" t="s">
        <v>33</v>
      </c>
      <c r="Q707" t="s">
        <v>27</v>
      </c>
      <c r="R707" t="s">
        <v>28</v>
      </c>
      <c r="S707" t="s">
        <v>34</v>
      </c>
      <c r="T707" t="s">
        <v>35</v>
      </c>
      <c r="U707">
        <f t="shared" ref="U707:U770" si="55">J707+O707</f>
        <v>56882</v>
      </c>
      <c r="V707" t="str">
        <f t="shared" ref="V707:V770" si="56">IF(L707&gt;=95,"Excellent","Needs Improvement")</f>
        <v>Excellent</v>
      </c>
      <c r="W707" t="str">
        <f t="shared" ref="W707:W770" si="57">IF(M707&gt;20,"High","Normal")</f>
        <v>Normal</v>
      </c>
      <c r="X707" t="str">
        <f t="shared" ref="X707:X770" si="58">IF(I707&lt;3,"Junior",IF(I707&lt;7,"Mid","Senior"))</f>
        <v>Mid</v>
      </c>
      <c r="Y707" t="str">
        <f t="shared" ref="Y707:Y770" si="59">IF(D707&lt;25,"20-24",IF(D707&lt;35,"25-34",IF(D707&lt;45,"35-44","45+")))</f>
        <v>35-44</v>
      </c>
    </row>
    <row r="708" spans="1:25" x14ac:dyDescent="0.3">
      <c r="A708">
        <v>1707</v>
      </c>
      <c r="B708" t="s">
        <v>36</v>
      </c>
      <c r="C708" t="s">
        <v>21</v>
      </c>
      <c r="D708">
        <v>43</v>
      </c>
      <c r="E708" t="s">
        <v>55</v>
      </c>
      <c r="F708" t="s">
        <v>79</v>
      </c>
      <c r="G708" t="s">
        <v>45</v>
      </c>
      <c r="H708" t="s">
        <v>704</v>
      </c>
      <c r="I708">
        <v>5</v>
      </c>
      <c r="J708">
        <v>88556</v>
      </c>
      <c r="K708">
        <v>3.6</v>
      </c>
      <c r="L708">
        <v>97.8</v>
      </c>
      <c r="M708">
        <v>8</v>
      </c>
      <c r="N708">
        <v>17</v>
      </c>
      <c r="O708">
        <v>1060</v>
      </c>
      <c r="P708" t="s">
        <v>41</v>
      </c>
      <c r="Q708" t="s">
        <v>48</v>
      </c>
      <c r="R708" t="s">
        <v>28</v>
      </c>
      <c r="S708" t="s">
        <v>29</v>
      </c>
      <c r="T708" t="s">
        <v>35</v>
      </c>
      <c r="U708">
        <f t="shared" si="55"/>
        <v>89616</v>
      </c>
      <c r="V708" t="str">
        <f t="shared" si="56"/>
        <v>Excellent</v>
      </c>
      <c r="W708" t="str">
        <f t="shared" si="57"/>
        <v>Normal</v>
      </c>
      <c r="X708" t="str">
        <f t="shared" si="58"/>
        <v>Mid</v>
      </c>
      <c r="Y708" t="str">
        <f t="shared" si="59"/>
        <v>35-44</v>
      </c>
    </row>
    <row r="709" spans="1:25" x14ac:dyDescent="0.3">
      <c r="A709">
        <v>1708</v>
      </c>
      <c r="B709" t="s">
        <v>148</v>
      </c>
      <c r="C709" t="s">
        <v>21</v>
      </c>
      <c r="D709">
        <v>26</v>
      </c>
      <c r="E709" t="s">
        <v>55</v>
      </c>
      <c r="F709" t="s">
        <v>143</v>
      </c>
      <c r="G709" t="s">
        <v>24</v>
      </c>
      <c r="H709" t="s">
        <v>705</v>
      </c>
      <c r="I709">
        <v>4</v>
      </c>
      <c r="J709">
        <v>62683</v>
      </c>
      <c r="K709">
        <v>4.7</v>
      </c>
      <c r="L709">
        <v>94.2</v>
      </c>
      <c r="M709">
        <v>25</v>
      </c>
      <c r="N709">
        <v>57</v>
      </c>
      <c r="O709">
        <v>1781</v>
      </c>
      <c r="P709" t="s">
        <v>26</v>
      </c>
      <c r="Q709" t="s">
        <v>27</v>
      </c>
      <c r="R709" t="s">
        <v>70</v>
      </c>
      <c r="S709" t="s">
        <v>49</v>
      </c>
      <c r="T709" t="s">
        <v>35</v>
      </c>
      <c r="U709">
        <f t="shared" si="55"/>
        <v>64464</v>
      </c>
      <c r="V709" t="str">
        <f t="shared" si="56"/>
        <v>Needs Improvement</v>
      </c>
      <c r="W709" t="str">
        <f t="shared" si="57"/>
        <v>High</v>
      </c>
      <c r="X709" t="str">
        <f t="shared" si="58"/>
        <v>Mid</v>
      </c>
      <c r="Y709" t="str">
        <f t="shared" si="59"/>
        <v>25-34</v>
      </c>
    </row>
    <row r="710" spans="1:25" x14ac:dyDescent="0.3">
      <c r="A710">
        <v>1709</v>
      </c>
      <c r="B710" t="s">
        <v>61</v>
      </c>
      <c r="C710" t="s">
        <v>21</v>
      </c>
      <c r="D710">
        <v>34</v>
      </c>
      <c r="E710" t="s">
        <v>38</v>
      </c>
      <c r="F710" t="s">
        <v>44</v>
      </c>
      <c r="G710" t="s">
        <v>45</v>
      </c>
      <c r="H710" t="s">
        <v>706</v>
      </c>
      <c r="I710">
        <v>4</v>
      </c>
      <c r="J710">
        <v>85431</v>
      </c>
      <c r="K710">
        <v>3.7</v>
      </c>
      <c r="L710">
        <v>83.5</v>
      </c>
      <c r="M710">
        <v>21</v>
      </c>
      <c r="N710">
        <v>21</v>
      </c>
      <c r="O710">
        <v>5266</v>
      </c>
      <c r="P710" t="s">
        <v>33</v>
      </c>
      <c r="Q710" t="s">
        <v>48</v>
      </c>
      <c r="R710" t="s">
        <v>28</v>
      </c>
      <c r="S710" t="s">
        <v>29</v>
      </c>
      <c r="T710" t="s">
        <v>35</v>
      </c>
      <c r="U710">
        <f t="shared" si="55"/>
        <v>90697</v>
      </c>
      <c r="V710" t="str">
        <f t="shared" si="56"/>
        <v>Needs Improvement</v>
      </c>
      <c r="W710" t="str">
        <f t="shared" si="57"/>
        <v>High</v>
      </c>
      <c r="X710" t="str">
        <f t="shared" si="58"/>
        <v>Mid</v>
      </c>
      <c r="Y710" t="str">
        <f t="shared" si="59"/>
        <v>25-34</v>
      </c>
    </row>
    <row r="711" spans="1:25" x14ac:dyDescent="0.3">
      <c r="A711">
        <v>1710</v>
      </c>
      <c r="B711" t="s">
        <v>111</v>
      </c>
      <c r="C711" t="s">
        <v>21</v>
      </c>
      <c r="D711">
        <v>34</v>
      </c>
      <c r="E711" t="s">
        <v>38</v>
      </c>
      <c r="F711" t="s">
        <v>44</v>
      </c>
      <c r="G711" t="s">
        <v>64</v>
      </c>
      <c r="H711" t="s">
        <v>303</v>
      </c>
      <c r="I711">
        <v>1</v>
      </c>
      <c r="J711">
        <v>38625</v>
      </c>
      <c r="K711">
        <v>4.2</v>
      </c>
      <c r="L711">
        <v>85.8</v>
      </c>
      <c r="M711">
        <v>2</v>
      </c>
      <c r="N711">
        <v>13</v>
      </c>
      <c r="O711">
        <v>2082</v>
      </c>
      <c r="P711" t="s">
        <v>26</v>
      </c>
      <c r="Q711" t="s">
        <v>27</v>
      </c>
      <c r="R711" t="s">
        <v>58</v>
      </c>
      <c r="S711" t="s">
        <v>34</v>
      </c>
      <c r="T711" t="s">
        <v>30</v>
      </c>
      <c r="U711">
        <f t="shared" si="55"/>
        <v>40707</v>
      </c>
      <c r="V711" t="str">
        <f t="shared" si="56"/>
        <v>Needs Improvement</v>
      </c>
      <c r="W711" t="str">
        <f t="shared" si="57"/>
        <v>Normal</v>
      </c>
      <c r="X711" t="str">
        <f t="shared" si="58"/>
        <v>Junior</v>
      </c>
      <c r="Y711" t="str">
        <f t="shared" si="59"/>
        <v>25-34</v>
      </c>
    </row>
    <row r="712" spans="1:25" x14ac:dyDescent="0.3">
      <c r="A712">
        <v>1711</v>
      </c>
      <c r="B712" t="s">
        <v>121</v>
      </c>
      <c r="C712" t="s">
        <v>21</v>
      </c>
      <c r="D712">
        <v>24</v>
      </c>
      <c r="E712" t="s">
        <v>22</v>
      </c>
      <c r="F712" t="s">
        <v>23</v>
      </c>
      <c r="G712" t="s">
        <v>59</v>
      </c>
      <c r="H712" t="s">
        <v>393</v>
      </c>
      <c r="I712">
        <v>4</v>
      </c>
      <c r="J712">
        <v>64575</v>
      </c>
      <c r="K712">
        <v>3.3</v>
      </c>
      <c r="L712">
        <v>98.9</v>
      </c>
      <c r="M712">
        <v>17</v>
      </c>
      <c r="N712">
        <v>39</v>
      </c>
      <c r="O712">
        <v>6129</v>
      </c>
      <c r="P712" t="s">
        <v>47</v>
      </c>
      <c r="Q712" t="s">
        <v>27</v>
      </c>
      <c r="R712" t="s">
        <v>28</v>
      </c>
      <c r="S712" t="s">
        <v>49</v>
      </c>
      <c r="T712" t="s">
        <v>35</v>
      </c>
      <c r="U712">
        <f t="shared" si="55"/>
        <v>70704</v>
      </c>
      <c r="V712" t="str">
        <f t="shared" si="56"/>
        <v>Excellent</v>
      </c>
      <c r="W712" t="str">
        <f t="shared" si="57"/>
        <v>Normal</v>
      </c>
      <c r="X712" t="str">
        <f t="shared" si="58"/>
        <v>Mid</v>
      </c>
      <c r="Y712" t="str">
        <f t="shared" si="59"/>
        <v>20-24</v>
      </c>
    </row>
    <row r="713" spans="1:25" x14ac:dyDescent="0.3">
      <c r="A713">
        <v>1712</v>
      </c>
      <c r="B713" t="s">
        <v>124</v>
      </c>
      <c r="C713" t="s">
        <v>37</v>
      </c>
      <c r="D713">
        <v>31</v>
      </c>
      <c r="E713" t="s">
        <v>55</v>
      </c>
      <c r="F713" t="s">
        <v>56</v>
      </c>
      <c r="G713" t="s">
        <v>51</v>
      </c>
      <c r="H713" t="s">
        <v>707</v>
      </c>
      <c r="I713">
        <v>7</v>
      </c>
      <c r="J713">
        <v>58077</v>
      </c>
      <c r="K713">
        <v>3.7</v>
      </c>
      <c r="L713">
        <v>94.8</v>
      </c>
      <c r="M713">
        <v>9</v>
      </c>
      <c r="N713">
        <v>31</v>
      </c>
      <c r="O713">
        <v>7761</v>
      </c>
      <c r="P713" t="s">
        <v>53</v>
      </c>
      <c r="Q713" t="s">
        <v>27</v>
      </c>
      <c r="R713" t="s">
        <v>28</v>
      </c>
      <c r="S713" t="s">
        <v>49</v>
      </c>
      <c r="T713" t="s">
        <v>50</v>
      </c>
      <c r="U713">
        <f t="shared" si="55"/>
        <v>65838</v>
      </c>
      <c r="V713" t="str">
        <f t="shared" si="56"/>
        <v>Needs Improvement</v>
      </c>
      <c r="W713" t="str">
        <f t="shared" si="57"/>
        <v>Normal</v>
      </c>
      <c r="X713" t="str">
        <f t="shared" si="58"/>
        <v>Senior</v>
      </c>
      <c r="Y713" t="str">
        <f t="shared" si="59"/>
        <v>25-34</v>
      </c>
    </row>
    <row r="714" spans="1:25" x14ac:dyDescent="0.3">
      <c r="A714">
        <v>1713</v>
      </c>
      <c r="B714" t="s">
        <v>124</v>
      </c>
      <c r="C714" t="s">
        <v>21</v>
      </c>
      <c r="D714">
        <v>32</v>
      </c>
      <c r="E714" t="s">
        <v>91</v>
      </c>
      <c r="F714" t="s">
        <v>92</v>
      </c>
      <c r="G714" t="s">
        <v>59</v>
      </c>
      <c r="H714" t="s">
        <v>708</v>
      </c>
      <c r="I714">
        <v>10</v>
      </c>
      <c r="J714">
        <v>42066</v>
      </c>
      <c r="K714">
        <v>4.4000000000000004</v>
      </c>
      <c r="L714">
        <v>97.2</v>
      </c>
      <c r="M714">
        <v>2</v>
      </c>
      <c r="N714">
        <v>44</v>
      </c>
      <c r="O714">
        <v>12597</v>
      </c>
      <c r="P714" t="s">
        <v>41</v>
      </c>
      <c r="Q714" t="s">
        <v>48</v>
      </c>
      <c r="R714" t="s">
        <v>58</v>
      </c>
      <c r="S714" t="s">
        <v>34</v>
      </c>
      <c r="T714" t="s">
        <v>50</v>
      </c>
      <c r="U714">
        <f t="shared" si="55"/>
        <v>54663</v>
      </c>
      <c r="V714" t="str">
        <f t="shared" si="56"/>
        <v>Excellent</v>
      </c>
      <c r="W714" t="str">
        <f t="shared" si="57"/>
        <v>Normal</v>
      </c>
      <c r="X714" t="str">
        <f t="shared" si="58"/>
        <v>Senior</v>
      </c>
      <c r="Y714" t="str">
        <f t="shared" si="59"/>
        <v>25-34</v>
      </c>
    </row>
    <row r="715" spans="1:25" x14ac:dyDescent="0.3">
      <c r="A715">
        <v>1714</v>
      </c>
      <c r="B715" t="s">
        <v>88</v>
      </c>
      <c r="C715" t="s">
        <v>21</v>
      </c>
      <c r="D715">
        <v>28</v>
      </c>
      <c r="E715" t="s">
        <v>22</v>
      </c>
      <c r="F715" t="s">
        <v>23</v>
      </c>
      <c r="G715" t="s">
        <v>24</v>
      </c>
      <c r="H715" t="s">
        <v>709</v>
      </c>
      <c r="I715">
        <v>3</v>
      </c>
      <c r="J715">
        <v>63007</v>
      </c>
      <c r="K715">
        <v>4.5</v>
      </c>
      <c r="L715">
        <v>85.6</v>
      </c>
      <c r="M715">
        <v>20</v>
      </c>
      <c r="N715">
        <v>38</v>
      </c>
      <c r="O715">
        <v>1473</v>
      </c>
      <c r="P715" t="s">
        <v>33</v>
      </c>
      <c r="Q715" t="s">
        <v>48</v>
      </c>
      <c r="R715" t="s">
        <v>70</v>
      </c>
      <c r="S715" t="s">
        <v>49</v>
      </c>
      <c r="T715" t="s">
        <v>35</v>
      </c>
      <c r="U715">
        <f t="shared" si="55"/>
        <v>64480</v>
      </c>
      <c r="V715" t="str">
        <f t="shared" si="56"/>
        <v>Needs Improvement</v>
      </c>
      <c r="W715" t="str">
        <f t="shared" si="57"/>
        <v>Normal</v>
      </c>
      <c r="X715" t="str">
        <f t="shared" si="58"/>
        <v>Mid</v>
      </c>
      <c r="Y715" t="str">
        <f t="shared" si="59"/>
        <v>25-34</v>
      </c>
    </row>
    <row r="716" spans="1:25" x14ac:dyDescent="0.3">
      <c r="A716">
        <v>1715</v>
      </c>
      <c r="B716" t="s">
        <v>68</v>
      </c>
      <c r="C716" t="s">
        <v>21</v>
      </c>
      <c r="D716">
        <v>34</v>
      </c>
      <c r="E716" t="s">
        <v>91</v>
      </c>
      <c r="F716" t="s">
        <v>101</v>
      </c>
      <c r="G716" t="s">
        <v>24</v>
      </c>
      <c r="H716" t="s">
        <v>710</v>
      </c>
      <c r="I716">
        <v>5</v>
      </c>
      <c r="J716">
        <v>71423</v>
      </c>
      <c r="K716">
        <v>3.7</v>
      </c>
      <c r="L716">
        <v>90.7</v>
      </c>
      <c r="M716">
        <v>10</v>
      </c>
      <c r="N716">
        <v>53</v>
      </c>
      <c r="O716">
        <v>3436</v>
      </c>
      <c r="P716" t="s">
        <v>41</v>
      </c>
      <c r="Q716" t="s">
        <v>27</v>
      </c>
      <c r="R716" t="s">
        <v>28</v>
      </c>
      <c r="S716" t="s">
        <v>29</v>
      </c>
      <c r="T716" t="s">
        <v>35</v>
      </c>
      <c r="U716">
        <f t="shared" si="55"/>
        <v>74859</v>
      </c>
      <c r="V716" t="str">
        <f t="shared" si="56"/>
        <v>Needs Improvement</v>
      </c>
      <c r="W716" t="str">
        <f t="shared" si="57"/>
        <v>Normal</v>
      </c>
      <c r="X716" t="str">
        <f t="shared" si="58"/>
        <v>Mid</v>
      </c>
      <c r="Y716" t="str">
        <f t="shared" si="59"/>
        <v>25-34</v>
      </c>
    </row>
    <row r="717" spans="1:25" x14ac:dyDescent="0.3">
      <c r="A717">
        <v>1716</v>
      </c>
      <c r="B717" t="s">
        <v>20</v>
      </c>
      <c r="C717" t="s">
        <v>21</v>
      </c>
      <c r="D717">
        <v>41</v>
      </c>
      <c r="E717" t="s">
        <v>62</v>
      </c>
      <c r="F717" t="s">
        <v>63</v>
      </c>
      <c r="G717" t="s">
        <v>64</v>
      </c>
      <c r="H717" t="s">
        <v>711</v>
      </c>
      <c r="I717">
        <v>4</v>
      </c>
      <c r="J717">
        <v>94482</v>
      </c>
      <c r="K717">
        <v>4.5</v>
      </c>
      <c r="L717">
        <v>82.3</v>
      </c>
      <c r="M717">
        <v>24</v>
      </c>
      <c r="N717">
        <v>13</v>
      </c>
      <c r="O717">
        <v>14800</v>
      </c>
      <c r="P717" t="s">
        <v>26</v>
      </c>
      <c r="Q717" t="s">
        <v>48</v>
      </c>
      <c r="R717" t="s">
        <v>70</v>
      </c>
      <c r="S717" t="s">
        <v>29</v>
      </c>
      <c r="T717" t="s">
        <v>35</v>
      </c>
      <c r="U717">
        <f t="shared" si="55"/>
        <v>109282</v>
      </c>
      <c r="V717" t="str">
        <f t="shared" si="56"/>
        <v>Needs Improvement</v>
      </c>
      <c r="W717" t="str">
        <f t="shared" si="57"/>
        <v>High</v>
      </c>
      <c r="X717" t="str">
        <f t="shared" si="58"/>
        <v>Mid</v>
      </c>
      <c r="Y717" t="str">
        <f t="shared" si="59"/>
        <v>35-44</v>
      </c>
    </row>
    <row r="718" spans="1:25" x14ac:dyDescent="0.3">
      <c r="A718">
        <v>1717</v>
      </c>
      <c r="B718" t="s">
        <v>61</v>
      </c>
      <c r="C718" t="s">
        <v>21</v>
      </c>
      <c r="D718">
        <v>30</v>
      </c>
      <c r="E718" t="s">
        <v>91</v>
      </c>
      <c r="F718" t="s">
        <v>92</v>
      </c>
      <c r="G718" t="s">
        <v>64</v>
      </c>
      <c r="H718" t="s">
        <v>712</v>
      </c>
      <c r="I718">
        <v>10</v>
      </c>
      <c r="J718">
        <v>62931</v>
      </c>
      <c r="K718">
        <v>3.1</v>
      </c>
      <c r="L718">
        <v>98.9</v>
      </c>
      <c r="M718">
        <v>8</v>
      </c>
      <c r="N718">
        <v>46</v>
      </c>
      <c r="O718">
        <v>1466</v>
      </c>
      <c r="P718" t="s">
        <v>33</v>
      </c>
      <c r="Q718" t="s">
        <v>27</v>
      </c>
      <c r="R718" t="s">
        <v>28</v>
      </c>
      <c r="S718" t="s">
        <v>49</v>
      </c>
      <c r="T718" t="s">
        <v>50</v>
      </c>
      <c r="U718">
        <f t="shared" si="55"/>
        <v>64397</v>
      </c>
      <c r="V718" t="str">
        <f t="shared" si="56"/>
        <v>Excellent</v>
      </c>
      <c r="W718" t="str">
        <f t="shared" si="57"/>
        <v>Normal</v>
      </c>
      <c r="X718" t="str">
        <f t="shared" si="58"/>
        <v>Senior</v>
      </c>
      <c r="Y718" t="str">
        <f t="shared" si="59"/>
        <v>25-34</v>
      </c>
    </row>
    <row r="719" spans="1:25" x14ac:dyDescent="0.3">
      <c r="A719">
        <v>1718</v>
      </c>
      <c r="B719" t="s">
        <v>178</v>
      </c>
      <c r="C719" t="s">
        <v>37</v>
      </c>
      <c r="D719">
        <v>42</v>
      </c>
      <c r="E719" t="s">
        <v>22</v>
      </c>
      <c r="F719" t="s">
        <v>23</v>
      </c>
      <c r="G719" t="s">
        <v>45</v>
      </c>
      <c r="H719" t="s">
        <v>713</v>
      </c>
      <c r="I719">
        <v>8</v>
      </c>
      <c r="J719">
        <v>47495</v>
      </c>
      <c r="K719">
        <v>4.0999999999999996</v>
      </c>
      <c r="L719">
        <v>99.1</v>
      </c>
      <c r="M719">
        <v>7</v>
      </c>
      <c r="N719">
        <v>14</v>
      </c>
      <c r="O719">
        <v>14190</v>
      </c>
      <c r="P719" t="s">
        <v>26</v>
      </c>
      <c r="Q719" t="s">
        <v>27</v>
      </c>
      <c r="R719" t="s">
        <v>58</v>
      </c>
      <c r="S719" t="s">
        <v>34</v>
      </c>
      <c r="T719" t="s">
        <v>50</v>
      </c>
      <c r="U719">
        <f t="shared" si="55"/>
        <v>61685</v>
      </c>
      <c r="V719" t="str">
        <f t="shared" si="56"/>
        <v>Excellent</v>
      </c>
      <c r="W719" t="str">
        <f t="shared" si="57"/>
        <v>Normal</v>
      </c>
      <c r="X719" t="str">
        <f t="shared" si="58"/>
        <v>Senior</v>
      </c>
      <c r="Y719" t="str">
        <f t="shared" si="59"/>
        <v>35-44</v>
      </c>
    </row>
    <row r="720" spans="1:25" x14ac:dyDescent="0.3">
      <c r="A720">
        <v>1719</v>
      </c>
      <c r="B720" t="s">
        <v>111</v>
      </c>
      <c r="C720" t="s">
        <v>37</v>
      </c>
      <c r="D720">
        <v>28</v>
      </c>
      <c r="E720" t="s">
        <v>55</v>
      </c>
      <c r="F720" t="s">
        <v>79</v>
      </c>
      <c r="G720" t="s">
        <v>64</v>
      </c>
      <c r="H720" t="s">
        <v>714</v>
      </c>
      <c r="I720">
        <v>5</v>
      </c>
      <c r="J720">
        <v>35162</v>
      </c>
      <c r="K720">
        <v>3.7</v>
      </c>
      <c r="L720">
        <v>98.3</v>
      </c>
      <c r="M720">
        <v>5</v>
      </c>
      <c r="N720">
        <v>55</v>
      </c>
      <c r="O720">
        <v>7450</v>
      </c>
      <c r="P720" t="s">
        <v>47</v>
      </c>
      <c r="Q720" t="s">
        <v>48</v>
      </c>
      <c r="R720" t="s">
        <v>28</v>
      </c>
      <c r="S720" t="s">
        <v>34</v>
      </c>
      <c r="T720" t="s">
        <v>35</v>
      </c>
      <c r="U720">
        <f t="shared" si="55"/>
        <v>42612</v>
      </c>
      <c r="V720" t="str">
        <f t="shared" si="56"/>
        <v>Excellent</v>
      </c>
      <c r="W720" t="str">
        <f t="shared" si="57"/>
        <v>Normal</v>
      </c>
      <c r="X720" t="str">
        <f t="shared" si="58"/>
        <v>Mid</v>
      </c>
      <c r="Y720" t="str">
        <f t="shared" si="59"/>
        <v>25-34</v>
      </c>
    </row>
    <row r="721" spans="1:25" x14ac:dyDescent="0.3">
      <c r="A721">
        <v>1720</v>
      </c>
      <c r="B721" t="s">
        <v>36</v>
      </c>
      <c r="C721" t="s">
        <v>21</v>
      </c>
      <c r="D721">
        <v>23</v>
      </c>
      <c r="E721" t="s">
        <v>38</v>
      </c>
      <c r="F721" t="s">
        <v>39</v>
      </c>
      <c r="G721" t="s">
        <v>59</v>
      </c>
      <c r="H721" t="s">
        <v>715</v>
      </c>
      <c r="I721">
        <v>6</v>
      </c>
      <c r="J721">
        <v>46433</v>
      </c>
      <c r="K721">
        <v>3</v>
      </c>
      <c r="L721">
        <v>99.1</v>
      </c>
      <c r="M721">
        <v>0</v>
      </c>
      <c r="N721">
        <v>6</v>
      </c>
      <c r="O721">
        <v>4875</v>
      </c>
      <c r="P721" t="s">
        <v>47</v>
      </c>
      <c r="Q721" t="s">
        <v>48</v>
      </c>
      <c r="R721" t="s">
        <v>28</v>
      </c>
      <c r="S721" t="s">
        <v>34</v>
      </c>
      <c r="T721" t="s">
        <v>50</v>
      </c>
      <c r="U721">
        <f t="shared" si="55"/>
        <v>51308</v>
      </c>
      <c r="V721" t="str">
        <f t="shared" si="56"/>
        <v>Excellent</v>
      </c>
      <c r="W721" t="str">
        <f t="shared" si="57"/>
        <v>Normal</v>
      </c>
      <c r="X721" t="str">
        <f t="shared" si="58"/>
        <v>Mid</v>
      </c>
      <c r="Y721" t="str">
        <f t="shared" si="59"/>
        <v>20-24</v>
      </c>
    </row>
    <row r="722" spans="1:25" x14ac:dyDescent="0.3">
      <c r="A722">
        <v>1721</v>
      </c>
      <c r="B722" t="s">
        <v>148</v>
      </c>
      <c r="C722" t="s">
        <v>37</v>
      </c>
      <c r="D722">
        <v>41</v>
      </c>
      <c r="E722" t="s">
        <v>38</v>
      </c>
      <c r="F722" t="s">
        <v>39</v>
      </c>
      <c r="G722" t="s">
        <v>51</v>
      </c>
      <c r="H722" t="s">
        <v>716</v>
      </c>
      <c r="I722">
        <v>7</v>
      </c>
      <c r="J722">
        <v>71646</v>
      </c>
      <c r="K722">
        <v>4.7</v>
      </c>
      <c r="L722">
        <v>86.6</v>
      </c>
      <c r="M722">
        <v>14</v>
      </c>
      <c r="N722">
        <v>7</v>
      </c>
      <c r="O722">
        <v>9767</v>
      </c>
      <c r="P722" t="s">
        <v>53</v>
      </c>
      <c r="Q722" t="s">
        <v>48</v>
      </c>
      <c r="R722" t="s">
        <v>70</v>
      </c>
      <c r="S722" t="s">
        <v>29</v>
      </c>
      <c r="T722" t="s">
        <v>50</v>
      </c>
      <c r="U722">
        <f t="shared" si="55"/>
        <v>81413</v>
      </c>
      <c r="V722" t="str">
        <f t="shared" si="56"/>
        <v>Needs Improvement</v>
      </c>
      <c r="W722" t="str">
        <f t="shared" si="57"/>
        <v>Normal</v>
      </c>
      <c r="X722" t="str">
        <f t="shared" si="58"/>
        <v>Senior</v>
      </c>
      <c r="Y722" t="str">
        <f t="shared" si="59"/>
        <v>35-44</v>
      </c>
    </row>
    <row r="723" spans="1:25" x14ac:dyDescent="0.3">
      <c r="A723">
        <v>1722</v>
      </c>
      <c r="B723" t="s">
        <v>61</v>
      </c>
      <c r="C723" t="s">
        <v>37</v>
      </c>
      <c r="D723">
        <v>26</v>
      </c>
      <c r="E723" t="s">
        <v>55</v>
      </c>
      <c r="F723" t="s">
        <v>56</v>
      </c>
      <c r="G723" t="s">
        <v>24</v>
      </c>
      <c r="H723" t="s">
        <v>521</v>
      </c>
      <c r="I723">
        <v>1</v>
      </c>
      <c r="J723">
        <v>80725</v>
      </c>
      <c r="K723">
        <v>2.8</v>
      </c>
      <c r="L723">
        <v>96.2</v>
      </c>
      <c r="M723">
        <v>18</v>
      </c>
      <c r="N723">
        <v>21</v>
      </c>
      <c r="O723">
        <v>6887</v>
      </c>
      <c r="P723" t="s">
        <v>47</v>
      </c>
      <c r="Q723" t="s">
        <v>48</v>
      </c>
      <c r="R723" t="s">
        <v>42</v>
      </c>
      <c r="S723" t="s">
        <v>29</v>
      </c>
      <c r="T723" t="s">
        <v>30</v>
      </c>
      <c r="U723">
        <f t="shared" si="55"/>
        <v>87612</v>
      </c>
      <c r="V723" t="str">
        <f t="shared" si="56"/>
        <v>Excellent</v>
      </c>
      <c r="W723" t="str">
        <f t="shared" si="57"/>
        <v>Normal</v>
      </c>
      <c r="X723" t="str">
        <f t="shared" si="58"/>
        <v>Junior</v>
      </c>
      <c r="Y723" t="str">
        <f t="shared" si="59"/>
        <v>25-34</v>
      </c>
    </row>
    <row r="724" spans="1:25" x14ac:dyDescent="0.3">
      <c r="A724">
        <v>1723</v>
      </c>
      <c r="B724" t="s">
        <v>111</v>
      </c>
      <c r="C724" t="s">
        <v>37</v>
      </c>
      <c r="D724">
        <v>45</v>
      </c>
      <c r="E724" t="s">
        <v>55</v>
      </c>
      <c r="F724" t="s">
        <v>79</v>
      </c>
      <c r="G724" t="s">
        <v>24</v>
      </c>
      <c r="H724" t="s">
        <v>717</v>
      </c>
      <c r="I724">
        <v>5</v>
      </c>
      <c r="J724">
        <v>85223</v>
      </c>
      <c r="K724">
        <v>4.8</v>
      </c>
      <c r="L724">
        <v>97.3</v>
      </c>
      <c r="M724">
        <v>5</v>
      </c>
      <c r="N724">
        <v>20</v>
      </c>
      <c r="O724">
        <v>14008</v>
      </c>
      <c r="P724" t="s">
        <v>41</v>
      </c>
      <c r="Q724" t="s">
        <v>27</v>
      </c>
      <c r="R724" t="s">
        <v>70</v>
      </c>
      <c r="S724" t="s">
        <v>29</v>
      </c>
      <c r="T724" t="s">
        <v>35</v>
      </c>
      <c r="U724">
        <f t="shared" si="55"/>
        <v>99231</v>
      </c>
      <c r="V724" t="str">
        <f t="shared" si="56"/>
        <v>Excellent</v>
      </c>
      <c r="W724" t="str">
        <f t="shared" si="57"/>
        <v>Normal</v>
      </c>
      <c r="X724" t="str">
        <f t="shared" si="58"/>
        <v>Mid</v>
      </c>
      <c r="Y724" t="str">
        <f t="shared" si="59"/>
        <v>45+</v>
      </c>
    </row>
    <row r="725" spans="1:25" x14ac:dyDescent="0.3">
      <c r="A725">
        <v>1724</v>
      </c>
      <c r="B725" t="s">
        <v>43</v>
      </c>
      <c r="C725" t="s">
        <v>21</v>
      </c>
      <c r="D725">
        <v>30</v>
      </c>
      <c r="E725" t="s">
        <v>38</v>
      </c>
      <c r="F725" t="s">
        <v>39</v>
      </c>
      <c r="G725" t="s">
        <v>24</v>
      </c>
      <c r="H725" t="s">
        <v>718</v>
      </c>
      <c r="I725">
        <v>10</v>
      </c>
      <c r="J725">
        <v>81973</v>
      </c>
      <c r="K725">
        <v>3.7</v>
      </c>
      <c r="L725">
        <v>90.7</v>
      </c>
      <c r="M725">
        <v>19</v>
      </c>
      <c r="N725">
        <v>60</v>
      </c>
      <c r="O725">
        <v>6935</v>
      </c>
      <c r="P725" t="s">
        <v>33</v>
      </c>
      <c r="Q725" t="s">
        <v>27</v>
      </c>
      <c r="R725" t="s">
        <v>28</v>
      </c>
      <c r="S725" t="s">
        <v>29</v>
      </c>
      <c r="T725" t="s">
        <v>50</v>
      </c>
      <c r="U725">
        <f t="shared" si="55"/>
        <v>88908</v>
      </c>
      <c r="V725" t="str">
        <f t="shared" si="56"/>
        <v>Needs Improvement</v>
      </c>
      <c r="W725" t="str">
        <f t="shared" si="57"/>
        <v>Normal</v>
      </c>
      <c r="X725" t="str">
        <f t="shared" si="58"/>
        <v>Senior</v>
      </c>
      <c r="Y725" t="str">
        <f t="shared" si="59"/>
        <v>25-34</v>
      </c>
    </row>
    <row r="726" spans="1:25" x14ac:dyDescent="0.3">
      <c r="A726">
        <v>1725</v>
      </c>
      <c r="B726" t="s">
        <v>121</v>
      </c>
      <c r="C726" t="s">
        <v>21</v>
      </c>
      <c r="D726">
        <v>40</v>
      </c>
      <c r="E726" t="s">
        <v>91</v>
      </c>
      <c r="F726" t="s">
        <v>101</v>
      </c>
      <c r="G726" t="s">
        <v>24</v>
      </c>
      <c r="H726" t="s">
        <v>719</v>
      </c>
      <c r="I726">
        <v>0</v>
      </c>
      <c r="J726">
        <v>47802</v>
      </c>
      <c r="K726">
        <v>3.7</v>
      </c>
      <c r="L726">
        <v>95.2</v>
      </c>
      <c r="M726">
        <v>22</v>
      </c>
      <c r="N726">
        <v>39</v>
      </c>
      <c r="O726">
        <v>11548</v>
      </c>
      <c r="P726" t="s">
        <v>41</v>
      </c>
      <c r="Q726" t="s">
        <v>48</v>
      </c>
      <c r="R726" t="s">
        <v>28</v>
      </c>
      <c r="S726" t="s">
        <v>34</v>
      </c>
      <c r="T726" t="s">
        <v>30</v>
      </c>
      <c r="U726">
        <f t="shared" si="55"/>
        <v>59350</v>
      </c>
      <c r="V726" t="str">
        <f t="shared" si="56"/>
        <v>Excellent</v>
      </c>
      <c r="W726" t="str">
        <f t="shared" si="57"/>
        <v>High</v>
      </c>
      <c r="X726" t="str">
        <f t="shared" si="58"/>
        <v>Junior</v>
      </c>
      <c r="Y726" t="str">
        <f t="shared" si="59"/>
        <v>35-44</v>
      </c>
    </row>
    <row r="727" spans="1:25" x14ac:dyDescent="0.3">
      <c r="A727">
        <v>1726</v>
      </c>
      <c r="B727" t="s">
        <v>83</v>
      </c>
      <c r="C727" t="s">
        <v>21</v>
      </c>
      <c r="D727">
        <v>31</v>
      </c>
      <c r="E727" t="s">
        <v>62</v>
      </c>
      <c r="F727" t="s">
        <v>97</v>
      </c>
      <c r="G727" t="s">
        <v>64</v>
      </c>
      <c r="H727" t="s">
        <v>720</v>
      </c>
      <c r="I727">
        <v>10</v>
      </c>
      <c r="J727">
        <v>84056</v>
      </c>
      <c r="K727">
        <v>4.5999999999999996</v>
      </c>
      <c r="L727">
        <v>86.7</v>
      </c>
      <c r="M727">
        <v>25</v>
      </c>
      <c r="N727">
        <v>34</v>
      </c>
      <c r="O727">
        <v>10546</v>
      </c>
      <c r="P727" t="s">
        <v>33</v>
      </c>
      <c r="Q727" t="s">
        <v>48</v>
      </c>
      <c r="R727" t="s">
        <v>70</v>
      </c>
      <c r="S727" t="s">
        <v>29</v>
      </c>
      <c r="T727" t="s">
        <v>50</v>
      </c>
      <c r="U727">
        <f t="shared" si="55"/>
        <v>94602</v>
      </c>
      <c r="V727" t="str">
        <f t="shared" si="56"/>
        <v>Needs Improvement</v>
      </c>
      <c r="W727" t="str">
        <f t="shared" si="57"/>
        <v>High</v>
      </c>
      <c r="X727" t="str">
        <f t="shared" si="58"/>
        <v>Senior</v>
      </c>
      <c r="Y727" t="str">
        <f t="shared" si="59"/>
        <v>25-34</v>
      </c>
    </row>
    <row r="728" spans="1:25" x14ac:dyDescent="0.3">
      <c r="A728">
        <v>1727</v>
      </c>
      <c r="B728" t="s">
        <v>111</v>
      </c>
      <c r="C728" t="s">
        <v>37</v>
      </c>
      <c r="D728">
        <v>43</v>
      </c>
      <c r="E728" t="s">
        <v>62</v>
      </c>
      <c r="F728" t="s">
        <v>97</v>
      </c>
      <c r="G728" t="s">
        <v>64</v>
      </c>
      <c r="H728" t="s">
        <v>721</v>
      </c>
      <c r="I728">
        <v>10</v>
      </c>
      <c r="J728">
        <v>28540</v>
      </c>
      <c r="K728">
        <v>3.6</v>
      </c>
      <c r="L728">
        <v>84.8</v>
      </c>
      <c r="M728">
        <v>22</v>
      </c>
      <c r="N728">
        <v>26</v>
      </c>
      <c r="O728">
        <v>11680</v>
      </c>
      <c r="P728" t="s">
        <v>47</v>
      </c>
      <c r="Q728" t="s">
        <v>48</v>
      </c>
      <c r="R728" t="s">
        <v>28</v>
      </c>
      <c r="S728" t="s">
        <v>34</v>
      </c>
      <c r="T728" t="s">
        <v>50</v>
      </c>
      <c r="U728">
        <f t="shared" si="55"/>
        <v>40220</v>
      </c>
      <c r="V728" t="str">
        <f t="shared" si="56"/>
        <v>Needs Improvement</v>
      </c>
      <c r="W728" t="str">
        <f t="shared" si="57"/>
        <v>High</v>
      </c>
      <c r="X728" t="str">
        <f t="shared" si="58"/>
        <v>Senior</v>
      </c>
      <c r="Y728" t="str">
        <f t="shared" si="59"/>
        <v>35-44</v>
      </c>
    </row>
    <row r="729" spans="1:25" x14ac:dyDescent="0.3">
      <c r="A729">
        <v>1728</v>
      </c>
      <c r="B729" t="s">
        <v>111</v>
      </c>
      <c r="C729" t="s">
        <v>37</v>
      </c>
      <c r="D729">
        <v>34</v>
      </c>
      <c r="E729" t="s">
        <v>62</v>
      </c>
      <c r="F729" t="s">
        <v>63</v>
      </c>
      <c r="G729" t="s">
        <v>59</v>
      </c>
      <c r="H729" t="s">
        <v>722</v>
      </c>
      <c r="I729">
        <v>8</v>
      </c>
      <c r="J729">
        <v>76202</v>
      </c>
      <c r="K729">
        <v>3.2</v>
      </c>
      <c r="L729">
        <v>99.1</v>
      </c>
      <c r="M729">
        <v>1</v>
      </c>
      <c r="N729">
        <v>43</v>
      </c>
      <c r="O729">
        <v>14349</v>
      </c>
      <c r="P729" t="s">
        <v>53</v>
      </c>
      <c r="Q729" t="s">
        <v>27</v>
      </c>
      <c r="R729" t="s">
        <v>28</v>
      </c>
      <c r="S729" t="s">
        <v>29</v>
      </c>
      <c r="T729" t="s">
        <v>50</v>
      </c>
      <c r="U729">
        <f t="shared" si="55"/>
        <v>90551</v>
      </c>
      <c r="V729" t="str">
        <f t="shared" si="56"/>
        <v>Excellent</v>
      </c>
      <c r="W729" t="str">
        <f t="shared" si="57"/>
        <v>Normal</v>
      </c>
      <c r="X729" t="str">
        <f t="shared" si="58"/>
        <v>Senior</v>
      </c>
      <c r="Y729" t="str">
        <f t="shared" si="59"/>
        <v>25-34</v>
      </c>
    </row>
    <row r="730" spans="1:25" x14ac:dyDescent="0.3">
      <c r="A730">
        <v>1729</v>
      </c>
      <c r="B730" t="s">
        <v>68</v>
      </c>
      <c r="C730" t="s">
        <v>37</v>
      </c>
      <c r="D730">
        <v>34</v>
      </c>
      <c r="E730" t="s">
        <v>91</v>
      </c>
      <c r="F730" t="s">
        <v>101</v>
      </c>
      <c r="G730" t="s">
        <v>45</v>
      </c>
      <c r="H730" t="s">
        <v>723</v>
      </c>
      <c r="I730">
        <v>7</v>
      </c>
      <c r="J730">
        <v>52463</v>
      </c>
      <c r="K730">
        <v>3.1</v>
      </c>
      <c r="L730">
        <v>91.6</v>
      </c>
      <c r="M730">
        <v>14</v>
      </c>
      <c r="N730">
        <v>44</v>
      </c>
      <c r="O730">
        <v>14125</v>
      </c>
      <c r="P730" t="s">
        <v>47</v>
      </c>
      <c r="Q730" t="s">
        <v>48</v>
      </c>
      <c r="R730" t="s">
        <v>28</v>
      </c>
      <c r="S730" t="s">
        <v>49</v>
      </c>
      <c r="T730" t="s">
        <v>50</v>
      </c>
      <c r="U730">
        <f t="shared" si="55"/>
        <v>66588</v>
      </c>
      <c r="V730" t="str">
        <f t="shared" si="56"/>
        <v>Needs Improvement</v>
      </c>
      <c r="W730" t="str">
        <f t="shared" si="57"/>
        <v>Normal</v>
      </c>
      <c r="X730" t="str">
        <f t="shared" si="58"/>
        <v>Senior</v>
      </c>
      <c r="Y730" t="str">
        <f t="shared" si="59"/>
        <v>25-34</v>
      </c>
    </row>
    <row r="731" spans="1:25" x14ac:dyDescent="0.3">
      <c r="A731">
        <v>1730</v>
      </c>
      <c r="B731" t="s">
        <v>20</v>
      </c>
      <c r="C731" t="s">
        <v>37</v>
      </c>
      <c r="D731">
        <v>22</v>
      </c>
      <c r="E731" t="s">
        <v>22</v>
      </c>
      <c r="F731" t="s">
        <v>23</v>
      </c>
      <c r="G731" t="s">
        <v>64</v>
      </c>
      <c r="H731" t="s">
        <v>724</v>
      </c>
      <c r="I731">
        <v>8</v>
      </c>
      <c r="J731">
        <v>78770</v>
      </c>
      <c r="K731">
        <v>3.1</v>
      </c>
      <c r="L731">
        <v>93</v>
      </c>
      <c r="M731">
        <v>10</v>
      </c>
      <c r="N731">
        <v>5</v>
      </c>
      <c r="O731">
        <v>2165</v>
      </c>
      <c r="P731" t="s">
        <v>33</v>
      </c>
      <c r="Q731" t="s">
        <v>27</v>
      </c>
      <c r="R731" t="s">
        <v>28</v>
      </c>
      <c r="S731" t="s">
        <v>29</v>
      </c>
      <c r="T731" t="s">
        <v>50</v>
      </c>
      <c r="U731">
        <f t="shared" si="55"/>
        <v>80935</v>
      </c>
      <c r="V731" t="str">
        <f t="shared" si="56"/>
        <v>Needs Improvement</v>
      </c>
      <c r="W731" t="str">
        <f t="shared" si="57"/>
        <v>Normal</v>
      </c>
      <c r="X731" t="str">
        <f t="shared" si="58"/>
        <v>Senior</v>
      </c>
      <c r="Y731" t="str">
        <f t="shared" si="59"/>
        <v>20-24</v>
      </c>
    </row>
    <row r="732" spans="1:25" x14ac:dyDescent="0.3">
      <c r="A732">
        <v>1731</v>
      </c>
      <c r="B732" t="s">
        <v>111</v>
      </c>
      <c r="C732" t="s">
        <v>37</v>
      </c>
      <c r="D732">
        <v>41</v>
      </c>
      <c r="E732" t="s">
        <v>62</v>
      </c>
      <c r="F732" t="s">
        <v>63</v>
      </c>
      <c r="G732" t="s">
        <v>45</v>
      </c>
      <c r="H732" t="s">
        <v>145</v>
      </c>
      <c r="I732">
        <v>6</v>
      </c>
      <c r="J732">
        <v>49391</v>
      </c>
      <c r="K732">
        <v>3.1</v>
      </c>
      <c r="L732">
        <v>93.2</v>
      </c>
      <c r="M732">
        <v>20</v>
      </c>
      <c r="N732">
        <v>23</v>
      </c>
      <c r="O732">
        <v>6348</v>
      </c>
      <c r="P732" t="s">
        <v>53</v>
      </c>
      <c r="Q732" t="s">
        <v>48</v>
      </c>
      <c r="R732" t="s">
        <v>28</v>
      </c>
      <c r="S732" t="s">
        <v>34</v>
      </c>
      <c r="T732" t="s">
        <v>50</v>
      </c>
      <c r="U732">
        <f t="shared" si="55"/>
        <v>55739</v>
      </c>
      <c r="V732" t="str">
        <f t="shared" si="56"/>
        <v>Needs Improvement</v>
      </c>
      <c r="W732" t="str">
        <f t="shared" si="57"/>
        <v>Normal</v>
      </c>
      <c r="X732" t="str">
        <f t="shared" si="58"/>
        <v>Mid</v>
      </c>
      <c r="Y732" t="str">
        <f t="shared" si="59"/>
        <v>35-44</v>
      </c>
    </row>
    <row r="733" spans="1:25" x14ac:dyDescent="0.3">
      <c r="A733">
        <v>1732</v>
      </c>
      <c r="B733" t="s">
        <v>71</v>
      </c>
      <c r="C733" t="s">
        <v>21</v>
      </c>
      <c r="D733">
        <v>43</v>
      </c>
      <c r="E733" t="s">
        <v>22</v>
      </c>
      <c r="F733" t="s">
        <v>66</v>
      </c>
      <c r="G733" t="s">
        <v>59</v>
      </c>
      <c r="H733" t="s">
        <v>725</v>
      </c>
      <c r="I733">
        <v>3</v>
      </c>
      <c r="J733">
        <v>25377</v>
      </c>
      <c r="K733">
        <v>3.7</v>
      </c>
      <c r="L733">
        <v>93.1</v>
      </c>
      <c r="M733">
        <v>20</v>
      </c>
      <c r="N733">
        <v>24</v>
      </c>
      <c r="O733">
        <v>12483</v>
      </c>
      <c r="P733" t="s">
        <v>47</v>
      </c>
      <c r="Q733" t="s">
        <v>48</v>
      </c>
      <c r="R733" t="s">
        <v>28</v>
      </c>
      <c r="S733" t="s">
        <v>34</v>
      </c>
      <c r="T733" t="s">
        <v>35</v>
      </c>
      <c r="U733">
        <f t="shared" si="55"/>
        <v>37860</v>
      </c>
      <c r="V733" t="str">
        <f t="shared" si="56"/>
        <v>Needs Improvement</v>
      </c>
      <c r="W733" t="str">
        <f t="shared" si="57"/>
        <v>Normal</v>
      </c>
      <c r="X733" t="str">
        <f t="shared" si="58"/>
        <v>Mid</v>
      </c>
      <c r="Y733" t="str">
        <f t="shared" si="59"/>
        <v>35-44</v>
      </c>
    </row>
    <row r="734" spans="1:25" x14ac:dyDescent="0.3">
      <c r="A734">
        <v>1733</v>
      </c>
      <c r="B734" t="s">
        <v>73</v>
      </c>
      <c r="C734" t="s">
        <v>21</v>
      </c>
      <c r="D734">
        <v>24</v>
      </c>
      <c r="E734" t="s">
        <v>55</v>
      </c>
      <c r="F734" t="s">
        <v>79</v>
      </c>
      <c r="G734" t="s">
        <v>51</v>
      </c>
      <c r="H734" t="s">
        <v>726</v>
      </c>
      <c r="I734">
        <v>2</v>
      </c>
      <c r="J734">
        <v>70551</v>
      </c>
      <c r="K734">
        <v>4.0999999999999996</v>
      </c>
      <c r="L734">
        <v>98</v>
      </c>
      <c r="M734">
        <v>24</v>
      </c>
      <c r="N734">
        <v>43</v>
      </c>
      <c r="O734">
        <v>5201</v>
      </c>
      <c r="P734" t="s">
        <v>53</v>
      </c>
      <c r="Q734" t="s">
        <v>27</v>
      </c>
      <c r="R734" t="s">
        <v>58</v>
      </c>
      <c r="S734" t="s">
        <v>29</v>
      </c>
      <c r="T734" t="s">
        <v>30</v>
      </c>
      <c r="U734">
        <f t="shared" si="55"/>
        <v>75752</v>
      </c>
      <c r="V734" t="str">
        <f t="shared" si="56"/>
        <v>Excellent</v>
      </c>
      <c r="W734" t="str">
        <f t="shared" si="57"/>
        <v>High</v>
      </c>
      <c r="X734" t="str">
        <f t="shared" si="58"/>
        <v>Junior</v>
      </c>
      <c r="Y734" t="str">
        <f t="shared" si="59"/>
        <v>20-24</v>
      </c>
    </row>
    <row r="735" spans="1:25" x14ac:dyDescent="0.3">
      <c r="A735">
        <v>1734</v>
      </c>
      <c r="B735" t="s">
        <v>121</v>
      </c>
      <c r="C735" t="s">
        <v>37</v>
      </c>
      <c r="D735">
        <v>36</v>
      </c>
      <c r="E735" t="s">
        <v>22</v>
      </c>
      <c r="F735" t="s">
        <v>66</v>
      </c>
      <c r="G735" t="s">
        <v>24</v>
      </c>
      <c r="H735" t="s">
        <v>727</v>
      </c>
      <c r="I735">
        <v>10</v>
      </c>
      <c r="J735">
        <v>61050</v>
      </c>
      <c r="K735">
        <v>4.8</v>
      </c>
      <c r="L735">
        <v>84.6</v>
      </c>
      <c r="M735">
        <v>0</v>
      </c>
      <c r="N735">
        <v>16</v>
      </c>
      <c r="O735">
        <v>13354</v>
      </c>
      <c r="P735" t="s">
        <v>33</v>
      </c>
      <c r="Q735" t="s">
        <v>27</v>
      </c>
      <c r="R735" t="s">
        <v>70</v>
      </c>
      <c r="S735" t="s">
        <v>49</v>
      </c>
      <c r="T735" t="s">
        <v>50</v>
      </c>
      <c r="U735">
        <f t="shared" si="55"/>
        <v>74404</v>
      </c>
      <c r="V735" t="str">
        <f t="shared" si="56"/>
        <v>Needs Improvement</v>
      </c>
      <c r="W735" t="str">
        <f t="shared" si="57"/>
        <v>Normal</v>
      </c>
      <c r="X735" t="str">
        <f t="shared" si="58"/>
        <v>Senior</v>
      </c>
      <c r="Y735" t="str">
        <f t="shared" si="59"/>
        <v>35-44</v>
      </c>
    </row>
    <row r="736" spans="1:25" x14ac:dyDescent="0.3">
      <c r="A736">
        <v>1735</v>
      </c>
      <c r="B736" t="s">
        <v>54</v>
      </c>
      <c r="C736" t="s">
        <v>21</v>
      </c>
      <c r="D736">
        <v>35</v>
      </c>
      <c r="E736" t="s">
        <v>62</v>
      </c>
      <c r="F736" t="s">
        <v>97</v>
      </c>
      <c r="G736" t="s">
        <v>45</v>
      </c>
      <c r="H736" t="s">
        <v>728</v>
      </c>
      <c r="I736">
        <v>5</v>
      </c>
      <c r="J736">
        <v>92615</v>
      </c>
      <c r="K736">
        <v>2.9</v>
      </c>
      <c r="L736">
        <v>89.5</v>
      </c>
      <c r="M736">
        <v>6</v>
      </c>
      <c r="N736">
        <v>57</v>
      </c>
      <c r="O736">
        <v>5804</v>
      </c>
      <c r="P736" t="s">
        <v>53</v>
      </c>
      <c r="Q736" t="s">
        <v>48</v>
      </c>
      <c r="R736" t="s">
        <v>42</v>
      </c>
      <c r="S736" t="s">
        <v>29</v>
      </c>
      <c r="T736" t="s">
        <v>35</v>
      </c>
      <c r="U736">
        <f t="shared" si="55"/>
        <v>98419</v>
      </c>
      <c r="V736" t="str">
        <f t="shared" si="56"/>
        <v>Needs Improvement</v>
      </c>
      <c r="W736" t="str">
        <f t="shared" si="57"/>
        <v>Normal</v>
      </c>
      <c r="X736" t="str">
        <f t="shared" si="58"/>
        <v>Mid</v>
      </c>
      <c r="Y736" t="str">
        <f t="shared" si="59"/>
        <v>35-44</v>
      </c>
    </row>
    <row r="737" spans="1:25" x14ac:dyDescent="0.3">
      <c r="A737">
        <v>1736</v>
      </c>
      <c r="B737" t="s">
        <v>121</v>
      </c>
      <c r="C737" t="s">
        <v>21</v>
      </c>
      <c r="D737">
        <v>44</v>
      </c>
      <c r="E737" t="s">
        <v>38</v>
      </c>
      <c r="F737" t="s">
        <v>44</v>
      </c>
      <c r="G737" t="s">
        <v>51</v>
      </c>
      <c r="H737" t="s">
        <v>729</v>
      </c>
      <c r="I737">
        <v>2</v>
      </c>
      <c r="J737">
        <v>53736</v>
      </c>
      <c r="K737">
        <v>3.1</v>
      </c>
      <c r="L737">
        <v>86.4</v>
      </c>
      <c r="M737">
        <v>11</v>
      </c>
      <c r="N737">
        <v>9</v>
      </c>
      <c r="O737">
        <v>8854</v>
      </c>
      <c r="P737" t="s">
        <v>47</v>
      </c>
      <c r="Q737" t="s">
        <v>27</v>
      </c>
      <c r="R737" t="s">
        <v>28</v>
      </c>
      <c r="S737" t="s">
        <v>49</v>
      </c>
      <c r="T737" t="s">
        <v>30</v>
      </c>
      <c r="U737">
        <f t="shared" si="55"/>
        <v>62590</v>
      </c>
      <c r="V737" t="str">
        <f t="shared" si="56"/>
        <v>Needs Improvement</v>
      </c>
      <c r="W737" t="str">
        <f t="shared" si="57"/>
        <v>Normal</v>
      </c>
      <c r="X737" t="str">
        <f t="shared" si="58"/>
        <v>Junior</v>
      </c>
      <c r="Y737" t="str">
        <f t="shared" si="59"/>
        <v>35-44</v>
      </c>
    </row>
    <row r="738" spans="1:25" x14ac:dyDescent="0.3">
      <c r="A738">
        <v>1737</v>
      </c>
      <c r="B738" t="s">
        <v>75</v>
      </c>
      <c r="C738" t="s">
        <v>37</v>
      </c>
      <c r="D738">
        <v>39</v>
      </c>
      <c r="E738" t="s">
        <v>91</v>
      </c>
      <c r="F738" t="s">
        <v>101</v>
      </c>
      <c r="G738" t="s">
        <v>24</v>
      </c>
      <c r="H738" t="s">
        <v>730</v>
      </c>
      <c r="I738">
        <v>2</v>
      </c>
      <c r="J738">
        <v>45191</v>
      </c>
      <c r="K738">
        <v>4.5999999999999996</v>
      </c>
      <c r="L738">
        <v>92</v>
      </c>
      <c r="M738">
        <v>25</v>
      </c>
      <c r="N738">
        <v>14</v>
      </c>
      <c r="O738">
        <v>10818</v>
      </c>
      <c r="P738" t="s">
        <v>41</v>
      </c>
      <c r="Q738" t="s">
        <v>27</v>
      </c>
      <c r="R738" t="s">
        <v>70</v>
      </c>
      <c r="S738" t="s">
        <v>34</v>
      </c>
      <c r="T738" t="s">
        <v>30</v>
      </c>
      <c r="U738">
        <f t="shared" si="55"/>
        <v>56009</v>
      </c>
      <c r="V738" t="str">
        <f t="shared" si="56"/>
        <v>Needs Improvement</v>
      </c>
      <c r="W738" t="str">
        <f t="shared" si="57"/>
        <v>High</v>
      </c>
      <c r="X738" t="str">
        <f t="shared" si="58"/>
        <v>Junior</v>
      </c>
      <c r="Y738" t="str">
        <f t="shared" si="59"/>
        <v>35-44</v>
      </c>
    </row>
    <row r="739" spans="1:25" x14ac:dyDescent="0.3">
      <c r="A739">
        <v>1738</v>
      </c>
      <c r="B739" t="s">
        <v>73</v>
      </c>
      <c r="C739" t="s">
        <v>21</v>
      </c>
      <c r="D739">
        <v>26</v>
      </c>
      <c r="E739" t="s">
        <v>62</v>
      </c>
      <c r="F739" t="s">
        <v>97</v>
      </c>
      <c r="G739" t="s">
        <v>24</v>
      </c>
      <c r="H739" t="s">
        <v>731</v>
      </c>
      <c r="I739">
        <v>6</v>
      </c>
      <c r="J739">
        <v>52360</v>
      </c>
      <c r="K739">
        <v>3.6</v>
      </c>
      <c r="L739">
        <v>90.5</v>
      </c>
      <c r="M739">
        <v>8</v>
      </c>
      <c r="N739">
        <v>12</v>
      </c>
      <c r="O739">
        <v>8579</v>
      </c>
      <c r="P739" t="s">
        <v>26</v>
      </c>
      <c r="Q739" t="s">
        <v>48</v>
      </c>
      <c r="R739" t="s">
        <v>28</v>
      </c>
      <c r="S739" t="s">
        <v>49</v>
      </c>
      <c r="T739" t="s">
        <v>50</v>
      </c>
      <c r="U739">
        <f t="shared" si="55"/>
        <v>60939</v>
      </c>
      <c r="V739" t="str">
        <f t="shared" si="56"/>
        <v>Needs Improvement</v>
      </c>
      <c r="W739" t="str">
        <f t="shared" si="57"/>
        <v>Normal</v>
      </c>
      <c r="X739" t="str">
        <f t="shared" si="58"/>
        <v>Mid</v>
      </c>
      <c r="Y739" t="str">
        <f t="shared" si="59"/>
        <v>25-34</v>
      </c>
    </row>
    <row r="740" spans="1:25" x14ac:dyDescent="0.3">
      <c r="A740">
        <v>1739</v>
      </c>
      <c r="B740" t="s">
        <v>178</v>
      </c>
      <c r="C740" t="s">
        <v>37</v>
      </c>
      <c r="D740">
        <v>23</v>
      </c>
      <c r="E740" t="s">
        <v>55</v>
      </c>
      <c r="F740" t="s">
        <v>143</v>
      </c>
      <c r="G740" t="s">
        <v>24</v>
      </c>
      <c r="H740" t="s">
        <v>594</v>
      </c>
      <c r="I740">
        <v>1</v>
      </c>
      <c r="J740">
        <v>66668</v>
      </c>
      <c r="K740">
        <v>3.4</v>
      </c>
      <c r="L740">
        <v>95.4</v>
      </c>
      <c r="M740">
        <v>22</v>
      </c>
      <c r="N740">
        <v>11</v>
      </c>
      <c r="O740">
        <v>3289</v>
      </c>
      <c r="P740" t="s">
        <v>26</v>
      </c>
      <c r="Q740" t="s">
        <v>48</v>
      </c>
      <c r="R740" t="s">
        <v>28</v>
      </c>
      <c r="S740" t="s">
        <v>49</v>
      </c>
      <c r="T740" t="s">
        <v>30</v>
      </c>
      <c r="U740">
        <f t="shared" si="55"/>
        <v>69957</v>
      </c>
      <c r="V740" t="str">
        <f t="shared" si="56"/>
        <v>Excellent</v>
      </c>
      <c r="W740" t="str">
        <f t="shared" si="57"/>
        <v>High</v>
      </c>
      <c r="X740" t="str">
        <f t="shared" si="58"/>
        <v>Junior</v>
      </c>
      <c r="Y740" t="str">
        <f t="shared" si="59"/>
        <v>20-24</v>
      </c>
    </row>
    <row r="741" spans="1:25" x14ac:dyDescent="0.3">
      <c r="A741">
        <v>1740</v>
      </c>
      <c r="B741" t="s">
        <v>78</v>
      </c>
      <c r="C741" t="s">
        <v>21</v>
      </c>
      <c r="D741">
        <v>24</v>
      </c>
      <c r="E741" t="s">
        <v>22</v>
      </c>
      <c r="F741" t="s">
        <v>23</v>
      </c>
      <c r="G741" t="s">
        <v>24</v>
      </c>
      <c r="H741" t="s">
        <v>164</v>
      </c>
      <c r="I741">
        <v>4</v>
      </c>
      <c r="J741">
        <v>27832</v>
      </c>
      <c r="K741">
        <v>3.7</v>
      </c>
      <c r="L741">
        <v>94.8</v>
      </c>
      <c r="M741">
        <v>14</v>
      </c>
      <c r="N741">
        <v>15</v>
      </c>
      <c r="O741">
        <v>1442</v>
      </c>
      <c r="P741" t="s">
        <v>53</v>
      </c>
      <c r="Q741" t="s">
        <v>48</v>
      </c>
      <c r="R741" t="s">
        <v>28</v>
      </c>
      <c r="S741" t="s">
        <v>34</v>
      </c>
      <c r="T741" t="s">
        <v>35</v>
      </c>
      <c r="U741">
        <f t="shared" si="55"/>
        <v>29274</v>
      </c>
      <c r="V741" t="str">
        <f t="shared" si="56"/>
        <v>Needs Improvement</v>
      </c>
      <c r="W741" t="str">
        <f t="shared" si="57"/>
        <v>Normal</v>
      </c>
      <c r="X741" t="str">
        <f t="shared" si="58"/>
        <v>Mid</v>
      </c>
      <c r="Y741" t="str">
        <f t="shared" si="59"/>
        <v>20-24</v>
      </c>
    </row>
    <row r="742" spans="1:25" x14ac:dyDescent="0.3">
      <c r="A742">
        <v>1741</v>
      </c>
      <c r="B742" t="s">
        <v>20</v>
      </c>
      <c r="C742" t="s">
        <v>37</v>
      </c>
      <c r="D742">
        <v>24</v>
      </c>
      <c r="E742" t="s">
        <v>22</v>
      </c>
      <c r="F742" t="s">
        <v>23</v>
      </c>
      <c r="G742" t="s">
        <v>64</v>
      </c>
      <c r="H742" t="s">
        <v>732</v>
      </c>
      <c r="I742">
        <v>9</v>
      </c>
      <c r="J742">
        <v>77848</v>
      </c>
      <c r="K742">
        <v>4.2</v>
      </c>
      <c r="L742">
        <v>89.6</v>
      </c>
      <c r="M742">
        <v>13</v>
      </c>
      <c r="N742">
        <v>30</v>
      </c>
      <c r="O742">
        <v>3693</v>
      </c>
      <c r="P742" t="s">
        <v>41</v>
      </c>
      <c r="Q742" t="s">
        <v>27</v>
      </c>
      <c r="R742" t="s">
        <v>58</v>
      </c>
      <c r="S742" t="s">
        <v>29</v>
      </c>
      <c r="T742" t="s">
        <v>50</v>
      </c>
      <c r="U742">
        <f t="shared" si="55"/>
        <v>81541</v>
      </c>
      <c r="V742" t="str">
        <f t="shared" si="56"/>
        <v>Needs Improvement</v>
      </c>
      <c r="W742" t="str">
        <f t="shared" si="57"/>
        <v>Normal</v>
      </c>
      <c r="X742" t="str">
        <f t="shared" si="58"/>
        <v>Senior</v>
      </c>
      <c r="Y742" t="str">
        <f t="shared" si="59"/>
        <v>20-24</v>
      </c>
    </row>
    <row r="743" spans="1:25" x14ac:dyDescent="0.3">
      <c r="A743">
        <v>1742</v>
      </c>
      <c r="B743" t="s">
        <v>61</v>
      </c>
      <c r="C743" t="s">
        <v>21</v>
      </c>
      <c r="D743">
        <v>39</v>
      </c>
      <c r="E743" t="s">
        <v>91</v>
      </c>
      <c r="F743" t="s">
        <v>101</v>
      </c>
      <c r="G743" t="s">
        <v>59</v>
      </c>
      <c r="H743" t="s">
        <v>733</v>
      </c>
      <c r="I743">
        <v>7</v>
      </c>
      <c r="J743">
        <v>27398</v>
      </c>
      <c r="K743">
        <v>3.6</v>
      </c>
      <c r="L743">
        <v>82.5</v>
      </c>
      <c r="M743">
        <v>19</v>
      </c>
      <c r="N743">
        <v>42</v>
      </c>
      <c r="O743">
        <v>8585</v>
      </c>
      <c r="P743" t="s">
        <v>26</v>
      </c>
      <c r="Q743" t="s">
        <v>27</v>
      </c>
      <c r="R743" t="s">
        <v>28</v>
      </c>
      <c r="S743" t="s">
        <v>34</v>
      </c>
      <c r="T743" t="s">
        <v>50</v>
      </c>
      <c r="U743">
        <f t="shared" si="55"/>
        <v>35983</v>
      </c>
      <c r="V743" t="str">
        <f t="shared" si="56"/>
        <v>Needs Improvement</v>
      </c>
      <c r="W743" t="str">
        <f t="shared" si="57"/>
        <v>Normal</v>
      </c>
      <c r="X743" t="str">
        <f t="shared" si="58"/>
        <v>Senior</v>
      </c>
      <c r="Y743" t="str">
        <f t="shared" si="59"/>
        <v>35-44</v>
      </c>
    </row>
    <row r="744" spans="1:25" x14ac:dyDescent="0.3">
      <c r="A744">
        <v>1743</v>
      </c>
      <c r="B744" t="s">
        <v>31</v>
      </c>
      <c r="C744" t="s">
        <v>37</v>
      </c>
      <c r="D744">
        <v>27</v>
      </c>
      <c r="E744" t="s">
        <v>22</v>
      </c>
      <c r="F744" t="s">
        <v>23</v>
      </c>
      <c r="G744" t="s">
        <v>64</v>
      </c>
      <c r="H744" t="s">
        <v>734</v>
      </c>
      <c r="I744">
        <v>6</v>
      </c>
      <c r="J744">
        <v>71636</v>
      </c>
      <c r="K744">
        <v>4.8</v>
      </c>
      <c r="L744">
        <v>92.6</v>
      </c>
      <c r="M744">
        <v>17</v>
      </c>
      <c r="N744">
        <v>53</v>
      </c>
      <c r="O744">
        <v>5660</v>
      </c>
      <c r="P744" t="s">
        <v>33</v>
      </c>
      <c r="Q744" t="s">
        <v>27</v>
      </c>
      <c r="R744" t="s">
        <v>70</v>
      </c>
      <c r="S744" t="s">
        <v>29</v>
      </c>
      <c r="T744" t="s">
        <v>50</v>
      </c>
      <c r="U744">
        <f t="shared" si="55"/>
        <v>77296</v>
      </c>
      <c r="V744" t="str">
        <f t="shared" si="56"/>
        <v>Needs Improvement</v>
      </c>
      <c r="W744" t="str">
        <f t="shared" si="57"/>
        <v>Normal</v>
      </c>
      <c r="X744" t="str">
        <f t="shared" si="58"/>
        <v>Mid</v>
      </c>
      <c r="Y744" t="str">
        <f t="shared" si="59"/>
        <v>25-34</v>
      </c>
    </row>
    <row r="745" spans="1:25" x14ac:dyDescent="0.3">
      <c r="A745">
        <v>1744</v>
      </c>
      <c r="B745" t="s">
        <v>75</v>
      </c>
      <c r="C745" t="s">
        <v>21</v>
      </c>
      <c r="D745">
        <v>39</v>
      </c>
      <c r="E745" t="s">
        <v>91</v>
      </c>
      <c r="F745" t="s">
        <v>92</v>
      </c>
      <c r="G745" t="s">
        <v>24</v>
      </c>
      <c r="H745" t="s">
        <v>735</v>
      </c>
      <c r="I745">
        <v>8</v>
      </c>
      <c r="J745">
        <v>45559</v>
      </c>
      <c r="K745">
        <v>2.7</v>
      </c>
      <c r="L745">
        <v>93.3</v>
      </c>
      <c r="M745">
        <v>5</v>
      </c>
      <c r="N745">
        <v>37</v>
      </c>
      <c r="O745">
        <v>14654</v>
      </c>
      <c r="P745" t="s">
        <v>41</v>
      </c>
      <c r="Q745" t="s">
        <v>48</v>
      </c>
      <c r="R745" t="s">
        <v>42</v>
      </c>
      <c r="S745" t="s">
        <v>34</v>
      </c>
      <c r="T745" t="s">
        <v>50</v>
      </c>
      <c r="U745">
        <f t="shared" si="55"/>
        <v>60213</v>
      </c>
      <c r="V745" t="str">
        <f t="shared" si="56"/>
        <v>Needs Improvement</v>
      </c>
      <c r="W745" t="str">
        <f t="shared" si="57"/>
        <v>Normal</v>
      </c>
      <c r="X745" t="str">
        <f t="shared" si="58"/>
        <v>Senior</v>
      </c>
      <c r="Y745" t="str">
        <f t="shared" si="59"/>
        <v>35-44</v>
      </c>
    </row>
    <row r="746" spans="1:25" x14ac:dyDescent="0.3">
      <c r="A746">
        <v>1745</v>
      </c>
      <c r="B746" t="s">
        <v>61</v>
      </c>
      <c r="C746" t="s">
        <v>37</v>
      </c>
      <c r="D746">
        <v>41</v>
      </c>
      <c r="E746" t="s">
        <v>62</v>
      </c>
      <c r="F746" t="s">
        <v>63</v>
      </c>
      <c r="G746" t="s">
        <v>59</v>
      </c>
      <c r="H746" t="s">
        <v>736</v>
      </c>
      <c r="I746">
        <v>1</v>
      </c>
      <c r="J746">
        <v>71755</v>
      </c>
      <c r="K746">
        <v>3.7</v>
      </c>
      <c r="L746">
        <v>91.9</v>
      </c>
      <c r="M746">
        <v>3</v>
      </c>
      <c r="N746">
        <v>21</v>
      </c>
      <c r="O746">
        <v>6837</v>
      </c>
      <c r="P746" t="s">
        <v>53</v>
      </c>
      <c r="Q746" t="s">
        <v>48</v>
      </c>
      <c r="R746" t="s">
        <v>28</v>
      </c>
      <c r="S746" t="s">
        <v>29</v>
      </c>
      <c r="T746" t="s">
        <v>30</v>
      </c>
      <c r="U746">
        <f t="shared" si="55"/>
        <v>78592</v>
      </c>
      <c r="V746" t="str">
        <f t="shared" si="56"/>
        <v>Needs Improvement</v>
      </c>
      <c r="W746" t="str">
        <f t="shared" si="57"/>
        <v>Normal</v>
      </c>
      <c r="X746" t="str">
        <f t="shared" si="58"/>
        <v>Junior</v>
      </c>
      <c r="Y746" t="str">
        <f t="shared" si="59"/>
        <v>35-44</v>
      </c>
    </row>
    <row r="747" spans="1:25" x14ac:dyDescent="0.3">
      <c r="A747">
        <v>1746</v>
      </c>
      <c r="B747" t="s">
        <v>83</v>
      </c>
      <c r="C747" t="s">
        <v>37</v>
      </c>
      <c r="D747">
        <v>32</v>
      </c>
      <c r="E747" t="s">
        <v>38</v>
      </c>
      <c r="F747" t="s">
        <v>44</v>
      </c>
      <c r="G747" t="s">
        <v>45</v>
      </c>
      <c r="H747" t="s">
        <v>737</v>
      </c>
      <c r="I747">
        <v>6</v>
      </c>
      <c r="J747">
        <v>37219</v>
      </c>
      <c r="K747">
        <v>3.2</v>
      </c>
      <c r="L747">
        <v>86.6</v>
      </c>
      <c r="M747">
        <v>4</v>
      </c>
      <c r="N747">
        <v>19</v>
      </c>
      <c r="O747">
        <v>1025</v>
      </c>
      <c r="P747" t="s">
        <v>33</v>
      </c>
      <c r="Q747" t="s">
        <v>27</v>
      </c>
      <c r="R747" t="s">
        <v>28</v>
      </c>
      <c r="S747" t="s">
        <v>34</v>
      </c>
      <c r="T747" t="s">
        <v>50</v>
      </c>
      <c r="U747">
        <f t="shared" si="55"/>
        <v>38244</v>
      </c>
      <c r="V747" t="str">
        <f t="shared" si="56"/>
        <v>Needs Improvement</v>
      </c>
      <c r="W747" t="str">
        <f t="shared" si="57"/>
        <v>Normal</v>
      </c>
      <c r="X747" t="str">
        <f t="shared" si="58"/>
        <v>Mid</v>
      </c>
      <c r="Y747" t="str">
        <f t="shared" si="59"/>
        <v>25-34</v>
      </c>
    </row>
    <row r="748" spans="1:25" x14ac:dyDescent="0.3">
      <c r="A748">
        <v>1747</v>
      </c>
      <c r="B748" t="s">
        <v>71</v>
      </c>
      <c r="C748" t="s">
        <v>37</v>
      </c>
      <c r="D748">
        <v>24</v>
      </c>
      <c r="E748" t="s">
        <v>55</v>
      </c>
      <c r="F748" t="s">
        <v>143</v>
      </c>
      <c r="G748" t="s">
        <v>59</v>
      </c>
      <c r="H748" t="s">
        <v>738</v>
      </c>
      <c r="I748">
        <v>5</v>
      </c>
      <c r="J748">
        <v>47979</v>
      </c>
      <c r="K748">
        <v>3.6</v>
      </c>
      <c r="L748">
        <v>83.5</v>
      </c>
      <c r="M748">
        <v>13</v>
      </c>
      <c r="N748">
        <v>11</v>
      </c>
      <c r="O748">
        <v>7239</v>
      </c>
      <c r="P748" t="s">
        <v>26</v>
      </c>
      <c r="Q748" t="s">
        <v>27</v>
      </c>
      <c r="R748" t="s">
        <v>28</v>
      </c>
      <c r="S748" t="s">
        <v>34</v>
      </c>
      <c r="T748" t="s">
        <v>35</v>
      </c>
      <c r="U748">
        <f t="shared" si="55"/>
        <v>55218</v>
      </c>
      <c r="V748" t="str">
        <f t="shared" si="56"/>
        <v>Needs Improvement</v>
      </c>
      <c r="W748" t="str">
        <f t="shared" si="57"/>
        <v>Normal</v>
      </c>
      <c r="X748" t="str">
        <f t="shared" si="58"/>
        <v>Mid</v>
      </c>
      <c r="Y748" t="str">
        <f t="shared" si="59"/>
        <v>20-24</v>
      </c>
    </row>
    <row r="749" spans="1:25" x14ac:dyDescent="0.3">
      <c r="A749">
        <v>1748</v>
      </c>
      <c r="B749" t="s">
        <v>124</v>
      </c>
      <c r="C749" t="s">
        <v>21</v>
      </c>
      <c r="D749">
        <v>29</v>
      </c>
      <c r="E749" t="s">
        <v>22</v>
      </c>
      <c r="F749" t="s">
        <v>66</v>
      </c>
      <c r="G749" t="s">
        <v>45</v>
      </c>
      <c r="H749" t="s">
        <v>739</v>
      </c>
      <c r="I749">
        <v>0</v>
      </c>
      <c r="J749">
        <v>64588</v>
      </c>
      <c r="K749">
        <v>3.8</v>
      </c>
      <c r="L749">
        <v>84</v>
      </c>
      <c r="M749">
        <v>0</v>
      </c>
      <c r="N749">
        <v>59</v>
      </c>
      <c r="O749">
        <v>5067</v>
      </c>
      <c r="P749" t="s">
        <v>41</v>
      </c>
      <c r="Q749" t="s">
        <v>48</v>
      </c>
      <c r="R749" t="s">
        <v>28</v>
      </c>
      <c r="S749" t="s">
        <v>49</v>
      </c>
      <c r="T749" t="s">
        <v>30</v>
      </c>
      <c r="U749">
        <f t="shared" si="55"/>
        <v>69655</v>
      </c>
      <c r="V749" t="str">
        <f t="shared" si="56"/>
        <v>Needs Improvement</v>
      </c>
      <c r="W749" t="str">
        <f t="shared" si="57"/>
        <v>Normal</v>
      </c>
      <c r="X749" t="str">
        <f t="shared" si="58"/>
        <v>Junior</v>
      </c>
      <c r="Y749" t="str">
        <f t="shared" si="59"/>
        <v>25-34</v>
      </c>
    </row>
    <row r="750" spans="1:25" x14ac:dyDescent="0.3">
      <c r="A750">
        <v>1749</v>
      </c>
      <c r="B750" t="s">
        <v>121</v>
      </c>
      <c r="C750" t="s">
        <v>37</v>
      </c>
      <c r="D750">
        <v>32</v>
      </c>
      <c r="E750" t="s">
        <v>38</v>
      </c>
      <c r="F750" t="s">
        <v>39</v>
      </c>
      <c r="G750" t="s">
        <v>51</v>
      </c>
      <c r="H750" t="s">
        <v>740</v>
      </c>
      <c r="I750">
        <v>8</v>
      </c>
      <c r="K750">
        <v>4.5999999999999996</v>
      </c>
      <c r="L750">
        <v>93.5</v>
      </c>
      <c r="M750">
        <v>12</v>
      </c>
      <c r="N750">
        <v>34</v>
      </c>
      <c r="O750">
        <v>8049</v>
      </c>
      <c r="P750" t="s">
        <v>47</v>
      </c>
      <c r="Q750" t="s">
        <v>27</v>
      </c>
      <c r="R750" t="s">
        <v>70</v>
      </c>
      <c r="S750" t="s">
        <v>34</v>
      </c>
      <c r="T750" t="s">
        <v>50</v>
      </c>
      <c r="U750">
        <f t="shared" si="55"/>
        <v>8049</v>
      </c>
      <c r="V750" t="str">
        <f t="shared" si="56"/>
        <v>Needs Improvement</v>
      </c>
      <c r="W750" t="str">
        <f t="shared" si="57"/>
        <v>Normal</v>
      </c>
      <c r="X750" t="str">
        <f t="shared" si="58"/>
        <v>Senior</v>
      </c>
      <c r="Y750" t="str">
        <f t="shared" si="59"/>
        <v>25-34</v>
      </c>
    </row>
    <row r="751" spans="1:25" x14ac:dyDescent="0.3">
      <c r="A751">
        <v>1750</v>
      </c>
      <c r="B751" t="s">
        <v>31</v>
      </c>
      <c r="C751" t="s">
        <v>21</v>
      </c>
      <c r="D751">
        <v>43</v>
      </c>
      <c r="E751" t="s">
        <v>55</v>
      </c>
      <c r="F751" t="s">
        <v>79</v>
      </c>
      <c r="G751" t="s">
        <v>24</v>
      </c>
      <c r="H751" t="s">
        <v>741</v>
      </c>
      <c r="I751">
        <v>2</v>
      </c>
      <c r="J751">
        <v>43288</v>
      </c>
      <c r="K751">
        <v>2.6</v>
      </c>
      <c r="L751">
        <v>84.6</v>
      </c>
      <c r="M751">
        <v>8</v>
      </c>
      <c r="N751">
        <v>31</v>
      </c>
      <c r="O751">
        <v>4721</v>
      </c>
      <c r="P751" t="s">
        <v>47</v>
      </c>
      <c r="Q751" t="s">
        <v>27</v>
      </c>
      <c r="R751" t="s">
        <v>42</v>
      </c>
      <c r="S751" t="s">
        <v>34</v>
      </c>
      <c r="T751" t="s">
        <v>30</v>
      </c>
      <c r="U751">
        <f t="shared" si="55"/>
        <v>48009</v>
      </c>
      <c r="V751" t="str">
        <f t="shared" si="56"/>
        <v>Needs Improvement</v>
      </c>
      <c r="W751" t="str">
        <f t="shared" si="57"/>
        <v>Normal</v>
      </c>
      <c r="X751" t="str">
        <f t="shared" si="58"/>
        <v>Junior</v>
      </c>
      <c r="Y751" t="str">
        <f t="shared" si="59"/>
        <v>35-44</v>
      </c>
    </row>
    <row r="752" spans="1:25" x14ac:dyDescent="0.3">
      <c r="A752">
        <v>1751</v>
      </c>
      <c r="B752" t="s">
        <v>73</v>
      </c>
      <c r="C752" t="s">
        <v>21</v>
      </c>
      <c r="D752">
        <v>40</v>
      </c>
      <c r="E752" t="s">
        <v>22</v>
      </c>
      <c r="F752" t="s">
        <v>23</v>
      </c>
      <c r="G752" t="s">
        <v>51</v>
      </c>
      <c r="H752" t="s">
        <v>742</v>
      </c>
      <c r="I752">
        <v>8</v>
      </c>
      <c r="J752">
        <v>51123</v>
      </c>
      <c r="K752">
        <v>3.4</v>
      </c>
      <c r="L752">
        <v>93.9</v>
      </c>
      <c r="M752">
        <v>4</v>
      </c>
      <c r="N752">
        <v>32</v>
      </c>
      <c r="O752">
        <v>9581</v>
      </c>
      <c r="P752" t="s">
        <v>26</v>
      </c>
      <c r="Q752" t="s">
        <v>48</v>
      </c>
      <c r="R752" t="s">
        <v>28</v>
      </c>
      <c r="S752" t="s">
        <v>49</v>
      </c>
      <c r="T752" t="s">
        <v>50</v>
      </c>
      <c r="U752">
        <f t="shared" si="55"/>
        <v>60704</v>
      </c>
      <c r="V752" t="str">
        <f t="shared" si="56"/>
        <v>Needs Improvement</v>
      </c>
      <c r="W752" t="str">
        <f t="shared" si="57"/>
        <v>Normal</v>
      </c>
      <c r="X752" t="str">
        <f t="shared" si="58"/>
        <v>Senior</v>
      </c>
      <c r="Y752" t="str">
        <f t="shared" si="59"/>
        <v>35-44</v>
      </c>
    </row>
    <row r="753" spans="1:25" x14ac:dyDescent="0.3">
      <c r="A753">
        <v>1752</v>
      </c>
      <c r="B753" t="s">
        <v>111</v>
      </c>
      <c r="C753" t="s">
        <v>37</v>
      </c>
      <c r="D753">
        <v>34</v>
      </c>
      <c r="E753" t="s">
        <v>62</v>
      </c>
      <c r="F753" t="s">
        <v>63</v>
      </c>
      <c r="G753" t="s">
        <v>24</v>
      </c>
      <c r="H753" t="s">
        <v>743</v>
      </c>
      <c r="I753">
        <v>10</v>
      </c>
      <c r="J753">
        <v>25957</v>
      </c>
      <c r="K753">
        <v>3.3</v>
      </c>
      <c r="L753">
        <v>90.9</v>
      </c>
      <c r="M753">
        <v>1</v>
      </c>
      <c r="N753">
        <v>10</v>
      </c>
      <c r="O753">
        <v>10629</v>
      </c>
      <c r="P753" t="s">
        <v>53</v>
      </c>
      <c r="Q753" t="s">
        <v>48</v>
      </c>
      <c r="R753" t="s">
        <v>28</v>
      </c>
      <c r="S753" t="s">
        <v>34</v>
      </c>
      <c r="T753" t="s">
        <v>50</v>
      </c>
      <c r="U753">
        <f t="shared" si="55"/>
        <v>36586</v>
      </c>
      <c r="V753" t="str">
        <f t="shared" si="56"/>
        <v>Needs Improvement</v>
      </c>
      <c r="W753" t="str">
        <f t="shared" si="57"/>
        <v>Normal</v>
      </c>
      <c r="X753" t="str">
        <f t="shared" si="58"/>
        <v>Senior</v>
      </c>
      <c r="Y753" t="str">
        <f t="shared" si="59"/>
        <v>25-34</v>
      </c>
    </row>
    <row r="754" spans="1:25" x14ac:dyDescent="0.3">
      <c r="A754">
        <v>1753</v>
      </c>
      <c r="B754" t="s">
        <v>31</v>
      </c>
      <c r="C754" t="s">
        <v>37</v>
      </c>
      <c r="D754">
        <v>45</v>
      </c>
      <c r="E754" t="s">
        <v>22</v>
      </c>
      <c r="F754" t="s">
        <v>23</v>
      </c>
      <c r="G754" t="s">
        <v>64</v>
      </c>
      <c r="H754" t="s">
        <v>744</v>
      </c>
      <c r="I754">
        <v>7</v>
      </c>
      <c r="J754">
        <v>79904</v>
      </c>
      <c r="K754">
        <v>2.9</v>
      </c>
      <c r="L754">
        <v>93.6</v>
      </c>
      <c r="M754">
        <v>3</v>
      </c>
      <c r="N754">
        <v>13</v>
      </c>
      <c r="O754">
        <v>2884</v>
      </c>
      <c r="P754" t="s">
        <v>26</v>
      </c>
      <c r="Q754" t="s">
        <v>48</v>
      </c>
      <c r="R754" t="s">
        <v>42</v>
      </c>
      <c r="S754" t="s">
        <v>29</v>
      </c>
      <c r="T754" t="s">
        <v>50</v>
      </c>
      <c r="U754">
        <f t="shared" si="55"/>
        <v>82788</v>
      </c>
      <c r="V754" t="str">
        <f t="shared" si="56"/>
        <v>Needs Improvement</v>
      </c>
      <c r="W754" t="str">
        <f t="shared" si="57"/>
        <v>Normal</v>
      </c>
      <c r="X754" t="str">
        <f t="shared" si="58"/>
        <v>Senior</v>
      </c>
      <c r="Y754" t="str">
        <f t="shared" si="59"/>
        <v>45+</v>
      </c>
    </row>
    <row r="755" spans="1:25" x14ac:dyDescent="0.3">
      <c r="A755">
        <v>1754</v>
      </c>
      <c r="B755" t="s">
        <v>54</v>
      </c>
      <c r="C755" t="s">
        <v>37</v>
      </c>
      <c r="D755">
        <v>38</v>
      </c>
      <c r="E755" t="s">
        <v>38</v>
      </c>
      <c r="F755" t="s">
        <v>39</v>
      </c>
      <c r="G755" t="s">
        <v>59</v>
      </c>
      <c r="H755" t="s">
        <v>745</v>
      </c>
      <c r="I755">
        <v>1</v>
      </c>
      <c r="J755">
        <v>85637</v>
      </c>
      <c r="K755">
        <v>3.1</v>
      </c>
      <c r="L755">
        <v>98.5</v>
      </c>
      <c r="M755">
        <v>22</v>
      </c>
      <c r="N755">
        <v>10</v>
      </c>
      <c r="O755">
        <v>12460</v>
      </c>
      <c r="P755" t="s">
        <v>53</v>
      </c>
      <c r="Q755" t="s">
        <v>27</v>
      </c>
      <c r="R755" t="s">
        <v>28</v>
      </c>
      <c r="S755" t="s">
        <v>29</v>
      </c>
      <c r="T755" t="s">
        <v>30</v>
      </c>
      <c r="U755">
        <f t="shared" si="55"/>
        <v>98097</v>
      </c>
      <c r="V755" t="str">
        <f t="shared" si="56"/>
        <v>Excellent</v>
      </c>
      <c r="W755" t="str">
        <f t="shared" si="57"/>
        <v>High</v>
      </c>
      <c r="X755" t="str">
        <f t="shared" si="58"/>
        <v>Junior</v>
      </c>
      <c r="Y755" t="str">
        <f t="shared" si="59"/>
        <v>35-44</v>
      </c>
    </row>
    <row r="756" spans="1:25" x14ac:dyDescent="0.3">
      <c r="A756">
        <v>1755</v>
      </c>
      <c r="B756" t="s">
        <v>54</v>
      </c>
      <c r="C756" t="s">
        <v>21</v>
      </c>
      <c r="D756">
        <v>29</v>
      </c>
      <c r="E756" t="s">
        <v>55</v>
      </c>
      <c r="F756" t="s">
        <v>79</v>
      </c>
      <c r="G756" t="s">
        <v>24</v>
      </c>
      <c r="H756" t="s">
        <v>746</v>
      </c>
      <c r="I756">
        <v>6</v>
      </c>
      <c r="J756">
        <v>81954</v>
      </c>
      <c r="K756">
        <v>2.9</v>
      </c>
      <c r="L756">
        <v>90.8</v>
      </c>
      <c r="M756">
        <v>7</v>
      </c>
      <c r="N756">
        <v>21</v>
      </c>
      <c r="O756">
        <v>5930</v>
      </c>
      <c r="P756" t="s">
        <v>47</v>
      </c>
      <c r="Q756" t="s">
        <v>48</v>
      </c>
      <c r="R756" t="s">
        <v>42</v>
      </c>
      <c r="S756" t="s">
        <v>29</v>
      </c>
      <c r="T756" t="s">
        <v>50</v>
      </c>
      <c r="U756">
        <f t="shared" si="55"/>
        <v>87884</v>
      </c>
      <c r="V756" t="str">
        <f t="shared" si="56"/>
        <v>Needs Improvement</v>
      </c>
      <c r="W756" t="str">
        <f t="shared" si="57"/>
        <v>Normal</v>
      </c>
      <c r="X756" t="str">
        <f t="shared" si="58"/>
        <v>Mid</v>
      </c>
      <c r="Y756" t="str">
        <f t="shared" si="59"/>
        <v>25-34</v>
      </c>
    </row>
    <row r="757" spans="1:25" x14ac:dyDescent="0.3">
      <c r="A757">
        <v>1756</v>
      </c>
      <c r="B757" t="s">
        <v>73</v>
      </c>
      <c r="C757" t="s">
        <v>21</v>
      </c>
      <c r="D757">
        <v>40</v>
      </c>
      <c r="E757" t="s">
        <v>55</v>
      </c>
      <c r="F757" t="s">
        <v>56</v>
      </c>
      <c r="G757" t="s">
        <v>59</v>
      </c>
      <c r="H757" t="s">
        <v>747</v>
      </c>
      <c r="I757">
        <v>6</v>
      </c>
      <c r="J757">
        <v>94790</v>
      </c>
      <c r="K757">
        <v>4.7</v>
      </c>
      <c r="L757">
        <v>98.3</v>
      </c>
      <c r="M757">
        <v>19</v>
      </c>
      <c r="N757">
        <v>22</v>
      </c>
      <c r="O757">
        <v>10565</v>
      </c>
      <c r="P757" t="s">
        <v>53</v>
      </c>
      <c r="Q757" t="s">
        <v>48</v>
      </c>
      <c r="R757" t="s">
        <v>70</v>
      </c>
      <c r="S757" t="s">
        <v>29</v>
      </c>
      <c r="T757" t="s">
        <v>50</v>
      </c>
      <c r="U757">
        <f t="shared" si="55"/>
        <v>105355</v>
      </c>
      <c r="V757" t="str">
        <f t="shared" si="56"/>
        <v>Excellent</v>
      </c>
      <c r="W757" t="str">
        <f t="shared" si="57"/>
        <v>Normal</v>
      </c>
      <c r="X757" t="str">
        <f t="shared" si="58"/>
        <v>Mid</v>
      </c>
      <c r="Y757" t="str">
        <f t="shared" si="59"/>
        <v>35-44</v>
      </c>
    </row>
    <row r="758" spans="1:25" x14ac:dyDescent="0.3">
      <c r="A758">
        <v>1757</v>
      </c>
      <c r="B758" t="s">
        <v>73</v>
      </c>
      <c r="C758" t="s">
        <v>21</v>
      </c>
      <c r="D758">
        <v>27</v>
      </c>
      <c r="E758" t="s">
        <v>91</v>
      </c>
      <c r="F758" t="s">
        <v>101</v>
      </c>
      <c r="G758" t="s">
        <v>59</v>
      </c>
      <c r="H758" t="s">
        <v>748</v>
      </c>
      <c r="I758">
        <v>4</v>
      </c>
      <c r="J758">
        <v>61775</v>
      </c>
      <c r="K758">
        <v>3.1</v>
      </c>
      <c r="L758">
        <v>94.6</v>
      </c>
      <c r="M758">
        <v>1</v>
      </c>
      <c r="N758">
        <v>13</v>
      </c>
      <c r="O758">
        <v>3201</v>
      </c>
      <c r="P758" t="s">
        <v>47</v>
      </c>
      <c r="Q758" t="s">
        <v>27</v>
      </c>
      <c r="R758" t="s">
        <v>28</v>
      </c>
      <c r="S758" t="s">
        <v>49</v>
      </c>
      <c r="T758" t="s">
        <v>35</v>
      </c>
      <c r="U758">
        <f t="shared" si="55"/>
        <v>64976</v>
      </c>
      <c r="V758" t="str">
        <f t="shared" si="56"/>
        <v>Needs Improvement</v>
      </c>
      <c r="W758" t="str">
        <f t="shared" si="57"/>
        <v>Normal</v>
      </c>
      <c r="X758" t="str">
        <f t="shared" si="58"/>
        <v>Mid</v>
      </c>
      <c r="Y758" t="str">
        <f t="shared" si="59"/>
        <v>25-34</v>
      </c>
    </row>
    <row r="759" spans="1:25" x14ac:dyDescent="0.3">
      <c r="A759">
        <v>1758</v>
      </c>
      <c r="B759" t="s">
        <v>54</v>
      </c>
      <c r="C759" t="s">
        <v>21</v>
      </c>
      <c r="D759">
        <v>29</v>
      </c>
      <c r="E759" t="s">
        <v>62</v>
      </c>
      <c r="F759" t="s">
        <v>63</v>
      </c>
      <c r="G759" t="s">
        <v>51</v>
      </c>
      <c r="H759" t="s">
        <v>749</v>
      </c>
      <c r="I759">
        <v>1</v>
      </c>
      <c r="J759">
        <v>35480</v>
      </c>
      <c r="K759">
        <v>3.4</v>
      </c>
      <c r="L759">
        <v>99.1</v>
      </c>
      <c r="M759">
        <v>14</v>
      </c>
      <c r="N759">
        <v>57</v>
      </c>
      <c r="O759">
        <v>4105</v>
      </c>
      <c r="P759" t="s">
        <v>53</v>
      </c>
      <c r="Q759" t="s">
        <v>48</v>
      </c>
      <c r="R759" t="s">
        <v>28</v>
      </c>
      <c r="S759" t="s">
        <v>34</v>
      </c>
      <c r="T759" t="s">
        <v>30</v>
      </c>
      <c r="U759">
        <f t="shared" si="55"/>
        <v>39585</v>
      </c>
      <c r="V759" t="str">
        <f t="shared" si="56"/>
        <v>Excellent</v>
      </c>
      <c r="W759" t="str">
        <f t="shared" si="57"/>
        <v>Normal</v>
      </c>
      <c r="X759" t="str">
        <f t="shared" si="58"/>
        <v>Junior</v>
      </c>
      <c r="Y759" t="str">
        <f t="shared" si="59"/>
        <v>25-34</v>
      </c>
    </row>
    <row r="760" spans="1:25" x14ac:dyDescent="0.3">
      <c r="A760">
        <v>1759</v>
      </c>
      <c r="B760" t="s">
        <v>111</v>
      </c>
      <c r="C760" t="s">
        <v>21</v>
      </c>
      <c r="D760">
        <v>41</v>
      </c>
      <c r="E760" t="s">
        <v>55</v>
      </c>
      <c r="F760" t="s">
        <v>143</v>
      </c>
      <c r="G760" t="s">
        <v>24</v>
      </c>
      <c r="H760" t="s">
        <v>355</v>
      </c>
      <c r="I760">
        <v>4</v>
      </c>
      <c r="J760">
        <v>84100</v>
      </c>
      <c r="K760">
        <v>3.2</v>
      </c>
      <c r="L760">
        <v>83.9</v>
      </c>
      <c r="M760">
        <v>13</v>
      </c>
      <c r="N760">
        <v>35</v>
      </c>
      <c r="O760">
        <v>7463</v>
      </c>
      <c r="P760" t="s">
        <v>41</v>
      </c>
      <c r="Q760" t="s">
        <v>48</v>
      </c>
      <c r="R760" t="s">
        <v>28</v>
      </c>
      <c r="S760" t="s">
        <v>29</v>
      </c>
      <c r="T760" t="s">
        <v>35</v>
      </c>
      <c r="U760">
        <f t="shared" si="55"/>
        <v>91563</v>
      </c>
      <c r="V760" t="str">
        <f t="shared" si="56"/>
        <v>Needs Improvement</v>
      </c>
      <c r="W760" t="str">
        <f t="shared" si="57"/>
        <v>Normal</v>
      </c>
      <c r="X760" t="str">
        <f t="shared" si="58"/>
        <v>Mid</v>
      </c>
      <c r="Y760" t="str">
        <f t="shared" si="59"/>
        <v>35-44</v>
      </c>
    </row>
    <row r="761" spans="1:25" x14ac:dyDescent="0.3">
      <c r="A761">
        <v>1760</v>
      </c>
      <c r="B761" t="s">
        <v>75</v>
      </c>
      <c r="C761" t="s">
        <v>21</v>
      </c>
      <c r="D761">
        <v>26</v>
      </c>
      <c r="E761" t="s">
        <v>62</v>
      </c>
      <c r="F761" t="s">
        <v>97</v>
      </c>
      <c r="G761" t="s">
        <v>24</v>
      </c>
      <c r="H761" t="s">
        <v>750</v>
      </c>
      <c r="I761">
        <v>10</v>
      </c>
      <c r="J761">
        <v>43748</v>
      </c>
      <c r="K761">
        <v>4.0999999999999996</v>
      </c>
      <c r="L761">
        <v>87.2</v>
      </c>
      <c r="M761">
        <v>1</v>
      </c>
      <c r="N761">
        <v>59</v>
      </c>
      <c r="O761">
        <v>2008</v>
      </c>
      <c r="P761" t="s">
        <v>47</v>
      </c>
      <c r="Q761" t="s">
        <v>48</v>
      </c>
      <c r="R761" t="s">
        <v>58</v>
      </c>
      <c r="S761" t="s">
        <v>34</v>
      </c>
      <c r="T761" t="s">
        <v>50</v>
      </c>
      <c r="U761">
        <f t="shared" si="55"/>
        <v>45756</v>
      </c>
      <c r="V761" t="str">
        <f t="shared" si="56"/>
        <v>Needs Improvement</v>
      </c>
      <c r="W761" t="str">
        <f t="shared" si="57"/>
        <v>Normal</v>
      </c>
      <c r="X761" t="str">
        <f t="shared" si="58"/>
        <v>Senior</v>
      </c>
      <c r="Y761" t="str">
        <f t="shared" si="59"/>
        <v>25-34</v>
      </c>
    </row>
    <row r="762" spans="1:25" x14ac:dyDescent="0.3">
      <c r="A762">
        <v>1761</v>
      </c>
      <c r="B762" t="s">
        <v>71</v>
      </c>
      <c r="C762" t="s">
        <v>21</v>
      </c>
      <c r="D762">
        <v>34</v>
      </c>
      <c r="E762" t="s">
        <v>91</v>
      </c>
      <c r="F762" t="s">
        <v>92</v>
      </c>
      <c r="G762" t="s">
        <v>24</v>
      </c>
      <c r="H762" t="s">
        <v>751</v>
      </c>
      <c r="I762">
        <v>8</v>
      </c>
      <c r="J762">
        <v>76855</v>
      </c>
      <c r="K762">
        <v>4.9000000000000004</v>
      </c>
      <c r="L762">
        <v>90.3</v>
      </c>
      <c r="M762">
        <v>21</v>
      </c>
      <c r="N762">
        <v>21</v>
      </c>
      <c r="O762">
        <v>3161</v>
      </c>
      <c r="P762" t="s">
        <v>53</v>
      </c>
      <c r="Q762" t="s">
        <v>48</v>
      </c>
      <c r="R762" t="s">
        <v>70</v>
      </c>
      <c r="S762" t="s">
        <v>29</v>
      </c>
      <c r="T762" t="s">
        <v>50</v>
      </c>
      <c r="U762">
        <f t="shared" si="55"/>
        <v>80016</v>
      </c>
      <c r="V762" t="str">
        <f t="shared" si="56"/>
        <v>Needs Improvement</v>
      </c>
      <c r="W762" t="str">
        <f t="shared" si="57"/>
        <v>High</v>
      </c>
      <c r="X762" t="str">
        <f t="shared" si="58"/>
        <v>Senior</v>
      </c>
      <c r="Y762" t="str">
        <f t="shared" si="59"/>
        <v>25-34</v>
      </c>
    </row>
    <row r="763" spans="1:25" x14ac:dyDescent="0.3">
      <c r="A763">
        <v>1762</v>
      </c>
      <c r="B763" t="s">
        <v>88</v>
      </c>
      <c r="C763" t="s">
        <v>21</v>
      </c>
      <c r="D763">
        <v>35</v>
      </c>
      <c r="E763" t="s">
        <v>22</v>
      </c>
      <c r="F763" t="s">
        <v>66</v>
      </c>
      <c r="G763" t="s">
        <v>45</v>
      </c>
      <c r="H763" t="s">
        <v>264</v>
      </c>
      <c r="I763">
        <v>1</v>
      </c>
      <c r="J763">
        <v>67403</v>
      </c>
      <c r="K763">
        <v>3.5</v>
      </c>
      <c r="L763">
        <v>98.5</v>
      </c>
      <c r="M763">
        <v>3</v>
      </c>
      <c r="N763">
        <v>18</v>
      </c>
      <c r="O763">
        <v>14223</v>
      </c>
      <c r="P763" t="s">
        <v>53</v>
      </c>
      <c r="Q763" t="s">
        <v>48</v>
      </c>
      <c r="R763" t="s">
        <v>28</v>
      </c>
      <c r="S763" t="s">
        <v>49</v>
      </c>
      <c r="T763" t="s">
        <v>30</v>
      </c>
      <c r="U763">
        <f t="shared" si="55"/>
        <v>81626</v>
      </c>
      <c r="V763" t="str">
        <f t="shared" si="56"/>
        <v>Excellent</v>
      </c>
      <c r="W763" t="str">
        <f t="shared" si="57"/>
        <v>Normal</v>
      </c>
      <c r="X763" t="str">
        <f t="shared" si="58"/>
        <v>Junior</v>
      </c>
      <c r="Y763" t="str">
        <f t="shared" si="59"/>
        <v>35-44</v>
      </c>
    </row>
    <row r="764" spans="1:25" x14ac:dyDescent="0.3">
      <c r="A764">
        <v>1763</v>
      </c>
      <c r="B764" t="s">
        <v>121</v>
      </c>
      <c r="C764" t="s">
        <v>21</v>
      </c>
      <c r="D764">
        <v>43</v>
      </c>
      <c r="E764" t="s">
        <v>55</v>
      </c>
      <c r="F764" t="s">
        <v>56</v>
      </c>
      <c r="G764" t="s">
        <v>51</v>
      </c>
      <c r="H764" t="s">
        <v>752</v>
      </c>
      <c r="I764">
        <v>2</v>
      </c>
      <c r="J764">
        <v>57742</v>
      </c>
      <c r="K764">
        <v>2.9</v>
      </c>
      <c r="L764">
        <v>88.1</v>
      </c>
      <c r="M764">
        <v>5</v>
      </c>
      <c r="N764">
        <v>35</v>
      </c>
      <c r="O764">
        <v>2747</v>
      </c>
      <c r="P764" t="s">
        <v>33</v>
      </c>
      <c r="Q764" t="s">
        <v>48</v>
      </c>
      <c r="R764" t="s">
        <v>42</v>
      </c>
      <c r="S764" t="s">
        <v>49</v>
      </c>
      <c r="T764" t="s">
        <v>30</v>
      </c>
      <c r="U764">
        <f t="shared" si="55"/>
        <v>60489</v>
      </c>
      <c r="V764" t="str">
        <f t="shared" si="56"/>
        <v>Needs Improvement</v>
      </c>
      <c r="W764" t="str">
        <f t="shared" si="57"/>
        <v>Normal</v>
      </c>
      <c r="X764" t="str">
        <f t="shared" si="58"/>
        <v>Junior</v>
      </c>
      <c r="Y764" t="str">
        <f t="shared" si="59"/>
        <v>35-44</v>
      </c>
    </row>
    <row r="765" spans="1:25" x14ac:dyDescent="0.3">
      <c r="A765">
        <v>1764</v>
      </c>
      <c r="B765" t="s">
        <v>111</v>
      </c>
      <c r="C765" t="s">
        <v>37</v>
      </c>
      <c r="D765">
        <v>44</v>
      </c>
      <c r="E765" t="s">
        <v>62</v>
      </c>
      <c r="F765" t="s">
        <v>97</v>
      </c>
      <c r="G765" t="s">
        <v>45</v>
      </c>
      <c r="H765" t="s">
        <v>753</v>
      </c>
      <c r="I765">
        <v>3</v>
      </c>
      <c r="J765">
        <v>70561</v>
      </c>
      <c r="K765">
        <v>3.7</v>
      </c>
      <c r="L765">
        <v>82.7</v>
      </c>
      <c r="M765">
        <v>4</v>
      </c>
      <c r="N765">
        <v>24</v>
      </c>
      <c r="O765">
        <v>12835</v>
      </c>
      <c r="P765" t="s">
        <v>53</v>
      </c>
      <c r="Q765" t="s">
        <v>48</v>
      </c>
      <c r="R765" t="s">
        <v>28</v>
      </c>
      <c r="S765" t="s">
        <v>29</v>
      </c>
      <c r="T765" t="s">
        <v>35</v>
      </c>
      <c r="U765">
        <f t="shared" si="55"/>
        <v>83396</v>
      </c>
      <c r="V765" t="str">
        <f t="shared" si="56"/>
        <v>Needs Improvement</v>
      </c>
      <c r="W765" t="str">
        <f t="shared" si="57"/>
        <v>Normal</v>
      </c>
      <c r="X765" t="str">
        <f t="shared" si="58"/>
        <v>Mid</v>
      </c>
      <c r="Y765" t="str">
        <f t="shared" si="59"/>
        <v>35-44</v>
      </c>
    </row>
    <row r="766" spans="1:25" x14ac:dyDescent="0.3">
      <c r="A766">
        <v>1765</v>
      </c>
      <c r="B766" t="s">
        <v>148</v>
      </c>
      <c r="C766" t="s">
        <v>37</v>
      </c>
      <c r="D766">
        <v>35</v>
      </c>
      <c r="E766" t="s">
        <v>91</v>
      </c>
      <c r="F766" t="s">
        <v>92</v>
      </c>
      <c r="G766" t="s">
        <v>45</v>
      </c>
      <c r="H766" t="s">
        <v>225</v>
      </c>
      <c r="I766">
        <v>3</v>
      </c>
      <c r="J766">
        <v>83669</v>
      </c>
      <c r="K766">
        <v>3.7</v>
      </c>
      <c r="L766">
        <v>84.1</v>
      </c>
      <c r="M766">
        <v>14</v>
      </c>
      <c r="N766">
        <v>33</v>
      </c>
      <c r="O766">
        <v>4931</v>
      </c>
      <c r="P766" t="s">
        <v>26</v>
      </c>
      <c r="Q766" t="s">
        <v>48</v>
      </c>
      <c r="R766" t="s">
        <v>28</v>
      </c>
      <c r="S766" t="s">
        <v>29</v>
      </c>
      <c r="T766" t="s">
        <v>35</v>
      </c>
      <c r="U766">
        <f t="shared" si="55"/>
        <v>88600</v>
      </c>
      <c r="V766" t="str">
        <f t="shared" si="56"/>
        <v>Needs Improvement</v>
      </c>
      <c r="W766" t="str">
        <f t="shared" si="57"/>
        <v>Normal</v>
      </c>
      <c r="X766" t="str">
        <f t="shared" si="58"/>
        <v>Mid</v>
      </c>
      <c r="Y766" t="str">
        <f t="shared" si="59"/>
        <v>35-44</v>
      </c>
    </row>
    <row r="767" spans="1:25" x14ac:dyDescent="0.3">
      <c r="A767">
        <v>1766</v>
      </c>
      <c r="B767" t="s">
        <v>148</v>
      </c>
      <c r="C767" t="s">
        <v>21</v>
      </c>
      <c r="D767">
        <v>28</v>
      </c>
      <c r="E767" t="s">
        <v>22</v>
      </c>
      <c r="F767" t="s">
        <v>66</v>
      </c>
      <c r="G767" t="s">
        <v>45</v>
      </c>
      <c r="H767" t="s">
        <v>754</v>
      </c>
      <c r="I767">
        <v>5</v>
      </c>
      <c r="J767">
        <v>35343</v>
      </c>
      <c r="K767">
        <v>2.6</v>
      </c>
      <c r="L767">
        <v>83.1</v>
      </c>
      <c r="M767">
        <v>5</v>
      </c>
      <c r="N767">
        <v>21</v>
      </c>
      <c r="O767">
        <v>12560</v>
      </c>
      <c r="P767" t="s">
        <v>53</v>
      </c>
      <c r="Q767" t="s">
        <v>48</v>
      </c>
      <c r="R767" t="s">
        <v>42</v>
      </c>
      <c r="S767" t="s">
        <v>34</v>
      </c>
      <c r="T767" t="s">
        <v>35</v>
      </c>
      <c r="U767">
        <f t="shared" si="55"/>
        <v>47903</v>
      </c>
      <c r="V767" t="str">
        <f t="shared" si="56"/>
        <v>Needs Improvement</v>
      </c>
      <c r="W767" t="str">
        <f t="shared" si="57"/>
        <v>Normal</v>
      </c>
      <c r="X767" t="str">
        <f t="shared" si="58"/>
        <v>Mid</v>
      </c>
      <c r="Y767" t="str">
        <f t="shared" si="59"/>
        <v>25-34</v>
      </c>
    </row>
    <row r="768" spans="1:25" x14ac:dyDescent="0.3">
      <c r="A768">
        <v>1767</v>
      </c>
      <c r="B768" t="s">
        <v>73</v>
      </c>
      <c r="C768" t="s">
        <v>37</v>
      </c>
      <c r="D768">
        <v>37</v>
      </c>
      <c r="E768" t="s">
        <v>62</v>
      </c>
      <c r="F768" t="s">
        <v>63</v>
      </c>
      <c r="G768" t="s">
        <v>45</v>
      </c>
      <c r="H768" t="s">
        <v>755</v>
      </c>
      <c r="I768">
        <v>9</v>
      </c>
      <c r="J768">
        <v>43369</v>
      </c>
      <c r="K768">
        <v>3.4</v>
      </c>
      <c r="L768">
        <v>82.6</v>
      </c>
      <c r="M768">
        <v>2</v>
      </c>
      <c r="N768">
        <v>27</v>
      </c>
      <c r="O768">
        <v>12931</v>
      </c>
      <c r="P768" t="s">
        <v>53</v>
      </c>
      <c r="Q768" t="s">
        <v>48</v>
      </c>
      <c r="R768" t="s">
        <v>28</v>
      </c>
      <c r="S768" t="s">
        <v>34</v>
      </c>
      <c r="T768" t="s">
        <v>50</v>
      </c>
      <c r="U768">
        <f t="shared" si="55"/>
        <v>56300</v>
      </c>
      <c r="V768" t="str">
        <f t="shared" si="56"/>
        <v>Needs Improvement</v>
      </c>
      <c r="W768" t="str">
        <f t="shared" si="57"/>
        <v>Normal</v>
      </c>
      <c r="X768" t="str">
        <f t="shared" si="58"/>
        <v>Senior</v>
      </c>
      <c r="Y768" t="str">
        <f t="shared" si="59"/>
        <v>35-44</v>
      </c>
    </row>
    <row r="769" spans="1:25" x14ac:dyDescent="0.3">
      <c r="A769">
        <v>1768</v>
      </c>
      <c r="B769" t="s">
        <v>31</v>
      </c>
      <c r="C769" t="s">
        <v>21</v>
      </c>
      <c r="D769">
        <v>27</v>
      </c>
      <c r="E769" t="s">
        <v>38</v>
      </c>
      <c r="F769" t="s">
        <v>39</v>
      </c>
      <c r="G769" t="s">
        <v>64</v>
      </c>
      <c r="H769" t="s">
        <v>756</v>
      </c>
      <c r="I769">
        <v>4</v>
      </c>
      <c r="J769">
        <v>57372</v>
      </c>
      <c r="K769">
        <v>2.8</v>
      </c>
      <c r="L769">
        <v>99.9</v>
      </c>
      <c r="M769">
        <v>3</v>
      </c>
      <c r="N769">
        <v>56</v>
      </c>
      <c r="O769">
        <v>14730</v>
      </c>
      <c r="P769" t="s">
        <v>33</v>
      </c>
      <c r="Q769" t="s">
        <v>48</v>
      </c>
      <c r="R769" t="s">
        <v>42</v>
      </c>
      <c r="S769" t="s">
        <v>49</v>
      </c>
      <c r="T769" t="s">
        <v>35</v>
      </c>
      <c r="U769">
        <f t="shared" si="55"/>
        <v>72102</v>
      </c>
      <c r="V769" t="str">
        <f t="shared" si="56"/>
        <v>Excellent</v>
      </c>
      <c r="W769" t="str">
        <f t="shared" si="57"/>
        <v>Normal</v>
      </c>
      <c r="X769" t="str">
        <f t="shared" si="58"/>
        <v>Mid</v>
      </c>
      <c r="Y769" t="str">
        <f t="shared" si="59"/>
        <v>25-34</v>
      </c>
    </row>
    <row r="770" spans="1:25" x14ac:dyDescent="0.3">
      <c r="A770">
        <v>1769</v>
      </c>
      <c r="B770" t="s">
        <v>99</v>
      </c>
      <c r="C770" t="s">
        <v>21</v>
      </c>
      <c r="D770">
        <v>45</v>
      </c>
      <c r="E770" t="s">
        <v>62</v>
      </c>
      <c r="F770" t="s">
        <v>63</v>
      </c>
      <c r="G770" t="s">
        <v>51</v>
      </c>
      <c r="H770" t="s">
        <v>757</v>
      </c>
      <c r="I770">
        <v>6</v>
      </c>
      <c r="J770">
        <v>45954</v>
      </c>
      <c r="K770">
        <v>4.4000000000000004</v>
      </c>
      <c r="L770">
        <v>97</v>
      </c>
      <c r="M770">
        <v>16</v>
      </c>
      <c r="N770">
        <v>56</v>
      </c>
      <c r="O770">
        <v>10058</v>
      </c>
      <c r="P770" t="s">
        <v>41</v>
      </c>
      <c r="Q770" t="s">
        <v>48</v>
      </c>
      <c r="R770" t="s">
        <v>58</v>
      </c>
      <c r="S770" t="s">
        <v>34</v>
      </c>
      <c r="T770" t="s">
        <v>50</v>
      </c>
      <c r="U770">
        <f t="shared" si="55"/>
        <v>56012</v>
      </c>
      <c r="V770" t="str">
        <f t="shared" si="56"/>
        <v>Excellent</v>
      </c>
      <c r="W770" t="str">
        <f t="shared" si="57"/>
        <v>Normal</v>
      </c>
      <c r="X770" t="str">
        <f t="shared" si="58"/>
        <v>Mid</v>
      </c>
      <c r="Y770" t="str">
        <f t="shared" si="59"/>
        <v>45+</v>
      </c>
    </row>
    <row r="771" spans="1:25" x14ac:dyDescent="0.3">
      <c r="A771">
        <v>1770</v>
      </c>
      <c r="B771" t="s">
        <v>54</v>
      </c>
      <c r="C771" t="s">
        <v>21</v>
      </c>
      <c r="D771">
        <v>27</v>
      </c>
      <c r="E771" t="s">
        <v>38</v>
      </c>
      <c r="F771" t="s">
        <v>39</v>
      </c>
      <c r="G771" t="s">
        <v>64</v>
      </c>
      <c r="H771" t="s">
        <v>758</v>
      </c>
      <c r="I771">
        <v>2</v>
      </c>
      <c r="J771">
        <v>33332</v>
      </c>
      <c r="K771">
        <v>3.3</v>
      </c>
      <c r="L771">
        <v>93.2</v>
      </c>
      <c r="M771">
        <v>3</v>
      </c>
      <c r="N771">
        <v>24</v>
      </c>
      <c r="O771">
        <v>6468</v>
      </c>
      <c r="P771" t="s">
        <v>41</v>
      </c>
      <c r="Q771" t="s">
        <v>48</v>
      </c>
      <c r="R771" t="s">
        <v>28</v>
      </c>
      <c r="S771" t="s">
        <v>34</v>
      </c>
      <c r="T771" t="s">
        <v>30</v>
      </c>
      <c r="U771">
        <f t="shared" ref="U771:U834" si="60">J771+O771</f>
        <v>39800</v>
      </c>
      <c r="V771" t="str">
        <f t="shared" ref="V771:V834" si="61">IF(L771&gt;=95,"Excellent","Needs Improvement")</f>
        <v>Needs Improvement</v>
      </c>
      <c r="W771" t="str">
        <f t="shared" ref="W771:W834" si="62">IF(M771&gt;20,"High","Normal")</f>
        <v>Normal</v>
      </c>
      <c r="X771" t="str">
        <f t="shared" ref="X771:X834" si="63">IF(I771&lt;3,"Junior",IF(I771&lt;7,"Mid","Senior"))</f>
        <v>Junior</v>
      </c>
      <c r="Y771" t="str">
        <f t="shared" ref="Y771:Y834" si="64">IF(D771&lt;25,"20-24",IF(D771&lt;35,"25-34",IF(D771&lt;45,"35-44","45+")))</f>
        <v>25-34</v>
      </c>
    </row>
    <row r="772" spans="1:25" x14ac:dyDescent="0.3">
      <c r="A772">
        <v>1771</v>
      </c>
      <c r="B772" t="s">
        <v>68</v>
      </c>
      <c r="C772" t="s">
        <v>21</v>
      </c>
      <c r="D772">
        <v>39</v>
      </c>
      <c r="E772" t="s">
        <v>22</v>
      </c>
      <c r="F772" t="s">
        <v>66</v>
      </c>
      <c r="G772" t="s">
        <v>45</v>
      </c>
      <c r="H772" t="s">
        <v>759</v>
      </c>
      <c r="I772">
        <v>3</v>
      </c>
      <c r="J772">
        <v>43504</v>
      </c>
      <c r="K772">
        <v>2.5</v>
      </c>
      <c r="L772">
        <v>86</v>
      </c>
      <c r="M772">
        <v>18</v>
      </c>
      <c r="N772">
        <v>20</v>
      </c>
      <c r="O772">
        <v>5323</v>
      </c>
      <c r="P772" t="s">
        <v>47</v>
      </c>
      <c r="Q772" t="s">
        <v>48</v>
      </c>
      <c r="R772" t="s">
        <v>42</v>
      </c>
      <c r="S772" t="s">
        <v>34</v>
      </c>
      <c r="T772" t="s">
        <v>35</v>
      </c>
      <c r="U772">
        <f t="shared" si="60"/>
        <v>48827</v>
      </c>
      <c r="V772" t="str">
        <f t="shared" si="61"/>
        <v>Needs Improvement</v>
      </c>
      <c r="W772" t="str">
        <f t="shared" si="62"/>
        <v>Normal</v>
      </c>
      <c r="X772" t="str">
        <f t="shared" si="63"/>
        <v>Mid</v>
      </c>
      <c r="Y772" t="str">
        <f t="shared" si="64"/>
        <v>35-44</v>
      </c>
    </row>
    <row r="773" spans="1:25" x14ac:dyDescent="0.3">
      <c r="A773">
        <v>1772</v>
      </c>
      <c r="B773" t="s">
        <v>43</v>
      </c>
      <c r="C773" t="s">
        <v>37</v>
      </c>
      <c r="D773">
        <v>26</v>
      </c>
      <c r="E773" t="s">
        <v>62</v>
      </c>
      <c r="F773" t="s">
        <v>97</v>
      </c>
      <c r="G773" t="s">
        <v>24</v>
      </c>
      <c r="H773" t="s">
        <v>760</v>
      </c>
      <c r="I773">
        <v>7</v>
      </c>
      <c r="J773">
        <v>64806</v>
      </c>
      <c r="K773">
        <v>2.6</v>
      </c>
      <c r="L773">
        <v>86.5</v>
      </c>
      <c r="M773">
        <v>12</v>
      </c>
      <c r="N773">
        <v>15</v>
      </c>
      <c r="O773">
        <v>14661</v>
      </c>
      <c r="P773" t="s">
        <v>53</v>
      </c>
      <c r="Q773" t="s">
        <v>48</v>
      </c>
      <c r="R773" t="s">
        <v>42</v>
      </c>
      <c r="S773" t="s">
        <v>49</v>
      </c>
      <c r="T773" t="s">
        <v>50</v>
      </c>
      <c r="U773">
        <f t="shared" si="60"/>
        <v>79467</v>
      </c>
      <c r="V773" t="str">
        <f t="shared" si="61"/>
        <v>Needs Improvement</v>
      </c>
      <c r="W773" t="str">
        <f t="shared" si="62"/>
        <v>Normal</v>
      </c>
      <c r="X773" t="str">
        <f t="shared" si="63"/>
        <v>Senior</v>
      </c>
      <c r="Y773" t="str">
        <f t="shared" si="64"/>
        <v>25-34</v>
      </c>
    </row>
    <row r="774" spans="1:25" x14ac:dyDescent="0.3">
      <c r="A774">
        <v>1773</v>
      </c>
      <c r="B774" t="s">
        <v>99</v>
      </c>
      <c r="C774" t="s">
        <v>37</v>
      </c>
      <c r="D774">
        <v>38</v>
      </c>
      <c r="E774" t="s">
        <v>22</v>
      </c>
      <c r="F774" t="s">
        <v>66</v>
      </c>
      <c r="G774" t="s">
        <v>59</v>
      </c>
      <c r="H774" t="s">
        <v>545</v>
      </c>
      <c r="I774">
        <v>4</v>
      </c>
      <c r="J774">
        <v>93134</v>
      </c>
      <c r="K774">
        <v>4.4000000000000004</v>
      </c>
      <c r="L774">
        <v>87.4</v>
      </c>
      <c r="M774">
        <v>23</v>
      </c>
      <c r="N774">
        <v>39</v>
      </c>
      <c r="O774">
        <v>2799</v>
      </c>
      <c r="P774" t="s">
        <v>53</v>
      </c>
      <c r="Q774" t="s">
        <v>48</v>
      </c>
      <c r="R774" t="s">
        <v>58</v>
      </c>
      <c r="S774" t="s">
        <v>29</v>
      </c>
      <c r="T774" t="s">
        <v>35</v>
      </c>
      <c r="U774">
        <f t="shared" si="60"/>
        <v>95933</v>
      </c>
      <c r="V774" t="str">
        <f t="shared" si="61"/>
        <v>Needs Improvement</v>
      </c>
      <c r="W774" t="str">
        <f t="shared" si="62"/>
        <v>High</v>
      </c>
      <c r="X774" t="str">
        <f t="shared" si="63"/>
        <v>Mid</v>
      </c>
      <c r="Y774" t="str">
        <f t="shared" si="64"/>
        <v>35-44</v>
      </c>
    </row>
    <row r="775" spans="1:25" x14ac:dyDescent="0.3">
      <c r="A775">
        <v>1774</v>
      </c>
      <c r="B775" t="s">
        <v>99</v>
      </c>
      <c r="C775" t="s">
        <v>37</v>
      </c>
      <c r="D775">
        <v>42</v>
      </c>
      <c r="E775" t="s">
        <v>91</v>
      </c>
      <c r="F775" t="s">
        <v>101</v>
      </c>
      <c r="G775" t="s">
        <v>24</v>
      </c>
      <c r="H775" t="s">
        <v>761</v>
      </c>
      <c r="I775">
        <v>4</v>
      </c>
      <c r="J775">
        <v>33680</v>
      </c>
      <c r="K775">
        <v>4.8</v>
      </c>
      <c r="L775">
        <v>91.5</v>
      </c>
      <c r="M775">
        <v>19</v>
      </c>
      <c r="N775">
        <v>5</v>
      </c>
      <c r="O775">
        <v>13738</v>
      </c>
      <c r="P775" t="s">
        <v>41</v>
      </c>
      <c r="Q775" t="s">
        <v>27</v>
      </c>
      <c r="R775" t="s">
        <v>70</v>
      </c>
      <c r="S775" t="s">
        <v>34</v>
      </c>
      <c r="T775" t="s">
        <v>35</v>
      </c>
      <c r="U775">
        <f t="shared" si="60"/>
        <v>47418</v>
      </c>
      <c r="V775" t="str">
        <f t="shared" si="61"/>
        <v>Needs Improvement</v>
      </c>
      <c r="W775" t="str">
        <f t="shared" si="62"/>
        <v>Normal</v>
      </c>
      <c r="X775" t="str">
        <f t="shared" si="63"/>
        <v>Mid</v>
      </c>
      <c r="Y775" t="str">
        <f t="shared" si="64"/>
        <v>35-44</v>
      </c>
    </row>
    <row r="776" spans="1:25" x14ac:dyDescent="0.3">
      <c r="A776">
        <v>1775</v>
      </c>
      <c r="B776" t="s">
        <v>148</v>
      </c>
      <c r="C776" t="s">
        <v>21</v>
      </c>
      <c r="D776">
        <v>23</v>
      </c>
      <c r="E776" t="s">
        <v>22</v>
      </c>
      <c r="F776" t="s">
        <v>23</v>
      </c>
      <c r="G776" t="s">
        <v>24</v>
      </c>
      <c r="H776" t="s">
        <v>762</v>
      </c>
      <c r="I776">
        <v>2</v>
      </c>
      <c r="J776">
        <v>91817</v>
      </c>
      <c r="K776">
        <v>3.3</v>
      </c>
      <c r="L776">
        <v>85</v>
      </c>
      <c r="M776">
        <v>4</v>
      </c>
      <c r="N776">
        <v>29</v>
      </c>
      <c r="O776">
        <v>2036</v>
      </c>
      <c r="P776" t="s">
        <v>26</v>
      </c>
      <c r="Q776" t="s">
        <v>27</v>
      </c>
      <c r="R776" t="s">
        <v>28</v>
      </c>
      <c r="S776" t="s">
        <v>29</v>
      </c>
      <c r="T776" t="s">
        <v>30</v>
      </c>
      <c r="U776">
        <f t="shared" si="60"/>
        <v>93853</v>
      </c>
      <c r="V776" t="str">
        <f t="shared" si="61"/>
        <v>Needs Improvement</v>
      </c>
      <c r="W776" t="str">
        <f t="shared" si="62"/>
        <v>Normal</v>
      </c>
      <c r="X776" t="str">
        <f t="shared" si="63"/>
        <v>Junior</v>
      </c>
      <c r="Y776" t="str">
        <f t="shared" si="64"/>
        <v>20-24</v>
      </c>
    </row>
    <row r="777" spans="1:25" x14ac:dyDescent="0.3">
      <c r="A777">
        <v>1776</v>
      </c>
      <c r="B777" t="s">
        <v>36</v>
      </c>
      <c r="C777" t="s">
        <v>21</v>
      </c>
      <c r="D777">
        <v>24</v>
      </c>
      <c r="E777" t="s">
        <v>62</v>
      </c>
      <c r="F777" t="s">
        <v>63</v>
      </c>
      <c r="G777" t="s">
        <v>59</v>
      </c>
      <c r="H777" t="s">
        <v>120</v>
      </c>
      <c r="I777">
        <v>9</v>
      </c>
      <c r="J777">
        <v>39441</v>
      </c>
      <c r="K777">
        <v>4.7</v>
      </c>
      <c r="L777">
        <v>84.1</v>
      </c>
      <c r="M777">
        <v>16</v>
      </c>
      <c r="N777">
        <v>55</v>
      </c>
      <c r="O777">
        <v>11089</v>
      </c>
      <c r="P777" t="s">
        <v>26</v>
      </c>
      <c r="Q777" t="s">
        <v>27</v>
      </c>
      <c r="R777" t="s">
        <v>70</v>
      </c>
      <c r="S777" t="s">
        <v>34</v>
      </c>
      <c r="T777" t="s">
        <v>50</v>
      </c>
      <c r="U777">
        <f t="shared" si="60"/>
        <v>50530</v>
      </c>
      <c r="V777" t="str">
        <f t="shared" si="61"/>
        <v>Needs Improvement</v>
      </c>
      <c r="W777" t="str">
        <f t="shared" si="62"/>
        <v>Normal</v>
      </c>
      <c r="X777" t="str">
        <f t="shared" si="63"/>
        <v>Senior</v>
      </c>
      <c r="Y777" t="str">
        <f t="shared" si="64"/>
        <v>20-24</v>
      </c>
    </row>
    <row r="778" spans="1:25" x14ac:dyDescent="0.3">
      <c r="A778">
        <v>1777</v>
      </c>
      <c r="B778" t="s">
        <v>88</v>
      </c>
      <c r="C778" t="s">
        <v>37</v>
      </c>
      <c r="D778">
        <v>40</v>
      </c>
      <c r="E778" t="s">
        <v>91</v>
      </c>
      <c r="F778" t="s">
        <v>101</v>
      </c>
      <c r="G778" t="s">
        <v>64</v>
      </c>
      <c r="H778" t="s">
        <v>763</v>
      </c>
      <c r="I778">
        <v>7</v>
      </c>
      <c r="J778">
        <v>77106</v>
      </c>
      <c r="K778">
        <v>4.2</v>
      </c>
      <c r="L778">
        <v>95.8</v>
      </c>
      <c r="M778">
        <v>4</v>
      </c>
      <c r="N778">
        <v>48</v>
      </c>
      <c r="O778">
        <v>11180</v>
      </c>
      <c r="P778" t="s">
        <v>33</v>
      </c>
      <c r="Q778" t="s">
        <v>27</v>
      </c>
      <c r="R778" t="s">
        <v>58</v>
      </c>
      <c r="S778" t="s">
        <v>29</v>
      </c>
      <c r="T778" t="s">
        <v>50</v>
      </c>
      <c r="U778">
        <f t="shared" si="60"/>
        <v>88286</v>
      </c>
      <c r="V778" t="str">
        <f t="shared" si="61"/>
        <v>Excellent</v>
      </c>
      <c r="W778" t="str">
        <f t="shared" si="62"/>
        <v>Normal</v>
      </c>
      <c r="X778" t="str">
        <f t="shared" si="63"/>
        <v>Senior</v>
      </c>
      <c r="Y778" t="str">
        <f t="shared" si="64"/>
        <v>35-44</v>
      </c>
    </row>
    <row r="779" spans="1:25" x14ac:dyDescent="0.3">
      <c r="A779">
        <v>1778</v>
      </c>
      <c r="B779" t="s">
        <v>36</v>
      </c>
      <c r="C779" t="s">
        <v>37</v>
      </c>
      <c r="D779">
        <v>37</v>
      </c>
      <c r="E779" t="s">
        <v>91</v>
      </c>
      <c r="F779" t="s">
        <v>101</v>
      </c>
      <c r="G779" t="s">
        <v>64</v>
      </c>
      <c r="H779" t="s">
        <v>764</v>
      </c>
      <c r="I779">
        <v>5</v>
      </c>
      <c r="J779">
        <v>87044</v>
      </c>
      <c r="K779">
        <v>4.5</v>
      </c>
      <c r="L779">
        <v>92.4</v>
      </c>
      <c r="M779">
        <v>14</v>
      </c>
      <c r="N779">
        <v>53</v>
      </c>
      <c r="O779">
        <v>5910</v>
      </c>
      <c r="P779" t="s">
        <v>26</v>
      </c>
      <c r="Q779" t="s">
        <v>27</v>
      </c>
      <c r="R779" t="s">
        <v>70</v>
      </c>
      <c r="S779" t="s">
        <v>29</v>
      </c>
      <c r="T779" t="s">
        <v>35</v>
      </c>
      <c r="U779">
        <f t="shared" si="60"/>
        <v>92954</v>
      </c>
      <c r="V779" t="str">
        <f t="shared" si="61"/>
        <v>Needs Improvement</v>
      </c>
      <c r="W779" t="str">
        <f t="shared" si="62"/>
        <v>Normal</v>
      </c>
      <c r="X779" t="str">
        <f t="shared" si="63"/>
        <v>Mid</v>
      </c>
      <c r="Y779" t="str">
        <f t="shared" si="64"/>
        <v>35-44</v>
      </c>
    </row>
    <row r="780" spans="1:25" x14ac:dyDescent="0.3">
      <c r="A780">
        <v>1779</v>
      </c>
      <c r="B780" t="s">
        <v>68</v>
      </c>
      <c r="C780" t="s">
        <v>21</v>
      </c>
      <c r="D780">
        <v>25</v>
      </c>
      <c r="E780" t="s">
        <v>38</v>
      </c>
      <c r="F780" t="s">
        <v>44</v>
      </c>
      <c r="G780" t="s">
        <v>64</v>
      </c>
      <c r="H780" t="s">
        <v>765</v>
      </c>
      <c r="I780">
        <v>9</v>
      </c>
      <c r="J780">
        <v>49064</v>
      </c>
      <c r="K780">
        <v>4</v>
      </c>
      <c r="L780">
        <v>90.6</v>
      </c>
      <c r="M780">
        <v>12</v>
      </c>
      <c r="N780">
        <v>33</v>
      </c>
      <c r="O780">
        <v>7044</v>
      </c>
      <c r="P780" t="s">
        <v>33</v>
      </c>
      <c r="Q780" t="s">
        <v>27</v>
      </c>
      <c r="R780" t="s">
        <v>58</v>
      </c>
      <c r="S780" t="s">
        <v>34</v>
      </c>
      <c r="T780" t="s">
        <v>50</v>
      </c>
      <c r="U780">
        <f t="shared" si="60"/>
        <v>56108</v>
      </c>
      <c r="V780" t="str">
        <f t="shared" si="61"/>
        <v>Needs Improvement</v>
      </c>
      <c r="W780" t="str">
        <f t="shared" si="62"/>
        <v>Normal</v>
      </c>
      <c r="X780" t="str">
        <f t="shared" si="63"/>
        <v>Senior</v>
      </c>
      <c r="Y780" t="str">
        <f t="shared" si="64"/>
        <v>25-34</v>
      </c>
    </row>
    <row r="781" spans="1:25" x14ac:dyDescent="0.3">
      <c r="A781">
        <v>1780</v>
      </c>
      <c r="B781" t="s">
        <v>20</v>
      </c>
      <c r="C781" t="s">
        <v>37</v>
      </c>
      <c r="D781">
        <v>44</v>
      </c>
      <c r="E781" t="s">
        <v>62</v>
      </c>
      <c r="F781" t="s">
        <v>97</v>
      </c>
      <c r="G781" t="s">
        <v>24</v>
      </c>
      <c r="H781" t="s">
        <v>766</v>
      </c>
      <c r="I781">
        <v>8</v>
      </c>
      <c r="J781">
        <v>57365</v>
      </c>
      <c r="K781">
        <v>2.6</v>
      </c>
      <c r="L781">
        <v>95.9</v>
      </c>
      <c r="M781">
        <v>15</v>
      </c>
      <c r="N781">
        <v>42</v>
      </c>
      <c r="O781">
        <v>7195</v>
      </c>
      <c r="P781" t="s">
        <v>53</v>
      </c>
      <c r="Q781" t="s">
        <v>48</v>
      </c>
      <c r="R781" t="s">
        <v>42</v>
      </c>
      <c r="S781" t="s">
        <v>49</v>
      </c>
      <c r="T781" t="s">
        <v>50</v>
      </c>
      <c r="U781">
        <f t="shared" si="60"/>
        <v>64560</v>
      </c>
      <c r="V781" t="str">
        <f t="shared" si="61"/>
        <v>Excellent</v>
      </c>
      <c r="W781" t="str">
        <f t="shared" si="62"/>
        <v>Normal</v>
      </c>
      <c r="X781" t="str">
        <f t="shared" si="63"/>
        <v>Senior</v>
      </c>
      <c r="Y781" t="str">
        <f t="shared" si="64"/>
        <v>35-44</v>
      </c>
    </row>
    <row r="782" spans="1:25" x14ac:dyDescent="0.3">
      <c r="A782">
        <v>1781</v>
      </c>
      <c r="B782" t="s">
        <v>54</v>
      </c>
      <c r="C782" t="s">
        <v>37</v>
      </c>
      <c r="D782">
        <v>27</v>
      </c>
      <c r="E782" t="s">
        <v>55</v>
      </c>
      <c r="F782" t="s">
        <v>143</v>
      </c>
      <c r="G782" t="s">
        <v>51</v>
      </c>
      <c r="H782" t="s">
        <v>767</v>
      </c>
      <c r="I782">
        <v>5</v>
      </c>
      <c r="J782">
        <v>32218</v>
      </c>
      <c r="K782">
        <v>2.8</v>
      </c>
      <c r="L782">
        <v>91.4</v>
      </c>
      <c r="M782">
        <v>15</v>
      </c>
      <c r="N782">
        <v>28</v>
      </c>
      <c r="O782">
        <v>3538</v>
      </c>
      <c r="P782" t="s">
        <v>53</v>
      </c>
      <c r="Q782" t="s">
        <v>27</v>
      </c>
      <c r="R782" t="s">
        <v>42</v>
      </c>
      <c r="S782" t="s">
        <v>34</v>
      </c>
      <c r="T782" t="s">
        <v>35</v>
      </c>
      <c r="U782">
        <f t="shared" si="60"/>
        <v>35756</v>
      </c>
      <c r="V782" t="str">
        <f t="shared" si="61"/>
        <v>Needs Improvement</v>
      </c>
      <c r="W782" t="str">
        <f t="shared" si="62"/>
        <v>Normal</v>
      </c>
      <c r="X782" t="str">
        <f t="shared" si="63"/>
        <v>Mid</v>
      </c>
      <c r="Y782" t="str">
        <f t="shared" si="64"/>
        <v>25-34</v>
      </c>
    </row>
    <row r="783" spans="1:25" x14ac:dyDescent="0.3">
      <c r="A783">
        <v>1782</v>
      </c>
      <c r="B783" t="s">
        <v>43</v>
      </c>
      <c r="C783" t="s">
        <v>37</v>
      </c>
      <c r="D783">
        <v>34</v>
      </c>
      <c r="E783" t="s">
        <v>22</v>
      </c>
      <c r="F783" t="s">
        <v>66</v>
      </c>
      <c r="G783" t="s">
        <v>45</v>
      </c>
      <c r="H783" t="s">
        <v>487</v>
      </c>
      <c r="I783">
        <v>5</v>
      </c>
      <c r="J783">
        <v>90381</v>
      </c>
      <c r="K783">
        <v>2.6</v>
      </c>
      <c r="L783">
        <v>92.7</v>
      </c>
      <c r="M783">
        <v>18</v>
      </c>
      <c r="N783">
        <v>47</v>
      </c>
      <c r="O783">
        <v>4374</v>
      </c>
      <c r="P783" t="s">
        <v>53</v>
      </c>
      <c r="Q783" t="s">
        <v>48</v>
      </c>
      <c r="R783" t="s">
        <v>42</v>
      </c>
      <c r="S783" t="s">
        <v>29</v>
      </c>
      <c r="T783" t="s">
        <v>35</v>
      </c>
      <c r="U783">
        <f t="shared" si="60"/>
        <v>94755</v>
      </c>
      <c r="V783" t="str">
        <f t="shared" si="61"/>
        <v>Needs Improvement</v>
      </c>
      <c r="W783" t="str">
        <f t="shared" si="62"/>
        <v>Normal</v>
      </c>
      <c r="X783" t="str">
        <f t="shared" si="63"/>
        <v>Mid</v>
      </c>
      <c r="Y783" t="str">
        <f t="shared" si="64"/>
        <v>25-34</v>
      </c>
    </row>
    <row r="784" spans="1:25" x14ac:dyDescent="0.3">
      <c r="A784">
        <v>1783</v>
      </c>
      <c r="B784" t="s">
        <v>61</v>
      </c>
      <c r="C784" t="s">
        <v>21</v>
      </c>
      <c r="D784">
        <v>44</v>
      </c>
      <c r="E784" t="s">
        <v>91</v>
      </c>
      <c r="F784" t="s">
        <v>92</v>
      </c>
      <c r="G784" t="s">
        <v>51</v>
      </c>
      <c r="H784" t="s">
        <v>768</v>
      </c>
      <c r="I784">
        <v>2</v>
      </c>
      <c r="J784">
        <v>86648</v>
      </c>
      <c r="K784">
        <v>4.8</v>
      </c>
      <c r="L784">
        <v>82</v>
      </c>
      <c r="M784">
        <v>16</v>
      </c>
      <c r="N784">
        <v>31</v>
      </c>
      <c r="O784">
        <v>10845</v>
      </c>
      <c r="P784" t="s">
        <v>26</v>
      </c>
      <c r="Q784" t="s">
        <v>48</v>
      </c>
      <c r="R784" t="s">
        <v>70</v>
      </c>
      <c r="S784" t="s">
        <v>29</v>
      </c>
      <c r="T784" t="s">
        <v>30</v>
      </c>
      <c r="U784">
        <f t="shared" si="60"/>
        <v>97493</v>
      </c>
      <c r="V784" t="str">
        <f t="shared" si="61"/>
        <v>Needs Improvement</v>
      </c>
      <c r="W784" t="str">
        <f t="shared" si="62"/>
        <v>Normal</v>
      </c>
      <c r="X784" t="str">
        <f t="shared" si="63"/>
        <v>Junior</v>
      </c>
      <c r="Y784" t="str">
        <f t="shared" si="64"/>
        <v>35-44</v>
      </c>
    </row>
    <row r="785" spans="1:25" x14ac:dyDescent="0.3">
      <c r="A785">
        <v>1784</v>
      </c>
      <c r="B785" t="s">
        <v>20</v>
      </c>
      <c r="C785" t="s">
        <v>37</v>
      </c>
      <c r="D785">
        <v>40</v>
      </c>
      <c r="E785" t="s">
        <v>55</v>
      </c>
      <c r="F785" t="s">
        <v>143</v>
      </c>
      <c r="G785" t="s">
        <v>64</v>
      </c>
      <c r="H785" t="s">
        <v>769</v>
      </c>
      <c r="I785">
        <v>5</v>
      </c>
      <c r="J785">
        <v>78277</v>
      </c>
      <c r="K785">
        <v>2.7</v>
      </c>
      <c r="L785">
        <v>96.4</v>
      </c>
      <c r="M785">
        <v>20</v>
      </c>
      <c r="N785">
        <v>42</v>
      </c>
      <c r="O785">
        <v>2660</v>
      </c>
      <c r="P785" t="s">
        <v>33</v>
      </c>
      <c r="Q785" t="s">
        <v>48</v>
      </c>
      <c r="R785" t="s">
        <v>42</v>
      </c>
      <c r="S785" t="s">
        <v>29</v>
      </c>
      <c r="T785" t="s">
        <v>35</v>
      </c>
      <c r="U785">
        <f t="shared" si="60"/>
        <v>80937</v>
      </c>
      <c r="V785" t="str">
        <f t="shared" si="61"/>
        <v>Excellent</v>
      </c>
      <c r="W785" t="str">
        <f t="shared" si="62"/>
        <v>Normal</v>
      </c>
      <c r="X785" t="str">
        <f t="shared" si="63"/>
        <v>Mid</v>
      </c>
      <c r="Y785" t="str">
        <f t="shared" si="64"/>
        <v>35-44</v>
      </c>
    </row>
    <row r="786" spans="1:25" x14ac:dyDescent="0.3">
      <c r="A786">
        <v>1785</v>
      </c>
      <c r="B786" t="s">
        <v>54</v>
      </c>
      <c r="C786" t="s">
        <v>21</v>
      </c>
      <c r="D786">
        <v>33</v>
      </c>
      <c r="E786" t="s">
        <v>62</v>
      </c>
      <c r="F786" t="s">
        <v>97</v>
      </c>
      <c r="G786" t="s">
        <v>45</v>
      </c>
      <c r="H786" t="s">
        <v>770</v>
      </c>
      <c r="I786">
        <v>6</v>
      </c>
      <c r="J786">
        <v>56978</v>
      </c>
      <c r="K786">
        <v>4.3</v>
      </c>
      <c r="L786">
        <v>82.2</v>
      </c>
      <c r="M786">
        <v>3</v>
      </c>
      <c r="N786">
        <v>24</v>
      </c>
      <c r="O786">
        <v>7426</v>
      </c>
      <c r="P786" t="s">
        <v>47</v>
      </c>
      <c r="Q786" t="s">
        <v>48</v>
      </c>
      <c r="R786" t="s">
        <v>58</v>
      </c>
      <c r="S786" t="s">
        <v>49</v>
      </c>
      <c r="T786" t="s">
        <v>50</v>
      </c>
      <c r="U786">
        <f t="shared" si="60"/>
        <v>64404</v>
      </c>
      <c r="V786" t="str">
        <f t="shared" si="61"/>
        <v>Needs Improvement</v>
      </c>
      <c r="W786" t="str">
        <f t="shared" si="62"/>
        <v>Normal</v>
      </c>
      <c r="X786" t="str">
        <f t="shared" si="63"/>
        <v>Mid</v>
      </c>
      <c r="Y786" t="str">
        <f t="shared" si="64"/>
        <v>25-34</v>
      </c>
    </row>
    <row r="787" spans="1:25" x14ac:dyDescent="0.3">
      <c r="A787">
        <v>1786</v>
      </c>
      <c r="B787" t="s">
        <v>111</v>
      </c>
      <c r="C787" t="s">
        <v>21</v>
      </c>
      <c r="D787">
        <v>37</v>
      </c>
      <c r="E787" t="s">
        <v>38</v>
      </c>
      <c r="F787" t="s">
        <v>39</v>
      </c>
      <c r="G787" t="s">
        <v>64</v>
      </c>
      <c r="H787" t="s">
        <v>771</v>
      </c>
      <c r="I787">
        <v>6</v>
      </c>
      <c r="J787">
        <v>65224</v>
      </c>
      <c r="K787">
        <v>4.3</v>
      </c>
      <c r="L787">
        <v>89.1</v>
      </c>
      <c r="M787">
        <v>1</v>
      </c>
      <c r="N787">
        <v>40</v>
      </c>
      <c r="O787">
        <v>4297</v>
      </c>
      <c r="P787" t="s">
        <v>33</v>
      </c>
      <c r="Q787" t="s">
        <v>27</v>
      </c>
      <c r="R787" t="s">
        <v>58</v>
      </c>
      <c r="S787" t="s">
        <v>49</v>
      </c>
      <c r="T787" t="s">
        <v>50</v>
      </c>
      <c r="U787">
        <f t="shared" si="60"/>
        <v>69521</v>
      </c>
      <c r="V787" t="str">
        <f t="shared" si="61"/>
        <v>Needs Improvement</v>
      </c>
      <c r="W787" t="str">
        <f t="shared" si="62"/>
        <v>Normal</v>
      </c>
      <c r="X787" t="str">
        <f t="shared" si="63"/>
        <v>Mid</v>
      </c>
      <c r="Y787" t="str">
        <f t="shared" si="64"/>
        <v>35-44</v>
      </c>
    </row>
    <row r="788" spans="1:25" x14ac:dyDescent="0.3">
      <c r="A788">
        <v>1787</v>
      </c>
      <c r="B788" t="s">
        <v>43</v>
      </c>
      <c r="C788" t="s">
        <v>21</v>
      </c>
      <c r="D788">
        <v>26</v>
      </c>
      <c r="E788" t="s">
        <v>22</v>
      </c>
      <c r="F788" t="s">
        <v>66</v>
      </c>
      <c r="G788" t="s">
        <v>51</v>
      </c>
      <c r="H788" t="s">
        <v>772</v>
      </c>
      <c r="I788">
        <v>1</v>
      </c>
      <c r="J788">
        <v>41441</v>
      </c>
      <c r="K788">
        <v>4.0999999999999996</v>
      </c>
      <c r="L788">
        <v>95.5</v>
      </c>
      <c r="M788">
        <v>9</v>
      </c>
      <c r="N788">
        <v>41</v>
      </c>
      <c r="O788">
        <v>12093</v>
      </c>
      <c r="P788" t="s">
        <v>53</v>
      </c>
      <c r="Q788" t="s">
        <v>48</v>
      </c>
      <c r="R788" t="s">
        <v>58</v>
      </c>
      <c r="S788" t="s">
        <v>34</v>
      </c>
      <c r="T788" t="s">
        <v>30</v>
      </c>
      <c r="U788">
        <f t="shared" si="60"/>
        <v>53534</v>
      </c>
      <c r="V788" t="str">
        <f t="shared" si="61"/>
        <v>Excellent</v>
      </c>
      <c r="W788" t="str">
        <f t="shared" si="62"/>
        <v>Normal</v>
      </c>
      <c r="X788" t="str">
        <f t="shared" si="63"/>
        <v>Junior</v>
      </c>
      <c r="Y788" t="str">
        <f t="shared" si="64"/>
        <v>25-34</v>
      </c>
    </row>
    <row r="789" spans="1:25" x14ac:dyDescent="0.3">
      <c r="A789">
        <v>1788</v>
      </c>
      <c r="B789" t="s">
        <v>88</v>
      </c>
      <c r="C789" t="s">
        <v>21</v>
      </c>
      <c r="D789">
        <v>44</v>
      </c>
      <c r="E789" t="s">
        <v>22</v>
      </c>
      <c r="F789" t="s">
        <v>23</v>
      </c>
      <c r="G789" t="s">
        <v>24</v>
      </c>
      <c r="H789" t="s">
        <v>773</v>
      </c>
      <c r="I789">
        <v>8</v>
      </c>
      <c r="J789">
        <v>69085</v>
      </c>
      <c r="K789">
        <v>2.5</v>
      </c>
      <c r="L789">
        <v>83.6</v>
      </c>
      <c r="M789">
        <v>18</v>
      </c>
      <c r="N789">
        <v>31</v>
      </c>
      <c r="O789">
        <v>3606</v>
      </c>
      <c r="P789" t="s">
        <v>33</v>
      </c>
      <c r="Q789" t="s">
        <v>48</v>
      </c>
      <c r="R789" t="s">
        <v>42</v>
      </c>
      <c r="S789" t="s">
        <v>49</v>
      </c>
      <c r="T789" t="s">
        <v>50</v>
      </c>
      <c r="U789">
        <f t="shared" si="60"/>
        <v>72691</v>
      </c>
      <c r="V789" t="str">
        <f t="shared" si="61"/>
        <v>Needs Improvement</v>
      </c>
      <c r="W789" t="str">
        <f t="shared" si="62"/>
        <v>Normal</v>
      </c>
      <c r="X789" t="str">
        <f t="shared" si="63"/>
        <v>Senior</v>
      </c>
      <c r="Y789" t="str">
        <f t="shared" si="64"/>
        <v>35-44</v>
      </c>
    </row>
    <row r="790" spans="1:25" x14ac:dyDescent="0.3">
      <c r="A790">
        <v>1789</v>
      </c>
      <c r="B790" t="s">
        <v>124</v>
      </c>
      <c r="C790" t="s">
        <v>21</v>
      </c>
      <c r="D790">
        <v>42</v>
      </c>
      <c r="E790" t="s">
        <v>62</v>
      </c>
      <c r="F790" t="s">
        <v>63</v>
      </c>
      <c r="G790" t="s">
        <v>64</v>
      </c>
      <c r="H790" t="s">
        <v>774</v>
      </c>
      <c r="I790">
        <v>1</v>
      </c>
      <c r="J790">
        <v>29199</v>
      </c>
      <c r="K790">
        <v>4.9000000000000004</v>
      </c>
      <c r="L790">
        <v>92.6</v>
      </c>
      <c r="M790">
        <v>17</v>
      </c>
      <c r="N790">
        <v>45</v>
      </c>
      <c r="O790">
        <v>3754</v>
      </c>
      <c r="P790" t="s">
        <v>33</v>
      </c>
      <c r="Q790" t="s">
        <v>27</v>
      </c>
      <c r="R790" t="s">
        <v>70</v>
      </c>
      <c r="S790" t="s">
        <v>34</v>
      </c>
      <c r="T790" t="s">
        <v>30</v>
      </c>
      <c r="U790">
        <f t="shared" si="60"/>
        <v>32953</v>
      </c>
      <c r="V790" t="str">
        <f t="shared" si="61"/>
        <v>Needs Improvement</v>
      </c>
      <c r="W790" t="str">
        <f t="shared" si="62"/>
        <v>Normal</v>
      </c>
      <c r="X790" t="str">
        <f t="shared" si="63"/>
        <v>Junior</v>
      </c>
      <c r="Y790" t="str">
        <f t="shared" si="64"/>
        <v>35-44</v>
      </c>
    </row>
    <row r="791" spans="1:25" x14ac:dyDescent="0.3">
      <c r="A791">
        <v>1790</v>
      </c>
      <c r="B791" t="s">
        <v>148</v>
      </c>
      <c r="C791" t="s">
        <v>37</v>
      </c>
      <c r="D791">
        <v>34</v>
      </c>
      <c r="E791" t="s">
        <v>38</v>
      </c>
      <c r="F791" t="s">
        <v>39</v>
      </c>
      <c r="G791" t="s">
        <v>64</v>
      </c>
      <c r="H791" t="s">
        <v>775</v>
      </c>
      <c r="I791">
        <v>0</v>
      </c>
      <c r="J791">
        <v>30991</v>
      </c>
      <c r="K791">
        <v>4.2</v>
      </c>
      <c r="L791">
        <v>88.9</v>
      </c>
      <c r="M791">
        <v>3</v>
      </c>
      <c r="N791">
        <v>58</v>
      </c>
      <c r="O791">
        <v>5088</v>
      </c>
      <c r="P791" t="s">
        <v>33</v>
      </c>
      <c r="Q791" t="s">
        <v>27</v>
      </c>
      <c r="R791" t="s">
        <v>58</v>
      </c>
      <c r="S791" t="s">
        <v>34</v>
      </c>
      <c r="T791" t="s">
        <v>30</v>
      </c>
      <c r="U791">
        <f t="shared" si="60"/>
        <v>36079</v>
      </c>
      <c r="V791" t="str">
        <f t="shared" si="61"/>
        <v>Needs Improvement</v>
      </c>
      <c r="W791" t="str">
        <f t="shared" si="62"/>
        <v>Normal</v>
      </c>
      <c r="X791" t="str">
        <f t="shared" si="63"/>
        <v>Junior</v>
      </c>
      <c r="Y791" t="str">
        <f t="shared" si="64"/>
        <v>25-34</v>
      </c>
    </row>
    <row r="792" spans="1:25" x14ac:dyDescent="0.3">
      <c r="A792">
        <v>1791</v>
      </c>
      <c r="B792" t="s">
        <v>36</v>
      </c>
      <c r="C792" t="s">
        <v>21</v>
      </c>
      <c r="D792">
        <v>27</v>
      </c>
      <c r="E792" t="s">
        <v>91</v>
      </c>
      <c r="F792" t="s">
        <v>101</v>
      </c>
      <c r="G792" t="s">
        <v>51</v>
      </c>
      <c r="H792" t="s">
        <v>776</v>
      </c>
      <c r="I792">
        <v>5</v>
      </c>
      <c r="J792">
        <v>26859</v>
      </c>
      <c r="K792">
        <v>2.7</v>
      </c>
      <c r="L792">
        <v>97.4</v>
      </c>
      <c r="M792">
        <v>20</v>
      </c>
      <c r="N792">
        <v>53</v>
      </c>
      <c r="O792">
        <v>12322</v>
      </c>
      <c r="P792" t="s">
        <v>41</v>
      </c>
      <c r="Q792" t="s">
        <v>27</v>
      </c>
      <c r="R792" t="s">
        <v>42</v>
      </c>
      <c r="S792" t="s">
        <v>34</v>
      </c>
      <c r="T792" t="s">
        <v>35</v>
      </c>
      <c r="U792">
        <f t="shared" si="60"/>
        <v>39181</v>
      </c>
      <c r="V792" t="str">
        <f t="shared" si="61"/>
        <v>Excellent</v>
      </c>
      <c r="W792" t="str">
        <f t="shared" si="62"/>
        <v>Normal</v>
      </c>
      <c r="X792" t="str">
        <f t="shared" si="63"/>
        <v>Mid</v>
      </c>
      <c r="Y792" t="str">
        <f t="shared" si="64"/>
        <v>25-34</v>
      </c>
    </row>
    <row r="793" spans="1:25" x14ac:dyDescent="0.3">
      <c r="A793">
        <v>1792</v>
      </c>
      <c r="B793" t="s">
        <v>88</v>
      </c>
      <c r="C793" t="s">
        <v>37</v>
      </c>
      <c r="D793">
        <v>23</v>
      </c>
      <c r="E793" t="s">
        <v>38</v>
      </c>
      <c r="F793" t="s">
        <v>39</v>
      </c>
      <c r="G793" t="s">
        <v>59</v>
      </c>
      <c r="H793" t="s">
        <v>777</v>
      </c>
      <c r="I793">
        <v>2</v>
      </c>
      <c r="J793">
        <v>30228</v>
      </c>
      <c r="K793">
        <v>4.9000000000000004</v>
      </c>
      <c r="L793">
        <v>84.6</v>
      </c>
      <c r="M793">
        <v>20</v>
      </c>
      <c r="N793">
        <v>5</v>
      </c>
      <c r="O793">
        <v>7044</v>
      </c>
      <c r="P793" t="s">
        <v>53</v>
      </c>
      <c r="Q793" t="s">
        <v>48</v>
      </c>
      <c r="R793" t="s">
        <v>70</v>
      </c>
      <c r="S793" t="s">
        <v>34</v>
      </c>
      <c r="T793" t="s">
        <v>30</v>
      </c>
      <c r="U793">
        <f t="shared" si="60"/>
        <v>37272</v>
      </c>
      <c r="V793" t="str">
        <f t="shared" si="61"/>
        <v>Needs Improvement</v>
      </c>
      <c r="W793" t="str">
        <f t="shared" si="62"/>
        <v>Normal</v>
      </c>
      <c r="X793" t="str">
        <f t="shared" si="63"/>
        <v>Junior</v>
      </c>
      <c r="Y793" t="str">
        <f t="shared" si="64"/>
        <v>20-24</v>
      </c>
    </row>
    <row r="794" spans="1:25" x14ac:dyDescent="0.3">
      <c r="A794">
        <v>1793</v>
      </c>
      <c r="B794" t="s">
        <v>85</v>
      </c>
      <c r="C794" t="s">
        <v>37</v>
      </c>
      <c r="D794">
        <v>39</v>
      </c>
      <c r="E794" t="s">
        <v>62</v>
      </c>
      <c r="F794" t="s">
        <v>97</v>
      </c>
      <c r="G794" t="s">
        <v>45</v>
      </c>
      <c r="H794" t="s">
        <v>476</v>
      </c>
      <c r="I794">
        <v>10</v>
      </c>
      <c r="J794">
        <v>34025</v>
      </c>
      <c r="K794">
        <v>2.5</v>
      </c>
      <c r="L794">
        <v>83</v>
      </c>
      <c r="M794">
        <v>15</v>
      </c>
      <c r="N794">
        <v>30</v>
      </c>
      <c r="O794">
        <v>6903</v>
      </c>
      <c r="P794" t="s">
        <v>26</v>
      </c>
      <c r="Q794" t="s">
        <v>27</v>
      </c>
      <c r="R794" t="s">
        <v>42</v>
      </c>
      <c r="S794" t="s">
        <v>34</v>
      </c>
      <c r="T794" t="s">
        <v>50</v>
      </c>
      <c r="U794">
        <f t="shared" si="60"/>
        <v>40928</v>
      </c>
      <c r="V794" t="str">
        <f t="shared" si="61"/>
        <v>Needs Improvement</v>
      </c>
      <c r="W794" t="str">
        <f t="shared" si="62"/>
        <v>Normal</v>
      </c>
      <c r="X794" t="str">
        <f t="shared" si="63"/>
        <v>Senior</v>
      </c>
      <c r="Y794" t="str">
        <f t="shared" si="64"/>
        <v>35-44</v>
      </c>
    </row>
    <row r="795" spans="1:25" x14ac:dyDescent="0.3">
      <c r="A795">
        <v>1794</v>
      </c>
      <c r="B795" t="s">
        <v>31</v>
      </c>
      <c r="C795" t="s">
        <v>37</v>
      </c>
      <c r="D795">
        <v>34</v>
      </c>
      <c r="E795" t="s">
        <v>91</v>
      </c>
      <c r="F795" t="s">
        <v>101</v>
      </c>
      <c r="G795" t="s">
        <v>45</v>
      </c>
      <c r="H795" t="s">
        <v>778</v>
      </c>
      <c r="I795">
        <v>10</v>
      </c>
      <c r="J795">
        <v>83790</v>
      </c>
      <c r="K795">
        <v>3.6</v>
      </c>
      <c r="L795">
        <v>93.6</v>
      </c>
      <c r="M795">
        <v>22</v>
      </c>
      <c r="N795">
        <v>15</v>
      </c>
      <c r="O795">
        <v>1269</v>
      </c>
      <c r="P795" t="s">
        <v>53</v>
      </c>
      <c r="Q795" t="s">
        <v>27</v>
      </c>
      <c r="R795" t="s">
        <v>28</v>
      </c>
      <c r="S795" t="s">
        <v>29</v>
      </c>
      <c r="T795" t="s">
        <v>50</v>
      </c>
      <c r="U795">
        <f t="shared" si="60"/>
        <v>85059</v>
      </c>
      <c r="V795" t="str">
        <f t="shared" si="61"/>
        <v>Needs Improvement</v>
      </c>
      <c r="W795" t="str">
        <f t="shared" si="62"/>
        <v>High</v>
      </c>
      <c r="X795" t="str">
        <f t="shared" si="63"/>
        <v>Senior</v>
      </c>
      <c r="Y795" t="str">
        <f t="shared" si="64"/>
        <v>25-34</v>
      </c>
    </row>
    <row r="796" spans="1:25" x14ac:dyDescent="0.3">
      <c r="A796">
        <v>1795</v>
      </c>
      <c r="B796" t="s">
        <v>75</v>
      </c>
      <c r="C796" t="s">
        <v>21</v>
      </c>
      <c r="D796">
        <v>25</v>
      </c>
      <c r="E796" t="s">
        <v>91</v>
      </c>
      <c r="F796" t="s">
        <v>92</v>
      </c>
      <c r="G796" t="s">
        <v>45</v>
      </c>
      <c r="H796" t="s">
        <v>274</v>
      </c>
      <c r="I796">
        <v>10</v>
      </c>
      <c r="J796">
        <v>41922</v>
      </c>
      <c r="K796">
        <v>3.7</v>
      </c>
      <c r="L796">
        <v>87.3</v>
      </c>
      <c r="M796">
        <v>22</v>
      </c>
      <c r="N796">
        <v>18</v>
      </c>
      <c r="O796">
        <v>10658</v>
      </c>
      <c r="P796" t="s">
        <v>26</v>
      </c>
      <c r="Q796" t="s">
        <v>27</v>
      </c>
      <c r="R796" t="s">
        <v>28</v>
      </c>
      <c r="S796" t="s">
        <v>34</v>
      </c>
      <c r="T796" t="s">
        <v>50</v>
      </c>
      <c r="U796">
        <f t="shared" si="60"/>
        <v>52580</v>
      </c>
      <c r="V796" t="str">
        <f t="shared" si="61"/>
        <v>Needs Improvement</v>
      </c>
      <c r="W796" t="str">
        <f t="shared" si="62"/>
        <v>High</v>
      </c>
      <c r="X796" t="str">
        <f t="shared" si="63"/>
        <v>Senior</v>
      </c>
      <c r="Y796" t="str">
        <f t="shared" si="64"/>
        <v>25-34</v>
      </c>
    </row>
    <row r="797" spans="1:25" x14ac:dyDescent="0.3">
      <c r="A797">
        <v>1796</v>
      </c>
      <c r="B797" t="s">
        <v>88</v>
      </c>
      <c r="C797" t="s">
        <v>37</v>
      </c>
      <c r="D797">
        <v>41</v>
      </c>
      <c r="E797" t="s">
        <v>62</v>
      </c>
      <c r="F797" t="s">
        <v>63</v>
      </c>
      <c r="G797" t="s">
        <v>59</v>
      </c>
      <c r="H797" t="s">
        <v>779</v>
      </c>
      <c r="I797">
        <v>3</v>
      </c>
      <c r="J797">
        <v>72136</v>
      </c>
      <c r="K797">
        <v>3.7</v>
      </c>
      <c r="L797">
        <v>88.8</v>
      </c>
      <c r="M797">
        <v>6</v>
      </c>
      <c r="N797">
        <v>52</v>
      </c>
      <c r="O797">
        <v>3226</v>
      </c>
      <c r="P797" t="s">
        <v>41</v>
      </c>
      <c r="Q797" t="s">
        <v>48</v>
      </c>
      <c r="R797" t="s">
        <v>28</v>
      </c>
      <c r="S797" t="s">
        <v>29</v>
      </c>
      <c r="T797" t="s">
        <v>35</v>
      </c>
      <c r="U797">
        <f t="shared" si="60"/>
        <v>75362</v>
      </c>
      <c r="V797" t="str">
        <f t="shared" si="61"/>
        <v>Needs Improvement</v>
      </c>
      <c r="W797" t="str">
        <f t="shared" si="62"/>
        <v>Normal</v>
      </c>
      <c r="X797" t="str">
        <f t="shared" si="63"/>
        <v>Mid</v>
      </c>
      <c r="Y797" t="str">
        <f t="shared" si="64"/>
        <v>35-44</v>
      </c>
    </row>
    <row r="798" spans="1:25" x14ac:dyDescent="0.3">
      <c r="A798">
        <v>1797</v>
      </c>
      <c r="B798" t="s">
        <v>124</v>
      </c>
      <c r="C798" t="s">
        <v>37</v>
      </c>
      <c r="D798">
        <v>39</v>
      </c>
      <c r="E798" t="s">
        <v>22</v>
      </c>
      <c r="F798" t="s">
        <v>23</v>
      </c>
      <c r="G798" t="s">
        <v>24</v>
      </c>
      <c r="H798" t="s">
        <v>780</v>
      </c>
      <c r="I798">
        <v>0</v>
      </c>
      <c r="J798">
        <v>85901</v>
      </c>
      <c r="K798">
        <v>4.5</v>
      </c>
      <c r="L798">
        <v>88.6</v>
      </c>
      <c r="M798">
        <v>17</v>
      </c>
      <c r="N798">
        <v>56</v>
      </c>
      <c r="O798">
        <v>14679</v>
      </c>
      <c r="P798" t="s">
        <v>33</v>
      </c>
      <c r="Q798" t="s">
        <v>27</v>
      </c>
      <c r="R798" t="s">
        <v>70</v>
      </c>
      <c r="S798" t="s">
        <v>29</v>
      </c>
      <c r="T798" t="s">
        <v>30</v>
      </c>
      <c r="U798">
        <f t="shared" si="60"/>
        <v>100580</v>
      </c>
      <c r="V798" t="str">
        <f t="shared" si="61"/>
        <v>Needs Improvement</v>
      </c>
      <c r="W798" t="str">
        <f t="shared" si="62"/>
        <v>Normal</v>
      </c>
      <c r="X798" t="str">
        <f t="shared" si="63"/>
        <v>Junior</v>
      </c>
      <c r="Y798" t="str">
        <f t="shared" si="64"/>
        <v>35-44</v>
      </c>
    </row>
    <row r="799" spans="1:25" x14ac:dyDescent="0.3">
      <c r="A799">
        <v>1798</v>
      </c>
      <c r="B799" t="s">
        <v>178</v>
      </c>
      <c r="C799" t="s">
        <v>37</v>
      </c>
      <c r="D799">
        <v>24</v>
      </c>
      <c r="E799" t="s">
        <v>55</v>
      </c>
      <c r="F799" t="s">
        <v>56</v>
      </c>
      <c r="G799" t="s">
        <v>64</v>
      </c>
      <c r="H799" t="s">
        <v>781</v>
      </c>
      <c r="I799">
        <v>8</v>
      </c>
      <c r="J799">
        <v>92439</v>
      </c>
      <c r="K799">
        <v>4.9000000000000004</v>
      </c>
      <c r="L799">
        <v>96.6</v>
      </c>
      <c r="M799">
        <v>22</v>
      </c>
      <c r="N799">
        <v>41</v>
      </c>
      <c r="O799">
        <v>11031</v>
      </c>
      <c r="P799" t="s">
        <v>41</v>
      </c>
      <c r="Q799" t="s">
        <v>48</v>
      </c>
      <c r="R799" t="s">
        <v>70</v>
      </c>
      <c r="S799" t="s">
        <v>29</v>
      </c>
      <c r="T799" t="s">
        <v>50</v>
      </c>
      <c r="U799">
        <f t="shared" si="60"/>
        <v>103470</v>
      </c>
      <c r="V799" t="str">
        <f t="shared" si="61"/>
        <v>Excellent</v>
      </c>
      <c r="W799" t="str">
        <f t="shared" si="62"/>
        <v>High</v>
      </c>
      <c r="X799" t="str">
        <f t="shared" si="63"/>
        <v>Senior</v>
      </c>
      <c r="Y799" t="str">
        <f t="shared" si="64"/>
        <v>20-24</v>
      </c>
    </row>
    <row r="800" spans="1:25" x14ac:dyDescent="0.3">
      <c r="A800">
        <v>1799</v>
      </c>
      <c r="B800" t="s">
        <v>121</v>
      </c>
      <c r="C800" t="s">
        <v>21</v>
      </c>
      <c r="D800">
        <v>26</v>
      </c>
      <c r="E800" t="s">
        <v>91</v>
      </c>
      <c r="F800" t="s">
        <v>101</v>
      </c>
      <c r="G800" t="s">
        <v>59</v>
      </c>
      <c r="H800" t="s">
        <v>782</v>
      </c>
      <c r="I800">
        <v>7</v>
      </c>
      <c r="J800">
        <v>63058</v>
      </c>
      <c r="K800">
        <v>3.1</v>
      </c>
      <c r="L800">
        <v>90.3</v>
      </c>
      <c r="M800">
        <v>7</v>
      </c>
      <c r="N800">
        <v>7</v>
      </c>
      <c r="O800">
        <v>5036</v>
      </c>
      <c r="P800" t="s">
        <v>41</v>
      </c>
      <c r="Q800" t="s">
        <v>27</v>
      </c>
      <c r="R800" t="s">
        <v>28</v>
      </c>
      <c r="S800" t="s">
        <v>49</v>
      </c>
      <c r="T800" t="s">
        <v>50</v>
      </c>
      <c r="U800">
        <f t="shared" si="60"/>
        <v>68094</v>
      </c>
      <c r="V800" t="str">
        <f t="shared" si="61"/>
        <v>Needs Improvement</v>
      </c>
      <c r="W800" t="str">
        <f t="shared" si="62"/>
        <v>Normal</v>
      </c>
      <c r="X800" t="str">
        <f t="shared" si="63"/>
        <v>Senior</v>
      </c>
      <c r="Y800" t="str">
        <f t="shared" si="64"/>
        <v>25-34</v>
      </c>
    </row>
    <row r="801" spans="1:25" x14ac:dyDescent="0.3">
      <c r="A801">
        <v>1800</v>
      </c>
      <c r="B801" t="s">
        <v>121</v>
      </c>
      <c r="C801" t="s">
        <v>37</v>
      </c>
      <c r="D801">
        <v>41</v>
      </c>
      <c r="E801" t="s">
        <v>38</v>
      </c>
      <c r="F801" t="s">
        <v>39</v>
      </c>
      <c r="G801" t="s">
        <v>45</v>
      </c>
      <c r="H801" t="s">
        <v>783</v>
      </c>
      <c r="I801">
        <v>7</v>
      </c>
      <c r="J801">
        <v>57975</v>
      </c>
      <c r="K801">
        <v>3</v>
      </c>
      <c r="L801">
        <v>87.5</v>
      </c>
      <c r="M801">
        <v>17</v>
      </c>
      <c r="N801">
        <v>46</v>
      </c>
      <c r="O801">
        <v>6916</v>
      </c>
      <c r="P801" t="s">
        <v>47</v>
      </c>
      <c r="Q801" t="s">
        <v>48</v>
      </c>
      <c r="R801" t="s">
        <v>28</v>
      </c>
      <c r="S801" t="s">
        <v>49</v>
      </c>
      <c r="T801" t="s">
        <v>50</v>
      </c>
      <c r="U801">
        <f t="shared" si="60"/>
        <v>64891</v>
      </c>
      <c r="V801" t="str">
        <f t="shared" si="61"/>
        <v>Needs Improvement</v>
      </c>
      <c r="W801" t="str">
        <f t="shared" si="62"/>
        <v>Normal</v>
      </c>
      <c r="X801" t="str">
        <f t="shared" si="63"/>
        <v>Senior</v>
      </c>
      <c r="Y801" t="str">
        <f t="shared" si="64"/>
        <v>35-44</v>
      </c>
    </row>
    <row r="802" spans="1:25" x14ac:dyDescent="0.3">
      <c r="A802">
        <v>1801</v>
      </c>
      <c r="B802" t="s">
        <v>83</v>
      </c>
      <c r="C802" t="s">
        <v>21</v>
      </c>
      <c r="D802">
        <v>38</v>
      </c>
      <c r="E802" t="s">
        <v>91</v>
      </c>
      <c r="F802" t="s">
        <v>101</v>
      </c>
      <c r="G802" t="s">
        <v>51</v>
      </c>
      <c r="H802" t="s">
        <v>784</v>
      </c>
      <c r="I802">
        <v>10</v>
      </c>
      <c r="J802">
        <v>47533</v>
      </c>
      <c r="K802">
        <v>4.0999999999999996</v>
      </c>
      <c r="L802">
        <v>99.6</v>
      </c>
      <c r="M802">
        <v>17</v>
      </c>
      <c r="N802">
        <v>52</v>
      </c>
      <c r="O802">
        <v>9846</v>
      </c>
      <c r="P802" t="s">
        <v>26</v>
      </c>
      <c r="Q802" t="s">
        <v>27</v>
      </c>
      <c r="R802" t="s">
        <v>58</v>
      </c>
      <c r="S802" t="s">
        <v>34</v>
      </c>
      <c r="T802" t="s">
        <v>50</v>
      </c>
      <c r="U802">
        <f t="shared" si="60"/>
        <v>57379</v>
      </c>
      <c r="V802" t="str">
        <f t="shared" si="61"/>
        <v>Excellent</v>
      </c>
      <c r="W802" t="str">
        <f t="shared" si="62"/>
        <v>Normal</v>
      </c>
      <c r="X802" t="str">
        <f t="shared" si="63"/>
        <v>Senior</v>
      </c>
      <c r="Y802" t="str">
        <f t="shared" si="64"/>
        <v>35-44</v>
      </c>
    </row>
    <row r="803" spans="1:25" x14ac:dyDescent="0.3">
      <c r="A803">
        <v>1802</v>
      </c>
      <c r="B803" t="s">
        <v>68</v>
      </c>
      <c r="C803" t="s">
        <v>37</v>
      </c>
      <c r="D803">
        <v>43</v>
      </c>
      <c r="E803" t="s">
        <v>22</v>
      </c>
      <c r="F803" t="s">
        <v>23</v>
      </c>
      <c r="G803" t="s">
        <v>51</v>
      </c>
      <c r="H803" t="s">
        <v>785</v>
      </c>
      <c r="I803">
        <v>0</v>
      </c>
      <c r="J803">
        <v>52943</v>
      </c>
      <c r="K803">
        <v>4.4000000000000004</v>
      </c>
      <c r="L803">
        <v>88.2</v>
      </c>
      <c r="M803">
        <v>11</v>
      </c>
      <c r="N803">
        <v>5</v>
      </c>
      <c r="O803">
        <v>1815</v>
      </c>
      <c r="P803" t="s">
        <v>26</v>
      </c>
      <c r="Q803" t="s">
        <v>48</v>
      </c>
      <c r="R803" t="s">
        <v>58</v>
      </c>
      <c r="S803" t="s">
        <v>49</v>
      </c>
      <c r="T803" t="s">
        <v>30</v>
      </c>
      <c r="U803">
        <f t="shared" si="60"/>
        <v>54758</v>
      </c>
      <c r="V803" t="str">
        <f t="shared" si="61"/>
        <v>Needs Improvement</v>
      </c>
      <c r="W803" t="str">
        <f t="shared" si="62"/>
        <v>Normal</v>
      </c>
      <c r="X803" t="str">
        <f t="shared" si="63"/>
        <v>Junior</v>
      </c>
      <c r="Y803" t="str">
        <f t="shared" si="64"/>
        <v>35-44</v>
      </c>
    </row>
    <row r="804" spans="1:25" x14ac:dyDescent="0.3">
      <c r="A804">
        <v>1803</v>
      </c>
      <c r="B804" t="s">
        <v>20</v>
      </c>
      <c r="C804" t="s">
        <v>37</v>
      </c>
      <c r="D804">
        <v>29</v>
      </c>
      <c r="E804" t="s">
        <v>38</v>
      </c>
      <c r="F804" t="s">
        <v>44</v>
      </c>
      <c r="G804" t="s">
        <v>59</v>
      </c>
      <c r="H804" t="s">
        <v>786</v>
      </c>
      <c r="I804">
        <v>7</v>
      </c>
      <c r="J804">
        <v>45344</v>
      </c>
      <c r="K804">
        <v>2.9</v>
      </c>
      <c r="L804">
        <v>95.3</v>
      </c>
      <c r="M804">
        <v>2</v>
      </c>
      <c r="N804">
        <v>60</v>
      </c>
      <c r="O804">
        <v>8779</v>
      </c>
      <c r="P804" t="s">
        <v>53</v>
      </c>
      <c r="Q804" t="s">
        <v>27</v>
      </c>
      <c r="R804" t="s">
        <v>42</v>
      </c>
      <c r="S804" t="s">
        <v>34</v>
      </c>
      <c r="T804" t="s">
        <v>50</v>
      </c>
      <c r="U804">
        <f t="shared" si="60"/>
        <v>54123</v>
      </c>
      <c r="V804" t="str">
        <f t="shared" si="61"/>
        <v>Excellent</v>
      </c>
      <c r="W804" t="str">
        <f t="shared" si="62"/>
        <v>Normal</v>
      </c>
      <c r="X804" t="str">
        <f t="shared" si="63"/>
        <v>Senior</v>
      </c>
      <c r="Y804" t="str">
        <f t="shared" si="64"/>
        <v>25-34</v>
      </c>
    </row>
    <row r="805" spans="1:25" x14ac:dyDescent="0.3">
      <c r="A805">
        <v>1804</v>
      </c>
      <c r="B805" t="s">
        <v>36</v>
      </c>
      <c r="C805" t="s">
        <v>21</v>
      </c>
      <c r="D805">
        <v>26</v>
      </c>
      <c r="E805" t="s">
        <v>91</v>
      </c>
      <c r="F805" t="s">
        <v>101</v>
      </c>
      <c r="G805" t="s">
        <v>64</v>
      </c>
      <c r="H805" t="s">
        <v>309</v>
      </c>
      <c r="I805">
        <v>1</v>
      </c>
      <c r="J805">
        <v>28228</v>
      </c>
      <c r="K805">
        <v>3.3</v>
      </c>
      <c r="L805">
        <v>94.7</v>
      </c>
      <c r="M805">
        <v>20</v>
      </c>
      <c r="N805">
        <v>45</v>
      </c>
      <c r="O805">
        <v>4318</v>
      </c>
      <c r="P805" t="s">
        <v>26</v>
      </c>
      <c r="Q805" t="s">
        <v>48</v>
      </c>
      <c r="R805" t="s">
        <v>28</v>
      </c>
      <c r="S805" t="s">
        <v>34</v>
      </c>
      <c r="T805" t="s">
        <v>30</v>
      </c>
      <c r="U805">
        <f t="shared" si="60"/>
        <v>32546</v>
      </c>
      <c r="V805" t="str">
        <f t="shared" si="61"/>
        <v>Needs Improvement</v>
      </c>
      <c r="W805" t="str">
        <f t="shared" si="62"/>
        <v>Normal</v>
      </c>
      <c r="X805" t="str">
        <f t="shared" si="63"/>
        <v>Junior</v>
      </c>
      <c r="Y805" t="str">
        <f t="shared" si="64"/>
        <v>25-34</v>
      </c>
    </row>
    <row r="806" spans="1:25" x14ac:dyDescent="0.3">
      <c r="A806">
        <v>1805</v>
      </c>
      <c r="B806" t="s">
        <v>83</v>
      </c>
      <c r="C806" t="s">
        <v>21</v>
      </c>
      <c r="D806">
        <v>28</v>
      </c>
      <c r="E806" t="s">
        <v>22</v>
      </c>
      <c r="F806" t="s">
        <v>23</v>
      </c>
      <c r="G806" t="s">
        <v>45</v>
      </c>
      <c r="H806" t="s">
        <v>787</v>
      </c>
      <c r="I806">
        <v>5</v>
      </c>
      <c r="J806">
        <v>29415</v>
      </c>
      <c r="K806">
        <v>4.0999999999999996</v>
      </c>
      <c r="L806">
        <v>89.6</v>
      </c>
      <c r="M806">
        <v>19</v>
      </c>
      <c r="N806">
        <v>49</v>
      </c>
      <c r="O806">
        <v>3030</v>
      </c>
      <c r="P806" t="s">
        <v>33</v>
      </c>
      <c r="Q806" t="s">
        <v>27</v>
      </c>
      <c r="R806" t="s">
        <v>58</v>
      </c>
      <c r="S806" t="s">
        <v>34</v>
      </c>
      <c r="T806" t="s">
        <v>35</v>
      </c>
      <c r="U806">
        <f t="shared" si="60"/>
        <v>32445</v>
      </c>
      <c r="V806" t="str">
        <f t="shared" si="61"/>
        <v>Needs Improvement</v>
      </c>
      <c r="W806" t="str">
        <f t="shared" si="62"/>
        <v>Normal</v>
      </c>
      <c r="X806" t="str">
        <f t="shared" si="63"/>
        <v>Mid</v>
      </c>
      <c r="Y806" t="str">
        <f t="shared" si="64"/>
        <v>25-34</v>
      </c>
    </row>
    <row r="807" spans="1:25" x14ac:dyDescent="0.3">
      <c r="A807">
        <v>1806</v>
      </c>
      <c r="B807" t="s">
        <v>111</v>
      </c>
      <c r="C807" t="s">
        <v>37</v>
      </c>
      <c r="D807">
        <v>30</v>
      </c>
      <c r="E807" t="s">
        <v>62</v>
      </c>
      <c r="F807" t="s">
        <v>97</v>
      </c>
      <c r="G807" t="s">
        <v>51</v>
      </c>
      <c r="H807" t="s">
        <v>788</v>
      </c>
      <c r="I807">
        <v>5</v>
      </c>
      <c r="J807">
        <v>54602</v>
      </c>
      <c r="K807">
        <v>3.7</v>
      </c>
      <c r="L807">
        <v>84.2</v>
      </c>
      <c r="M807">
        <v>12</v>
      </c>
      <c r="N807">
        <v>12</v>
      </c>
      <c r="O807">
        <v>4770</v>
      </c>
      <c r="P807" t="s">
        <v>26</v>
      </c>
      <c r="Q807" t="s">
        <v>48</v>
      </c>
      <c r="R807" t="s">
        <v>28</v>
      </c>
      <c r="S807" t="s">
        <v>49</v>
      </c>
      <c r="T807" t="s">
        <v>35</v>
      </c>
      <c r="U807">
        <f t="shared" si="60"/>
        <v>59372</v>
      </c>
      <c r="V807" t="str">
        <f t="shared" si="61"/>
        <v>Needs Improvement</v>
      </c>
      <c r="W807" t="str">
        <f t="shared" si="62"/>
        <v>Normal</v>
      </c>
      <c r="X807" t="str">
        <f t="shared" si="63"/>
        <v>Mid</v>
      </c>
      <c r="Y807" t="str">
        <f t="shared" si="64"/>
        <v>25-34</v>
      </c>
    </row>
    <row r="808" spans="1:25" x14ac:dyDescent="0.3">
      <c r="A808">
        <v>1807</v>
      </c>
      <c r="B808" t="s">
        <v>36</v>
      </c>
      <c r="C808" t="s">
        <v>21</v>
      </c>
      <c r="D808">
        <v>41</v>
      </c>
      <c r="E808" t="s">
        <v>22</v>
      </c>
      <c r="F808" t="s">
        <v>23</v>
      </c>
      <c r="G808" t="s">
        <v>24</v>
      </c>
      <c r="H808" t="s">
        <v>789</v>
      </c>
      <c r="I808">
        <v>2</v>
      </c>
      <c r="J808">
        <v>55225</v>
      </c>
      <c r="K808">
        <v>4.7</v>
      </c>
      <c r="L808">
        <v>87.7</v>
      </c>
      <c r="M808">
        <v>11</v>
      </c>
      <c r="N808">
        <v>20</v>
      </c>
      <c r="O808">
        <v>6935</v>
      </c>
      <c r="P808" t="s">
        <v>26</v>
      </c>
      <c r="Q808" t="s">
        <v>48</v>
      </c>
      <c r="R808" t="s">
        <v>70</v>
      </c>
      <c r="S808" t="s">
        <v>49</v>
      </c>
      <c r="T808" t="s">
        <v>30</v>
      </c>
      <c r="U808">
        <f t="shared" si="60"/>
        <v>62160</v>
      </c>
      <c r="V808" t="str">
        <f t="shared" si="61"/>
        <v>Needs Improvement</v>
      </c>
      <c r="W808" t="str">
        <f t="shared" si="62"/>
        <v>Normal</v>
      </c>
      <c r="X808" t="str">
        <f t="shared" si="63"/>
        <v>Junior</v>
      </c>
      <c r="Y808" t="str">
        <f t="shared" si="64"/>
        <v>35-44</v>
      </c>
    </row>
    <row r="809" spans="1:25" x14ac:dyDescent="0.3">
      <c r="A809">
        <v>1808</v>
      </c>
      <c r="B809" t="s">
        <v>43</v>
      </c>
      <c r="C809" t="s">
        <v>21</v>
      </c>
      <c r="D809">
        <v>29</v>
      </c>
      <c r="E809" t="s">
        <v>22</v>
      </c>
      <c r="F809" t="s">
        <v>66</v>
      </c>
      <c r="G809" t="s">
        <v>51</v>
      </c>
      <c r="H809" t="s">
        <v>349</v>
      </c>
      <c r="I809">
        <v>2</v>
      </c>
      <c r="J809">
        <v>73433</v>
      </c>
      <c r="K809">
        <v>3.7</v>
      </c>
      <c r="L809">
        <v>87.5</v>
      </c>
      <c r="M809">
        <v>7</v>
      </c>
      <c r="N809">
        <v>47</v>
      </c>
      <c r="O809">
        <v>11335</v>
      </c>
      <c r="P809" t="s">
        <v>26</v>
      </c>
      <c r="Q809" t="s">
        <v>27</v>
      </c>
      <c r="R809" t="s">
        <v>28</v>
      </c>
      <c r="S809" t="s">
        <v>29</v>
      </c>
      <c r="T809" t="s">
        <v>30</v>
      </c>
      <c r="U809">
        <f t="shared" si="60"/>
        <v>84768</v>
      </c>
      <c r="V809" t="str">
        <f t="shared" si="61"/>
        <v>Needs Improvement</v>
      </c>
      <c r="W809" t="str">
        <f t="shared" si="62"/>
        <v>Normal</v>
      </c>
      <c r="X809" t="str">
        <f t="shared" si="63"/>
        <v>Junior</v>
      </c>
      <c r="Y809" t="str">
        <f t="shared" si="64"/>
        <v>25-34</v>
      </c>
    </row>
    <row r="810" spans="1:25" x14ac:dyDescent="0.3">
      <c r="A810">
        <v>1809</v>
      </c>
      <c r="B810" t="s">
        <v>78</v>
      </c>
      <c r="C810" t="s">
        <v>37</v>
      </c>
      <c r="D810">
        <v>44</v>
      </c>
      <c r="E810" t="s">
        <v>55</v>
      </c>
      <c r="F810" t="s">
        <v>79</v>
      </c>
      <c r="G810" t="s">
        <v>24</v>
      </c>
      <c r="H810" t="s">
        <v>790</v>
      </c>
      <c r="I810">
        <v>2</v>
      </c>
      <c r="J810">
        <v>67572</v>
      </c>
      <c r="K810">
        <v>3.9</v>
      </c>
      <c r="L810">
        <v>90.4</v>
      </c>
      <c r="M810">
        <v>17</v>
      </c>
      <c r="N810">
        <v>6</v>
      </c>
      <c r="O810">
        <v>3980</v>
      </c>
      <c r="P810" t="s">
        <v>41</v>
      </c>
      <c r="Q810" t="s">
        <v>27</v>
      </c>
      <c r="R810" t="s">
        <v>28</v>
      </c>
      <c r="S810" t="s">
        <v>49</v>
      </c>
      <c r="T810" t="s">
        <v>30</v>
      </c>
      <c r="U810">
        <f t="shared" si="60"/>
        <v>71552</v>
      </c>
      <c r="V810" t="str">
        <f t="shared" si="61"/>
        <v>Needs Improvement</v>
      </c>
      <c r="W810" t="str">
        <f t="shared" si="62"/>
        <v>Normal</v>
      </c>
      <c r="X810" t="str">
        <f t="shared" si="63"/>
        <v>Junior</v>
      </c>
      <c r="Y810" t="str">
        <f t="shared" si="64"/>
        <v>35-44</v>
      </c>
    </row>
    <row r="811" spans="1:25" x14ac:dyDescent="0.3">
      <c r="A811">
        <v>1810</v>
      </c>
      <c r="B811" t="s">
        <v>88</v>
      </c>
      <c r="C811" t="s">
        <v>37</v>
      </c>
      <c r="D811">
        <v>41</v>
      </c>
      <c r="E811" t="s">
        <v>55</v>
      </c>
      <c r="F811" t="s">
        <v>56</v>
      </c>
      <c r="G811" t="s">
        <v>51</v>
      </c>
      <c r="H811" t="s">
        <v>791</v>
      </c>
      <c r="I811">
        <v>3</v>
      </c>
      <c r="J811">
        <v>43986</v>
      </c>
      <c r="K811">
        <v>4.0999999999999996</v>
      </c>
      <c r="L811">
        <v>88.5</v>
      </c>
      <c r="M811">
        <v>25</v>
      </c>
      <c r="N811">
        <v>42</v>
      </c>
      <c r="O811">
        <v>8446</v>
      </c>
      <c r="P811" t="s">
        <v>53</v>
      </c>
      <c r="Q811" t="s">
        <v>48</v>
      </c>
      <c r="R811" t="s">
        <v>58</v>
      </c>
      <c r="S811" t="s">
        <v>34</v>
      </c>
      <c r="T811" t="s">
        <v>35</v>
      </c>
      <c r="U811">
        <f t="shared" si="60"/>
        <v>52432</v>
      </c>
      <c r="V811" t="str">
        <f t="shared" si="61"/>
        <v>Needs Improvement</v>
      </c>
      <c r="W811" t="str">
        <f t="shared" si="62"/>
        <v>High</v>
      </c>
      <c r="X811" t="str">
        <f t="shared" si="63"/>
        <v>Mid</v>
      </c>
      <c r="Y811" t="str">
        <f t="shared" si="64"/>
        <v>35-44</v>
      </c>
    </row>
    <row r="812" spans="1:25" x14ac:dyDescent="0.3">
      <c r="A812">
        <v>1811</v>
      </c>
      <c r="B812" t="s">
        <v>78</v>
      </c>
      <c r="C812" t="s">
        <v>21</v>
      </c>
      <c r="D812">
        <v>44</v>
      </c>
      <c r="E812" t="s">
        <v>62</v>
      </c>
      <c r="F812" t="s">
        <v>63</v>
      </c>
      <c r="G812" t="s">
        <v>64</v>
      </c>
      <c r="H812" t="s">
        <v>792</v>
      </c>
      <c r="I812">
        <v>3</v>
      </c>
      <c r="J812">
        <v>41703</v>
      </c>
      <c r="K812">
        <v>4.3</v>
      </c>
      <c r="L812">
        <v>82.5</v>
      </c>
      <c r="M812">
        <v>23</v>
      </c>
      <c r="N812">
        <v>27</v>
      </c>
      <c r="O812">
        <v>11987</v>
      </c>
      <c r="P812" t="s">
        <v>33</v>
      </c>
      <c r="Q812" t="s">
        <v>27</v>
      </c>
      <c r="R812" t="s">
        <v>58</v>
      </c>
      <c r="S812" t="s">
        <v>34</v>
      </c>
      <c r="T812" t="s">
        <v>35</v>
      </c>
      <c r="U812">
        <f t="shared" si="60"/>
        <v>53690</v>
      </c>
      <c r="V812" t="str">
        <f t="shared" si="61"/>
        <v>Needs Improvement</v>
      </c>
      <c r="W812" t="str">
        <f t="shared" si="62"/>
        <v>High</v>
      </c>
      <c r="X812" t="str">
        <f t="shared" si="63"/>
        <v>Mid</v>
      </c>
      <c r="Y812" t="str">
        <f t="shared" si="64"/>
        <v>35-44</v>
      </c>
    </row>
    <row r="813" spans="1:25" x14ac:dyDescent="0.3">
      <c r="A813">
        <v>1812</v>
      </c>
      <c r="B813" t="s">
        <v>121</v>
      </c>
      <c r="C813" t="s">
        <v>37</v>
      </c>
      <c r="D813">
        <v>44</v>
      </c>
      <c r="E813" t="s">
        <v>55</v>
      </c>
      <c r="F813" t="s">
        <v>143</v>
      </c>
      <c r="G813" t="s">
        <v>51</v>
      </c>
      <c r="H813" t="s">
        <v>793</v>
      </c>
      <c r="I813">
        <v>8</v>
      </c>
      <c r="J813">
        <v>61278</v>
      </c>
      <c r="K813">
        <v>3.6</v>
      </c>
      <c r="L813">
        <v>99.8</v>
      </c>
      <c r="M813">
        <v>19</v>
      </c>
      <c r="N813">
        <v>55</v>
      </c>
      <c r="O813">
        <v>10054</v>
      </c>
      <c r="P813" t="s">
        <v>47</v>
      </c>
      <c r="Q813" t="s">
        <v>48</v>
      </c>
      <c r="R813" t="s">
        <v>28</v>
      </c>
      <c r="S813" t="s">
        <v>49</v>
      </c>
      <c r="T813" t="s">
        <v>50</v>
      </c>
      <c r="U813">
        <f t="shared" si="60"/>
        <v>71332</v>
      </c>
      <c r="V813" t="str">
        <f t="shared" si="61"/>
        <v>Excellent</v>
      </c>
      <c r="W813" t="str">
        <f t="shared" si="62"/>
        <v>Normal</v>
      </c>
      <c r="X813" t="str">
        <f t="shared" si="63"/>
        <v>Senior</v>
      </c>
      <c r="Y813" t="str">
        <f t="shared" si="64"/>
        <v>35-44</v>
      </c>
    </row>
    <row r="814" spans="1:25" x14ac:dyDescent="0.3">
      <c r="A814">
        <v>1813</v>
      </c>
      <c r="B814" t="s">
        <v>31</v>
      </c>
      <c r="C814" t="s">
        <v>21</v>
      </c>
      <c r="D814">
        <v>40</v>
      </c>
      <c r="E814" t="s">
        <v>22</v>
      </c>
      <c r="F814" t="s">
        <v>66</v>
      </c>
      <c r="G814" t="s">
        <v>64</v>
      </c>
      <c r="H814" t="s">
        <v>794</v>
      </c>
      <c r="I814">
        <v>3</v>
      </c>
      <c r="J814">
        <v>85153</v>
      </c>
      <c r="K814">
        <v>4.0999999999999996</v>
      </c>
      <c r="L814">
        <v>85.8</v>
      </c>
      <c r="M814">
        <v>7</v>
      </c>
      <c r="N814">
        <v>30</v>
      </c>
      <c r="O814">
        <v>11696</v>
      </c>
      <c r="P814" t="s">
        <v>47</v>
      </c>
      <c r="Q814" t="s">
        <v>48</v>
      </c>
      <c r="R814" t="s">
        <v>58</v>
      </c>
      <c r="S814" t="s">
        <v>29</v>
      </c>
      <c r="T814" t="s">
        <v>35</v>
      </c>
      <c r="U814">
        <f t="shared" si="60"/>
        <v>96849</v>
      </c>
      <c r="V814" t="str">
        <f t="shared" si="61"/>
        <v>Needs Improvement</v>
      </c>
      <c r="W814" t="str">
        <f t="shared" si="62"/>
        <v>Normal</v>
      </c>
      <c r="X814" t="str">
        <f t="shared" si="63"/>
        <v>Mid</v>
      </c>
      <c r="Y814" t="str">
        <f t="shared" si="64"/>
        <v>35-44</v>
      </c>
    </row>
    <row r="815" spans="1:25" x14ac:dyDescent="0.3">
      <c r="A815">
        <v>1814</v>
      </c>
      <c r="B815" t="s">
        <v>73</v>
      </c>
      <c r="C815" t="s">
        <v>21</v>
      </c>
      <c r="D815">
        <v>27</v>
      </c>
      <c r="E815" t="s">
        <v>62</v>
      </c>
      <c r="F815" t="s">
        <v>97</v>
      </c>
      <c r="G815" t="s">
        <v>64</v>
      </c>
      <c r="H815" t="s">
        <v>795</v>
      </c>
      <c r="I815">
        <v>6</v>
      </c>
      <c r="J815">
        <v>28862</v>
      </c>
      <c r="K815">
        <v>3.1</v>
      </c>
      <c r="L815">
        <v>87.5</v>
      </c>
      <c r="M815">
        <v>19</v>
      </c>
      <c r="N815">
        <v>47</v>
      </c>
      <c r="O815">
        <v>2738</v>
      </c>
      <c r="P815" t="s">
        <v>26</v>
      </c>
      <c r="Q815" t="s">
        <v>48</v>
      </c>
      <c r="R815" t="s">
        <v>28</v>
      </c>
      <c r="S815" t="s">
        <v>34</v>
      </c>
      <c r="T815" t="s">
        <v>50</v>
      </c>
      <c r="U815">
        <f t="shared" si="60"/>
        <v>31600</v>
      </c>
      <c r="V815" t="str">
        <f t="shared" si="61"/>
        <v>Needs Improvement</v>
      </c>
      <c r="W815" t="str">
        <f t="shared" si="62"/>
        <v>Normal</v>
      </c>
      <c r="X815" t="str">
        <f t="shared" si="63"/>
        <v>Mid</v>
      </c>
      <c r="Y815" t="str">
        <f t="shared" si="64"/>
        <v>25-34</v>
      </c>
    </row>
    <row r="816" spans="1:25" x14ac:dyDescent="0.3">
      <c r="A816">
        <v>1815</v>
      </c>
      <c r="B816" t="s">
        <v>68</v>
      </c>
      <c r="C816" t="s">
        <v>37</v>
      </c>
      <c r="D816">
        <v>38</v>
      </c>
      <c r="E816" t="s">
        <v>22</v>
      </c>
      <c r="F816" t="s">
        <v>23</v>
      </c>
      <c r="G816" t="s">
        <v>45</v>
      </c>
      <c r="H816" t="s">
        <v>796</v>
      </c>
      <c r="I816">
        <v>3</v>
      </c>
      <c r="J816">
        <v>37586</v>
      </c>
      <c r="K816">
        <v>2.6</v>
      </c>
      <c r="L816">
        <v>95.8</v>
      </c>
      <c r="M816">
        <v>0</v>
      </c>
      <c r="N816">
        <v>35</v>
      </c>
      <c r="O816">
        <v>4331</v>
      </c>
      <c r="P816" t="s">
        <v>53</v>
      </c>
      <c r="Q816" t="s">
        <v>27</v>
      </c>
      <c r="R816" t="s">
        <v>42</v>
      </c>
      <c r="S816" t="s">
        <v>34</v>
      </c>
      <c r="T816" t="s">
        <v>35</v>
      </c>
      <c r="U816">
        <f t="shared" si="60"/>
        <v>41917</v>
      </c>
      <c r="V816" t="str">
        <f t="shared" si="61"/>
        <v>Excellent</v>
      </c>
      <c r="W816" t="str">
        <f t="shared" si="62"/>
        <v>Normal</v>
      </c>
      <c r="X816" t="str">
        <f t="shared" si="63"/>
        <v>Mid</v>
      </c>
      <c r="Y816" t="str">
        <f t="shared" si="64"/>
        <v>35-44</v>
      </c>
    </row>
    <row r="817" spans="1:25" x14ac:dyDescent="0.3">
      <c r="A817">
        <v>1816</v>
      </c>
      <c r="B817" t="s">
        <v>73</v>
      </c>
      <c r="C817" t="s">
        <v>21</v>
      </c>
      <c r="D817">
        <v>26</v>
      </c>
      <c r="E817" t="s">
        <v>55</v>
      </c>
      <c r="F817" t="s">
        <v>56</v>
      </c>
      <c r="G817" t="s">
        <v>51</v>
      </c>
      <c r="H817" t="s">
        <v>514</v>
      </c>
      <c r="I817">
        <v>0</v>
      </c>
      <c r="J817">
        <v>26795</v>
      </c>
      <c r="K817">
        <v>4.3</v>
      </c>
      <c r="L817">
        <v>87.8</v>
      </c>
      <c r="M817">
        <v>19</v>
      </c>
      <c r="N817">
        <v>53</v>
      </c>
      <c r="O817">
        <v>14654</v>
      </c>
      <c r="P817" t="s">
        <v>33</v>
      </c>
      <c r="Q817" t="s">
        <v>48</v>
      </c>
      <c r="R817" t="s">
        <v>58</v>
      </c>
      <c r="S817" t="s">
        <v>34</v>
      </c>
      <c r="T817" t="s">
        <v>30</v>
      </c>
      <c r="U817">
        <f t="shared" si="60"/>
        <v>41449</v>
      </c>
      <c r="V817" t="str">
        <f t="shared" si="61"/>
        <v>Needs Improvement</v>
      </c>
      <c r="W817" t="str">
        <f t="shared" si="62"/>
        <v>Normal</v>
      </c>
      <c r="X817" t="str">
        <f t="shared" si="63"/>
        <v>Junior</v>
      </c>
      <c r="Y817" t="str">
        <f t="shared" si="64"/>
        <v>25-34</v>
      </c>
    </row>
    <row r="818" spans="1:25" x14ac:dyDescent="0.3">
      <c r="A818">
        <v>1817</v>
      </c>
      <c r="B818" t="s">
        <v>178</v>
      </c>
      <c r="C818" t="s">
        <v>21</v>
      </c>
      <c r="D818">
        <v>29</v>
      </c>
      <c r="E818" t="s">
        <v>38</v>
      </c>
      <c r="F818" t="s">
        <v>44</v>
      </c>
      <c r="G818" t="s">
        <v>59</v>
      </c>
      <c r="H818" t="s">
        <v>797</v>
      </c>
      <c r="I818">
        <v>6</v>
      </c>
      <c r="J818">
        <v>38665</v>
      </c>
      <c r="K818">
        <v>3.1</v>
      </c>
      <c r="L818">
        <v>85.3</v>
      </c>
      <c r="M818">
        <v>6</v>
      </c>
      <c r="N818">
        <v>41</v>
      </c>
      <c r="O818">
        <v>10652</v>
      </c>
      <c r="P818" t="s">
        <v>47</v>
      </c>
      <c r="Q818" t="s">
        <v>48</v>
      </c>
      <c r="R818" t="s">
        <v>28</v>
      </c>
      <c r="S818" t="s">
        <v>34</v>
      </c>
      <c r="T818" t="s">
        <v>50</v>
      </c>
      <c r="U818">
        <f t="shared" si="60"/>
        <v>49317</v>
      </c>
      <c r="V818" t="str">
        <f t="shared" si="61"/>
        <v>Needs Improvement</v>
      </c>
      <c r="W818" t="str">
        <f t="shared" si="62"/>
        <v>Normal</v>
      </c>
      <c r="X818" t="str">
        <f t="shared" si="63"/>
        <v>Mid</v>
      </c>
      <c r="Y818" t="str">
        <f t="shared" si="64"/>
        <v>25-34</v>
      </c>
    </row>
    <row r="819" spans="1:25" x14ac:dyDescent="0.3">
      <c r="A819">
        <v>1818</v>
      </c>
      <c r="B819" t="s">
        <v>99</v>
      </c>
      <c r="C819" t="s">
        <v>21</v>
      </c>
      <c r="D819">
        <v>24</v>
      </c>
      <c r="E819" t="s">
        <v>62</v>
      </c>
      <c r="F819" t="s">
        <v>97</v>
      </c>
      <c r="G819" t="s">
        <v>64</v>
      </c>
      <c r="H819" t="s">
        <v>409</v>
      </c>
      <c r="I819">
        <v>1</v>
      </c>
      <c r="J819">
        <v>63350</v>
      </c>
      <c r="K819">
        <v>2.6</v>
      </c>
      <c r="L819">
        <v>88</v>
      </c>
      <c r="M819">
        <v>11</v>
      </c>
      <c r="N819">
        <v>30</v>
      </c>
      <c r="O819">
        <v>9838</v>
      </c>
      <c r="P819" t="s">
        <v>26</v>
      </c>
      <c r="Q819" t="s">
        <v>48</v>
      </c>
      <c r="R819" t="s">
        <v>42</v>
      </c>
      <c r="S819" t="s">
        <v>49</v>
      </c>
      <c r="T819" t="s">
        <v>30</v>
      </c>
      <c r="U819">
        <f t="shared" si="60"/>
        <v>73188</v>
      </c>
      <c r="V819" t="str">
        <f t="shared" si="61"/>
        <v>Needs Improvement</v>
      </c>
      <c r="W819" t="str">
        <f t="shared" si="62"/>
        <v>Normal</v>
      </c>
      <c r="X819" t="str">
        <f t="shared" si="63"/>
        <v>Junior</v>
      </c>
      <c r="Y819" t="str">
        <f t="shared" si="64"/>
        <v>20-24</v>
      </c>
    </row>
    <row r="820" spans="1:25" x14ac:dyDescent="0.3">
      <c r="A820">
        <v>1819</v>
      </c>
      <c r="B820" t="s">
        <v>75</v>
      </c>
      <c r="C820" t="s">
        <v>37</v>
      </c>
      <c r="D820">
        <v>23</v>
      </c>
      <c r="E820" t="s">
        <v>91</v>
      </c>
      <c r="F820" t="s">
        <v>92</v>
      </c>
      <c r="G820" t="s">
        <v>64</v>
      </c>
      <c r="H820" t="s">
        <v>798</v>
      </c>
      <c r="I820">
        <v>7</v>
      </c>
      <c r="J820">
        <v>69733</v>
      </c>
      <c r="K820">
        <v>4.0999999999999996</v>
      </c>
      <c r="L820">
        <v>91</v>
      </c>
      <c r="M820">
        <v>25</v>
      </c>
      <c r="N820">
        <v>12</v>
      </c>
      <c r="O820">
        <v>10266</v>
      </c>
      <c r="P820" t="s">
        <v>26</v>
      </c>
      <c r="Q820" t="s">
        <v>48</v>
      </c>
      <c r="R820" t="s">
        <v>58</v>
      </c>
      <c r="S820" t="s">
        <v>49</v>
      </c>
      <c r="T820" t="s">
        <v>50</v>
      </c>
      <c r="U820">
        <f t="shared" si="60"/>
        <v>79999</v>
      </c>
      <c r="V820" t="str">
        <f t="shared" si="61"/>
        <v>Needs Improvement</v>
      </c>
      <c r="W820" t="str">
        <f t="shared" si="62"/>
        <v>High</v>
      </c>
      <c r="X820" t="str">
        <f t="shared" si="63"/>
        <v>Senior</v>
      </c>
      <c r="Y820" t="str">
        <f t="shared" si="64"/>
        <v>20-24</v>
      </c>
    </row>
    <row r="821" spans="1:25" x14ac:dyDescent="0.3">
      <c r="A821">
        <v>1820</v>
      </c>
      <c r="B821" t="s">
        <v>178</v>
      </c>
      <c r="C821" t="s">
        <v>21</v>
      </c>
      <c r="D821">
        <v>25</v>
      </c>
      <c r="E821" t="s">
        <v>55</v>
      </c>
      <c r="F821" t="s">
        <v>143</v>
      </c>
      <c r="G821" t="s">
        <v>51</v>
      </c>
      <c r="H821" t="s">
        <v>799</v>
      </c>
      <c r="I821">
        <v>1</v>
      </c>
      <c r="J821">
        <v>59221</v>
      </c>
      <c r="K821">
        <v>3.8</v>
      </c>
      <c r="L821">
        <v>96.3</v>
      </c>
      <c r="M821">
        <v>12</v>
      </c>
      <c r="N821">
        <v>16</v>
      </c>
      <c r="O821">
        <v>14491</v>
      </c>
      <c r="P821" t="s">
        <v>26</v>
      </c>
      <c r="Q821" t="s">
        <v>48</v>
      </c>
      <c r="R821" t="s">
        <v>28</v>
      </c>
      <c r="S821" t="s">
        <v>49</v>
      </c>
      <c r="T821" t="s">
        <v>30</v>
      </c>
      <c r="U821">
        <f t="shared" si="60"/>
        <v>73712</v>
      </c>
      <c r="V821" t="str">
        <f t="shared" si="61"/>
        <v>Excellent</v>
      </c>
      <c r="W821" t="str">
        <f t="shared" si="62"/>
        <v>Normal</v>
      </c>
      <c r="X821" t="str">
        <f t="shared" si="63"/>
        <v>Junior</v>
      </c>
      <c r="Y821" t="str">
        <f t="shared" si="64"/>
        <v>25-34</v>
      </c>
    </row>
    <row r="822" spans="1:25" x14ac:dyDescent="0.3">
      <c r="A822">
        <v>1821</v>
      </c>
      <c r="B822" t="s">
        <v>54</v>
      </c>
      <c r="C822" t="s">
        <v>37</v>
      </c>
      <c r="D822">
        <v>35</v>
      </c>
      <c r="E822" t="s">
        <v>91</v>
      </c>
      <c r="F822" t="s">
        <v>92</v>
      </c>
      <c r="G822" t="s">
        <v>24</v>
      </c>
      <c r="H822" t="s">
        <v>800</v>
      </c>
      <c r="I822">
        <v>5</v>
      </c>
      <c r="J822">
        <v>28648</v>
      </c>
      <c r="K822">
        <v>4.3</v>
      </c>
      <c r="L822">
        <v>95</v>
      </c>
      <c r="M822">
        <v>3</v>
      </c>
      <c r="N822">
        <v>49</v>
      </c>
      <c r="O822">
        <v>3355</v>
      </c>
      <c r="P822" t="s">
        <v>26</v>
      </c>
      <c r="Q822" t="s">
        <v>48</v>
      </c>
      <c r="R822" t="s">
        <v>58</v>
      </c>
      <c r="S822" t="s">
        <v>34</v>
      </c>
      <c r="T822" t="s">
        <v>35</v>
      </c>
      <c r="U822">
        <f t="shared" si="60"/>
        <v>32003</v>
      </c>
      <c r="V822" t="str">
        <f t="shared" si="61"/>
        <v>Excellent</v>
      </c>
      <c r="W822" t="str">
        <f t="shared" si="62"/>
        <v>Normal</v>
      </c>
      <c r="X822" t="str">
        <f t="shared" si="63"/>
        <v>Mid</v>
      </c>
      <c r="Y822" t="str">
        <f t="shared" si="64"/>
        <v>35-44</v>
      </c>
    </row>
    <row r="823" spans="1:25" x14ac:dyDescent="0.3">
      <c r="A823">
        <v>1822</v>
      </c>
      <c r="B823" t="s">
        <v>75</v>
      </c>
      <c r="C823" t="s">
        <v>21</v>
      </c>
      <c r="D823">
        <v>32</v>
      </c>
      <c r="E823" t="s">
        <v>91</v>
      </c>
      <c r="F823" t="s">
        <v>101</v>
      </c>
      <c r="G823" t="s">
        <v>51</v>
      </c>
      <c r="H823" t="s">
        <v>65</v>
      </c>
      <c r="I823">
        <v>4</v>
      </c>
      <c r="J823">
        <v>79896</v>
      </c>
      <c r="K823">
        <v>3</v>
      </c>
      <c r="L823">
        <v>87.6</v>
      </c>
      <c r="M823">
        <v>9</v>
      </c>
      <c r="N823">
        <v>28</v>
      </c>
      <c r="O823">
        <v>1359</v>
      </c>
      <c r="P823" t="s">
        <v>33</v>
      </c>
      <c r="Q823" t="s">
        <v>27</v>
      </c>
      <c r="R823" t="s">
        <v>28</v>
      </c>
      <c r="S823" t="s">
        <v>29</v>
      </c>
      <c r="T823" t="s">
        <v>35</v>
      </c>
      <c r="U823">
        <f t="shared" si="60"/>
        <v>81255</v>
      </c>
      <c r="V823" t="str">
        <f t="shared" si="61"/>
        <v>Needs Improvement</v>
      </c>
      <c r="W823" t="str">
        <f t="shared" si="62"/>
        <v>Normal</v>
      </c>
      <c r="X823" t="str">
        <f t="shared" si="63"/>
        <v>Mid</v>
      </c>
      <c r="Y823" t="str">
        <f t="shared" si="64"/>
        <v>25-34</v>
      </c>
    </row>
    <row r="824" spans="1:25" x14ac:dyDescent="0.3">
      <c r="A824">
        <v>1823</v>
      </c>
      <c r="B824" t="s">
        <v>71</v>
      </c>
      <c r="C824" t="s">
        <v>37</v>
      </c>
      <c r="D824">
        <v>45</v>
      </c>
      <c r="E824" t="s">
        <v>22</v>
      </c>
      <c r="F824" t="s">
        <v>23</v>
      </c>
      <c r="G824" t="s">
        <v>51</v>
      </c>
      <c r="H824" t="s">
        <v>801</v>
      </c>
      <c r="I824">
        <v>4</v>
      </c>
      <c r="J824">
        <v>48007</v>
      </c>
      <c r="K824">
        <v>4.2</v>
      </c>
      <c r="L824">
        <v>94.8</v>
      </c>
      <c r="M824">
        <v>21</v>
      </c>
      <c r="N824">
        <v>45</v>
      </c>
      <c r="O824">
        <v>7484</v>
      </c>
      <c r="P824" t="s">
        <v>26</v>
      </c>
      <c r="Q824" t="s">
        <v>27</v>
      </c>
      <c r="R824" t="s">
        <v>58</v>
      </c>
      <c r="S824" t="s">
        <v>34</v>
      </c>
      <c r="T824" t="s">
        <v>35</v>
      </c>
      <c r="U824">
        <f t="shared" si="60"/>
        <v>55491</v>
      </c>
      <c r="V824" t="str">
        <f t="shared" si="61"/>
        <v>Needs Improvement</v>
      </c>
      <c r="W824" t="str">
        <f t="shared" si="62"/>
        <v>High</v>
      </c>
      <c r="X824" t="str">
        <f t="shared" si="63"/>
        <v>Mid</v>
      </c>
      <c r="Y824" t="str">
        <f t="shared" si="64"/>
        <v>45+</v>
      </c>
    </row>
    <row r="825" spans="1:25" x14ac:dyDescent="0.3">
      <c r="A825">
        <v>1824</v>
      </c>
      <c r="B825" t="s">
        <v>73</v>
      </c>
      <c r="C825" t="s">
        <v>37</v>
      </c>
      <c r="D825">
        <v>40</v>
      </c>
      <c r="E825" t="s">
        <v>62</v>
      </c>
      <c r="F825" t="s">
        <v>97</v>
      </c>
      <c r="G825" t="s">
        <v>64</v>
      </c>
      <c r="H825" t="s">
        <v>802</v>
      </c>
      <c r="I825">
        <v>9</v>
      </c>
      <c r="J825">
        <v>87095</v>
      </c>
      <c r="K825">
        <v>3.8</v>
      </c>
      <c r="L825">
        <v>95.2</v>
      </c>
      <c r="M825">
        <v>6</v>
      </c>
      <c r="N825">
        <v>34</v>
      </c>
      <c r="O825">
        <v>1854</v>
      </c>
      <c r="P825" t="s">
        <v>33</v>
      </c>
      <c r="Q825" t="s">
        <v>48</v>
      </c>
      <c r="R825" t="s">
        <v>28</v>
      </c>
      <c r="S825" t="s">
        <v>29</v>
      </c>
      <c r="T825" t="s">
        <v>50</v>
      </c>
      <c r="U825">
        <f t="shared" si="60"/>
        <v>88949</v>
      </c>
      <c r="V825" t="str">
        <f t="shared" si="61"/>
        <v>Excellent</v>
      </c>
      <c r="W825" t="str">
        <f t="shared" si="62"/>
        <v>Normal</v>
      </c>
      <c r="X825" t="str">
        <f t="shared" si="63"/>
        <v>Senior</v>
      </c>
      <c r="Y825" t="str">
        <f t="shared" si="64"/>
        <v>35-44</v>
      </c>
    </row>
    <row r="826" spans="1:25" x14ac:dyDescent="0.3">
      <c r="A826">
        <v>1825</v>
      </c>
      <c r="B826" t="s">
        <v>61</v>
      </c>
      <c r="C826" t="s">
        <v>37</v>
      </c>
      <c r="D826">
        <v>23</v>
      </c>
      <c r="E826" t="s">
        <v>38</v>
      </c>
      <c r="F826" t="s">
        <v>44</v>
      </c>
      <c r="G826" t="s">
        <v>24</v>
      </c>
      <c r="H826" t="s">
        <v>286</v>
      </c>
      <c r="I826">
        <v>7</v>
      </c>
      <c r="J826">
        <v>67225</v>
      </c>
      <c r="K826">
        <v>3.6</v>
      </c>
      <c r="L826">
        <v>96.1</v>
      </c>
      <c r="M826">
        <v>4</v>
      </c>
      <c r="N826">
        <v>6</v>
      </c>
      <c r="O826">
        <v>6641</v>
      </c>
      <c r="P826" t="s">
        <v>47</v>
      </c>
      <c r="Q826" t="s">
        <v>27</v>
      </c>
      <c r="R826" t="s">
        <v>28</v>
      </c>
      <c r="S826" t="s">
        <v>49</v>
      </c>
      <c r="T826" t="s">
        <v>50</v>
      </c>
      <c r="U826">
        <f t="shared" si="60"/>
        <v>73866</v>
      </c>
      <c r="V826" t="str">
        <f t="shared" si="61"/>
        <v>Excellent</v>
      </c>
      <c r="W826" t="str">
        <f t="shared" si="62"/>
        <v>Normal</v>
      </c>
      <c r="X826" t="str">
        <f t="shared" si="63"/>
        <v>Senior</v>
      </c>
      <c r="Y826" t="str">
        <f t="shared" si="64"/>
        <v>20-24</v>
      </c>
    </row>
    <row r="827" spans="1:25" x14ac:dyDescent="0.3">
      <c r="A827">
        <v>1826</v>
      </c>
      <c r="B827" t="s">
        <v>20</v>
      </c>
      <c r="C827" t="s">
        <v>21</v>
      </c>
      <c r="D827">
        <v>28</v>
      </c>
      <c r="E827" t="s">
        <v>91</v>
      </c>
      <c r="F827" t="s">
        <v>92</v>
      </c>
      <c r="G827" t="s">
        <v>24</v>
      </c>
      <c r="H827" t="s">
        <v>586</v>
      </c>
      <c r="I827">
        <v>7</v>
      </c>
      <c r="J827">
        <v>57339</v>
      </c>
      <c r="K827">
        <v>4.9000000000000004</v>
      </c>
      <c r="L827">
        <v>89.2</v>
      </c>
      <c r="M827">
        <v>2</v>
      </c>
      <c r="N827">
        <v>16</v>
      </c>
      <c r="O827">
        <v>3321</v>
      </c>
      <c r="P827" t="s">
        <v>33</v>
      </c>
      <c r="Q827" t="s">
        <v>27</v>
      </c>
      <c r="R827" t="s">
        <v>70</v>
      </c>
      <c r="S827" t="s">
        <v>49</v>
      </c>
      <c r="T827" t="s">
        <v>50</v>
      </c>
      <c r="U827">
        <f t="shared" si="60"/>
        <v>60660</v>
      </c>
      <c r="V827" t="str">
        <f t="shared" si="61"/>
        <v>Needs Improvement</v>
      </c>
      <c r="W827" t="str">
        <f t="shared" si="62"/>
        <v>Normal</v>
      </c>
      <c r="X827" t="str">
        <f t="shared" si="63"/>
        <v>Senior</v>
      </c>
      <c r="Y827" t="str">
        <f t="shared" si="64"/>
        <v>25-34</v>
      </c>
    </row>
    <row r="828" spans="1:25" x14ac:dyDescent="0.3">
      <c r="A828">
        <v>1827</v>
      </c>
      <c r="B828" t="s">
        <v>121</v>
      </c>
      <c r="C828" t="s">
        <v>37</v>
      </c>
      <c r="D828">
        <v>35</v>
      </c>
      <c r="E828" t="s">
        <v>62</v>
      </c>
      <c r="F828" t="s">
        <v>97</v>
      </c>
      <c r="G828" t="s">
        <v>59</v>
      </c>
      <c r="H828" t="s">
        <v>803</v>
      </c>
      <c r="I828">
        <v>7</v>
      </c>
      <c r="J828">
        <v>52804</v>
      </c>
      <c r="K828">
        <v>4.9000000000000004</v>
      </c>
      <c r="L828">
        <v>87.3</v>
      </c>
      <c r="M828">
        <v>0</v>
      </c>
      <c r="N828">
        <v>31</v>
      </c>
      <c r="O828">
        <v>2064</v>
      </c>
      <c r="P828" t="s">
        <v>26</v>
      </c>
      <c r="Q828" t="s">
        <v>27</v>
      </c>
      <c r="R828" t="s">
        <v>70</v>
      </c>
      <c r="S828" t="s">
        <v>49</v>
      </c>
      <c r="T828" t="s">
        <v>50</v>
      </c>
      <c r="U828">
        <f t="shared" si="60"/>
        <v>54868</v>
      </c>
      <c r="V828" t="str">
        <f t="shared" si="61"/>
        <v>Needs Improvement</v>
      </c>
      <c r="W828" t="str">
        <f t="shared" si="62"/>
        <v>Normal</v>
      </c>
      <c r="X828" t="str">
        <f t="shared" si="63"/>
        <v>Senior</v>
      </c>
      <c r="Y828" t="str">
        <f t="shared" si="64"/>
        <v>35-44</v>
      </c>
    </row>
    <row r="829" spans="1:25" x14ac:dyDescent="0.3">
      <c r="A829">
        <v>1828</v>
      </c>
      <c r="B829" t="s">
        <v>73</v>
      </c>
      <c r="C829" t="s">
        <v>37</v>
      </c>
      <c r="D829">
        <v>31</v>
      </c>
      <c r="E829" t="s">
        <v>38</v>
      </c>
      <c r="F829" t="s">
        <v>44</v>
      </c>
      <c r="G829" t="s">
        <v>51</v>
      </c>
      <c r="H829" t="s">
        <v>804</v>
      </c>
      <c r="I829">
        <v>9</v>
      </c>
      <c r="J829">
        <v>45374</v>
      </c>
      <c r="K829">
        <v>2.7</v>
      </c>
      <c r="L829">
        <v>89.1</v>
      </c>
      <c r="M829">
        <v>19</v>
      </c>
      <c r="N829">
        <v>41</v>
      </c>
      <c r="O829">
        <v>11195</v>
      </c>
      <c r="P829" t="s">
        <v>53</v>
      </c>
      <c r="Q829" t="s">
        <v>48</v>
      </c>
      <c r="R829" t="s">
        <v>42</v>
      </c>
      <c r="S829" t="s">
        <v>34</v>
      </c>
      <c r="T829" t="s">
        <v>50</v>
      </c>
      <c r="U829">
        <f t="shared" si="60"/>
        <v>56569</v>
      </c>
      <c r="V829" t="str">
        <f t="shared" si="61"/>
        <v>Needs Improvement</v>
      </c>
      <c r="W829" t="str">
        <f t="shared" si="62"/>
        <v>Normal</v>
      </c>
      <c r="X829" t="str">
        <f t="shared" si="63"/>
        <v>Senior</v>
      </c>
      <c r="Y829" t="str">
        <f t="shared" si="64"/>
        <v>25-34</v>
      </c>
    </row>
    <row r="830" spans="1:25" x14ac:dyDescent="0.3">
      <c r="A830">
        <v>1829</v>
      </c>
      <c r="B830" t="s">
        <v>54</v>
      </c>
      <c r="C830" t="s">
        <v>21</v>
      </c>
      <c r="D830">
        <v>41</v>
      </c>
      <c r="E830" t="s">
        <v>22</v>
      </c>
      <c r="F830" t="s">
        <v>23</v>
      </c>
      <c r="G830" t="s">
        <v>64</v>
      </c>
      <c r="H830" t="s">
        <v>805</v>
      </c>
      <c r="I830">
        <v>9</v>
      </c>
      <c r="J830">
        <v>39745</v>
      </c>
      <c r="K830">
        <v>3.3</v>
      </c>
      <c r="L830">
        <v>85.3</v>
      </c>
      <c r="M830">
        <v>11</v>
      </c>
      <c r="N830">
        <v>59</v>
      </c>
      <c r="O830">
        <v>8586</v>
      </c>
      <c r="P830" t="s">
        <v>53</v>
      </c>
      <c r="Q830" t="s">
        <v>27</v>
      </c>
      <c r="R830" t="s">
        <v>28</v>
      </c>
      <c r="S830" t="s">
        <v>34</v>
      </c>
      <c r="T830" t="s">
        <v>50</v>
      </c>
      <c r="U830">
        <f t="shared" si="60"/>
        <v>48331</v>
      </c>
      <c r="V830" t="str">
        <f t="shared" si="61"/>
        <v>Needs Improvement</v>
      </c>
      <c r="W830" t="str">
        <f t="shared" si="62"/>
        <v>Normal</v>
      </c>
      <c r="X830" t="str">
        <f t="shared" si="63"/>
        <v>Senior</v>
      </c>
      <c r="Y830" t="str">
        <f t="shared" si="64"/>
        <v>35-44</v>
      </c>
    </row>
    <row r="831" spans="1:25" x14ac:dyDescent="0.3">
      <c r="A831">
        <v>1830</v>
      </c>
      <c r="B831" t="s">
        <v>71</v>
      </c>
      <c r="C831" t="s">
        <v>37</v>
      </c>
      <c r="D831">
        <v>22</v>
      </c>
      <c r="E831" t="s">
        <v>91</v>
      </c>
      <c r="F831" t="s">
        <v>92</v>
      </c>
      <c r="G831" t="s">
        <v>51</v>
      </c>
      <c r="H831" t="s">
        <v>806</v>
      </c>
      <c r="I831">
        <v>9</v>
      </c>
      <c r="J831">
        <v>28516</v>
      </c>
      <c r="K831">
        <v>4.7</v>
      </c>
      <c r="L831">
        <v>96.3</v>
      </c>
      <c r="M831">
        <v>17</v>
      </c>
      <c r="N831">
        <v>24</v>
      </c>
      <c r="O831">
        <v>3567</v>
      </c>
      <c r="P831" t="s">
        <v>33</v>
      </c>
      <c r="Q831" t="s">
        <v>27</v>
      </c>
      <c r="R831" t="s">
        <v>70</v>
      </c>
      <c r="S831" t="s">
        <v>34</v>
      </c>
      <c r="T831" t="s">
        <v>50</v>
      </c>
      <c r="U831">
        <f t="shared" si="60"/>
        <v>32083</v>
      </c>
      <c r="V831" t="str">
        <f t="shared" si="61"/>
        <v>Excellent</v>
      </c>
      <c r="W831" t="str">
        <f t="shared" si="62"/>
        <v>Normal</v>
      </c>
      <c r="X831" t="str">
        <f t="shared" si="63"/>
        <v>Senior</v>
      </c>
      <c r="Y831" t="str">
        <f t="shared" si="64"/>
        <v>20-24</v>
      </c>
    </row>
    <row r="832" spans="1:25" x14ac:dyDescent="0.3">
      <c r="A832">
        <v>1831</v>
      </c>
      <c r="B832" t="s">
        <v>61</v>
      </c>
      <c r="C832" t="s">
        <v>37</v>
      </c>
      <c r="D832">
        <v>36</v>
      </c>
      <c r="E832" t="s">
        <v>91</v>
      </c>
      <c r="F832" t="s">
        <v>101</v>
      </c>
      <c r="G832" t="s">
        <v>24</v>
      </c>
      <c r="H832" t="s">
        <v>807</v>
      </c>
      <c r="I832">
        <v>2</v>
      </c>
      <c r="J832">
        <v>68903</v>
      </c>
      <c r="K832">
        <v>4.4000000000000004</v>
      </c>
      <c r="L832">
        <v>94.3</v>
      </c>
      <c r="M832">
        <v>19</v>
      </c>
      <c r="N832">
        <v>60</v>
      </c>
      <c r="O832">
        <v>7804</v>
      </c>
      <c r="P832" t="s">
        <v>33</v>
      </c>
      <c r="Q832" t="s">
        <v>48</v>
      </c>
      <c r="R832" t="s">
        <v>58</v>
      </c>
      <c r="S832" t="s">
        <v>49</v>
      </c>
      <c r="T832" t="s">
        <v>30</v>
      </c>
      <c r="U832">
        <f t="shared" si="60"/>
        <v>76707</v>
      </c>
      <c r="V832" t="str">
        <f t="shared" si="61"/>
        <v>Needs Improvement</v>
      </c>
      <c r="W832" t="str">
        <f t="shared" si="62"/>
        <v>Normal</v>
      </c>
      <c r="X832" t="str">
        <f t="shared" si="63"/>
        <v>Junior</v>
      </c>
      <c r="Y832" t="str">
        <f t="shared" si="64"/>
        <v>35-44</v>
      </c>
    </row>
    <row r="833" spans="1:25" x14ac:dyDescent="0.3">
      <c r="A833">
        <v>1832</v>
      </c>
      <c r="B833" t="s">
        <v>85</v>
      </c>
      <c r="C833" t="s">
        <v>37</v>
      </c>
      <c r="D833">
        <v>38</v>
      </c>
      <c r="E833" t="s">
        <v>38</v>
      </c>
      <c r="F833" t="s">
        <v>39</v>
      </c>
      <c r="G833" t="s">
        <v>45</v>
      </c>
      <c r="H833" t="s">
        <v>808</v>
      </c>
      <c r="I833">
        <v>6</v>
      </c>
      <c r="J833">
        <v>87599</v>
      </c>
      <c r="K833">
        <v>3.8</v>
      </c>
      <c r="L833">
        <v>97.4</v>
      </c>
      <c r="M833">
        <v>11</v>
      </c>
      <c r="N833">
        <v>32</v>
      </c>
      <c r="O833">
        <v>10773</v>
      </c>
      <c r="P833" t="s">
        <v>41</v>
      </c>
      <c r="Q833" t="s">
        <v>27</v>
      </c>
      <c r="R833" t="s">
        <v>28</v>
      </c>
      <c r="S833" t="s">
        <v>29</v>
      </c>
      <c r="T833" t="s">
        <v>50</v>
      </c>
      <c r="U833">
        <f t="shared" si="60"/>
        <v>98372</v>
      </c>
      <c r="V833" t="str">
        <f t="shared" si="61"/>
        <v>Excellent</v>
      </c>
      <c r="W833" t="str">
        <f t="shared" si="62"/>
        <v>Normal</v>
      </c>
      <c r="X833" t="str">
        <f t="shared" si="63"/>
        <v>Mid</v>
      </c>
      <c r="Y833" t="str">
        <f t="shared" si="64"/>
        <v>35-44</v>
      </c>
    </row>
    <row r="834" spans="1:25" x14ac:dyDescent="0.3">
      <c r="A834">
        <v>1833</v>
      </c>
      <c r="B834" t="s">
        <v>85</v>
      </c>
      <c r="C834" t="s">
        <v>37</v>
      </c>
      <c r="D834">
        <v>24</v>
      </c>
      <c r="E834" t="s">
        <v>62</v>
      </c>
      <c r="F834" t="s">
        <v>63</v>
      </c>
      <c r="G834" t="s">
        <v>64</v>
      </c>
      <c r="H834" t="s">
        <v>809</v>
      </c>
      <c r="I834">
        <v>5</v>
      </c>
      <c r="J834">
        <v>82592</v>
      </c>
      <c r="K834">
        <v>3.2</v>
      </c>
      <c r="L834">
        <v>87.7</v>
      </c>
      <c r="M834">
        <v>17</v>
      </c>
      <c r="N834">
        <v>57</v>
      </c>
      <c r="O834">
        <v>12907</v>
      </c>
      <c r="P834" t="s">
        <v>26</v>
      </c>
      <c r="Q834" t="s">
        <v>48</v>
      </c>
      <c r="R834" t="s">
        <v>28</v>
      </c>
      <c r="S834" t="s">
        <v>29</v>
      </c>
      <c r="T834" t="s">
        <v>35</v>
      </c>
      <c r="U834">
        <f t="shared" si="60"/>
        <v>95499</v>
      </c>
      <c r="V834" t="str">
        <f t="shared" si="61"/>
        <v>Needs Improvement</v>
      </c>
      <c r="W834" t="str">
        <f t="shared" si="62"/>
        <v>Normal</v>
      </c>
      <c r="X834" t="str">
        <f t="shared" si="63"/>
        <v>Mid</v>
      </c>
      <c r="Y834" t="str">
        <f t="shared" si="64"/>
        <v>20-24</v>
      </c>
    </row>
    <row r="835" spans="1:25" x14ac:dyDescent="0.3">
      <c r="A835">
        <v>1834</v>
      </c>
      <c r="B835" t="s">
        <v>178</v>
      </c>
      <c r="C835" t="s">
        <v>21</v>
      </c>
      <c r="D835">
        <v>42</v>
      </c>
      <c r="E835" t="s">
        <v>55</v>
      </c>
      <c r="F835" t="s">
        <v>79</v>
      </c>
      <c r="G835" t="s">
        <v>24</v>
      </c>
      <c r="H835" t="s">
        <v>653</v>
      </c>
      <c r="I835">
        <v>2</v>
      </c>
      <c r="J835">
        <v>41728</v>
      </c>
      <c r="K835">
        <v>3.4</v>
      </c>
      <c r="L835">
        <v>94.4</v>
      </c>
      <c r="M835">
        <v>3</v>
      </c>
      <c r="N835">
        <v>41</v>
      </c>
      <c r="O835">
        <v>5455</v>
      </c>
      <c r="P835" t="s">
        <v>47</v>
      </c>
      <c r="Q835" t="s">
        <v>27</v>
      </c>
      <c r="R835" t="s">
        <v>28</v>
      </c>
      <c r="S835" t="s">
        <v>34</v>
      </c>
      <c r="T835" t="s">
        <v>30</v>
      </c>
      <c r="U835">
        <f t="shared" ref="U835:U898" si="65">J835+O835</f>
        <v>47183</v>
      </c>
      <c r="V835" t="str">
        <f t="shared" ref="V835:V898" si="66">IF(L835&gt;=95,"Excellent","Needs Improvement")</f>
        <v>Needs Improvement</v>
      </c>
      <c r="W835" t="str">
        <f t="shared" ref="W835:W898" si="67">IF(M835&gt;20,"High","Normal")</f>
        <v>Normal</v>
      </c>
      <c r="X835" t="str">
        <f t="shared" ref="X835:X898" si="68">IF(I835&lt;3,"Junior",IF(I835&lt;7,"Mid","Senior"))</f>
        <v>Junior</v>
      </c>
      <c r="Y835" t="str">
        <f t="shared" ref="Y835:Y898" si="69">IF(D835&lt;25,"20-24",IF(D835&lt;35,"25-34",IF(D835&lt;45,"35-44","45+")))</f>
        <v>35-44</v>
      </c>
    </row>
    <row r="836" spans="1:25" x14ac:dyDescent="0.3">
      <c r="A836">
        <v>1835</v>
      </c>
      <c r="B836" t="s">
        <v>148</v>
      </c>
      <c r="C836" t="s">
        <v>37</v>
      </c>
      <c r="D836">
        <v>30</v>
      </c>
      <c r="E836" t="s">
        <v>55</v>
      </c>
      <c r="F836" t="s">
        <v>79</v>
      </c>
      <c r="G836" t="s">
        <v>24</v>
      </c>
      <c r="H836" t="s">
        <v>810</v>
      </c>
      <c r="I836">
        <v>4</v>
      </c>
      <c r="J836">
        <v>77777</v>
      </c>
      <c r="K836">
        <v>2.6</v>
      </c>
      <c r="L836">
        <v>90.2</v>
      </c>
      <c r="M836">
        <v>25</v>
      </c>
      <c r="N836">
        <v>50</v>
      </c>
      <c r="O836">
        <v>9090</v>
      </c>
      <c r="P836" t="s">
        <v>26</v>
      </c>
      <c r="Q836" t="s">
        <v>27</v>
      </c>
      <c r="R836" t="s">
        <v>42</v>
      </c>
      <c r="S836" t="s">
        <v>29</v>
      </c>
      <c r="T836" t="s">
        <v>35</v>
      </c>
      <c r="U836">
        <f t="shared" si="65"/>
        <v>86867</v>
      </c>
      <c r="V836" t="str">
        <f t="shared" si="66"/>
        <v>Needs Improvement</v>
      </c>
      <c r="W836" t="str">
        <f t="shared" si="67"/>
        <v>High</v>
      </c>
      <c r="X836" t="str">
        <f t="shared" si="68"/>
        <v>Mid</v>
      </c>
      <c r="Y836" t="str">
        <f t="shared" si="69"/>
        <v>25-34</v>
      </c>
    </row>
    <row r="837" spans="1:25" x14ac:dyDescent="0.3">
      <c r="A837">
        <v>1836</v>
      </c>
      <c r="B837" t="s">
        <v>178</v>
      </c>
      <c r="C837" t="s">
        <v>37</v>
      </c>
      <c r="D837">
        <v>45</v>
      </c>
      <c r="E837" t="s">
        <v>55</v>
      </c>
      <c r="F837" t="s">
        <v>79</v>
      </c>
      <c r="G837" t="s">
        <v>64</v>
      </c>
      <c r="H837" t="s">
        <v>811</v>
      </c>
      <c r="I837">
        <v>2</v>
      </c>
      <c r="J837">
        <v>42957</v>
      </c>
      <c r="K837">
        <v>2.6</v>
      </c>
      <c r="L837">
        <v>97.1</v>
      </c>
      <c r="M837">
        <v>0</v>
      </c>
      <c r="N837">
        <v>56</v>
      </c>
      <c r="O837">
        <v>5038</v>
      </c>
      <c r="P837" t="s">
        <v>53</v>
      </c>
      <c r="Q837" t="s">
        <v>48</v>
      </c>
      <c r="R837" t="s">
        <v>42</v>
      </c>
      <c r="S837" t="s">
        <v>34</v>
      </c>
      <c r="T837" t="s">
        <v>30</v>
      </c>
      <c r="U837">
        <f t="shared" si="65"/>
        <v>47995</v>
      </c>
      <c r="V837" t="str">
        <f t="shared" si="66"/>
        <v>Excellent</v>
      </c>
      <c r="W837" t="str">
        <f t="shared" si="67"/>
        <v>Normal</v>
      </c>
      <c r="X837" t="str">
        <f t="shared" si="68"/>
        <v>Junior</v>
      </c>
      <c r="Y837" t="str">
        <f t="shared" si="69"/>
        <v>45+</v>
      </c>
    </row>
    <row r="838" spans="1:25" x14ac:dyDescent="0.3">
      <c r="A838">
        <v>1837</v>
      </c>
      <c r="B838" t="s">
        <v>20</v>
      </c>
      <c r="C838" t="s">
        <v>21</v>
      </c>
      <c r="D838">
        <v>27</v>
      </c>
      <c r="E838" t="s">
        <v>91</v>
      </c>
      <c r="F838" t="s">
        <v>101</v>
      </c>
      <c r="G838" t="s">
        <v>64</v>
      </c>
      <c r="H838" t="s">
        <v>508</v>
      </c>
      <c r="I838">
        <v>3</v>
      </c>
      <c r="J838">
        <v>47143</v>
      </c>
      <c r="K838">
        <v>4.2</v>
      </c>
      <c r="L838">
        <v>92.1</v>
      </c>
      <c r="M838">
        <v>13</v>
      </c>
      <c r="N838">
        <v>59</v>
      </c>
      <c r="O838">
        <v>9354</v>
      </c>
      <c r="P838" t="s">
        <v>33</v>
      </c>
      <c r="Q838" t="s">
        <v>48</v>
      </c>
      <c r="R838" t="s">
        <v>58</v>
      </c>
      <c r="S838" t="s">
        <v>34</v>
      </c>
      <c r="T838" t="s">
        <v>35</v>
      </c>
      <c r="U838">
        <f t="shared" si="65"/>
        <v>56497</v>
      </c>
      <c r="V838" t="str">
        <f t="shared" si="66"/>
        <v>Needs Improvement</v>
      </c>
      <c r="W838" t="str">
        <f t="shared" si="67"/>
        <v>Normal</v>
      </c>
      <c r="X838" t="str">
        <f t="shared" si="68"/>
        <v>Mid</v>
      </c>
      <c r="Y838" t="str">
        <f t="shared" si="69"/>
        <v>25-34</v>
      </c>
    </row>
    <row r="839" spans="1:25" x14ac:dyDescent="0.3">
      <c r="A839">
        <v>1838</v>
      </c>
      <c r="B839" t="s">
        <v>68</v>
      </c>
      <c r="C839" t="s">
        <v>21</v>
      </c>
      <c r="D839">
        <v>42</v>
      </c>
      <c r="E839" t="s">
        <v>22</v>
      </c>
      <c r="F839" t="s">
        <v>66</v>
      </c>
      <c r="G839" t="s">
        <v>24</v>
      </c>
      <c r="H839" t="s">
        <v>812</v>
      </c>
      <c r="I839">
        <v>3</v>
      </c>
      <c r="J839">
        <v>88056</v>
      </c>
      <c r="K839">
        <v>4.0999999999999996</v>
      </c>
      <c r="L839">
        <v>95.1</v>
      </c>
      <c r="M839">
        <v>23</v>
      </c>
      <c r="N839">
        <v>60</v>
      </c>
      <c r="O839">
        <v>14583</v>
      </c>
      <c r="P839" t="s">
        <v>33</v>
      </c>
      <c r="Q839" t="s">
        <v>48</v>
      </c>
      <c r="R839" t="s">
        <v>58</v>
      </c>
      <c r="S839" t="s">
        <v>29</v>
      </c>
      <c r="T839" t="s">
        <v>35</v>
      </c>
      <c r="U839">
        <f t="shared" si="65"/>
        <v>102639</v>
      </c>
      <c r="V839" t="str">
        <f t="shared" si="66"/>
        <v>Excellent</v>
      </c>
      <c r="W839" t="str">
        <f t="shared" si="67"/>
        <v>High</v>
      </c>
      <c r="X839" t="str">
        <f t="shared" si="68"/>
        <v>Mid</v>
      </c>
      <c r="Y839" t="str">
        <f t="shared" si="69"/>
        <v>35-44</v>
      </c>
    </row>
    <row r="840" spans="1:25" x14ac:dyDescent="0.3">
      <c r="A840">
        <v>1839</v>
      </c>
      <c r="B840" t="s">
        <v>68</v>
      </c>
      <c r="C840" t="s">
        <v>21</v>
      </c>
      <c r="D840">
        <v>34</v>
      </c>
      <c r="E840" t="s">
        <v>38</v>
      </c>
      <c r="F840" t="s">
        <v>39</v>
      </c>
      <c r="G840" t="s">
        <v>24</v>
      </c>
      <c r="H840" t="s">
        <v>813</v>
      </c>
      <c r="I840">
        <v>0</v>
      </c>
      <c r="J840">
        <v>45891</v>
      </c>
      <c r="K840">
        <v>3.1</v>
      </c>
      <c r="L840">
        <v>93</v>
      </c>
      <c r="M840">
        <v>22</v>
      </c>
      <c r="N840">
        <v>42</v>
      </c>
      <c r="O840">
        <v>8272</v>
      </c>
      <c r="P840" t="s">
        <v>47</v>
      </c>
      <c r="Q840" t="s">
        <v>27</v>
      </c>
      <c r="R840" t="s">
        <v>28</v>
      </c>
      <c r="S840" t="s">
        <v>34</v>
      </c>
      <c r="T840" t="s">
        <v>30</v>
      </c>
      <c r="U840">
        <f t="shared" si="65"/>
        <v>54163</v>
      </c>
      <c r="V840" t="str">
        <f t="shared" si="66"/>
        <v>Needs Improvement</v>
      </c>
      <c r="W840" t="str">
        <f t="shared" si="67"/>
        <v>High</v>
      </c>
      <c r="X840" t="str">
        <f t="shared" si="68"/>
        <v>Junior</v>
      </c>
      <c r="Y840" t="str">
        <f t="shared" si="69"/>
        <v>25-34</v>
      </c>
    </row>
    <row r="841" spans="1:25" x14ac:dyDescent="0.3">
      <c r="A841">
        <v>1840</v>
      </c>
      <c r="B841" t="s">
        <v>61</v>
      </c>
      <c r="C841" t="s">
        <v>37</v>
      </c>
      <c r="D841">
        <v>39</v>
      </c>
      <c r="E841" t="s">
        <v>38</v>
      </c>
      <c r="F841" t="s">
        <v>39</v>
      </c>
      <c r="G841" t="s">
        <v>59</v>
      </c>
      <c r="H841" t="s">
        <v>814</v>
      </c>
      <c r="I841">
        <v>9</v>
      </c>
      <c r="J841">
        <v>80672</v>
      </c>
      <c r="K841">
        <v>2.7</v>
      </c>
      <c r="L841">
        <v>98.5</v>
      </c>
      <c r="M841">
        <v>14</v>
      </c>
      <c r="N841">
        <v>23</v>
      </c>
      <c r="O841">
        <v>5626</v>
      </c>
      <c r="P841" t="s">
        <v>33</v>
      </c>
      <c r="Q841" t="s">
        <v>48</v>
      </c>
      <c r="R841" t="s">
        <v>42</v>
      </c>
      <c r="S841" t="s">
        <v>29</v>
      </c>
      <c r="T841" t="s">
        <v>50</v>
      </c>
      <c r="U841">
        <f t="shared" si="65"/>
        <v>86298</v>
      </c>
      <c r="V841" t="str">
        <f t="shared" si="66"/>
        <v>Excellent</v>
      </c>
      <c r="W841" t="str">
        <f t="shared" si="67"/>
        <v>Normal</v>
      </c>
      <c r="X841" t="str">
        <f t="shared" si="68"/>
        <v>Senior</v>
      </c>
      <c r="Y841" t="str">
        <f t="shared" si="69"/>
        <v>35-44</v>
      </c>
    </row>
    <row r="842" spans="1:25" x14ac:dyDescent="0.3">
      <c r="A842">
        <v>1841</v>
      </c>
      <c r="B842" t="s">
        <v>71</v>
      </c>
      <c r="C842" t="s">
        <v>21</v>
      </c>
      <c r="D842">
        <v>40</v>
      </c>
      <c r="E842" t="s">
        <v>38</v>
      </c>
      <c r="F842" t="s">
        <v>39</v>
      </c>
      <c r="G842" t="s">
        <v>24</v>
      </c>
      <c r="H842" t="s">
        <v>259</v>
      </c>
      <c r="I842">
        <v>8</v>
      </c>
      <c r="J842">
        <v>93429</v>
      </c>
      <c r="K842">
        <v>3.2</v>
      </c>
      <c r="L842">
        <v>94.8</v>
      </c>
      <c r="M842">
        <v>4</v>
      </c>
      <c r="N842">
        <v>45</v>
      </c>
      <c r="O842">
        <v>9286</v>
      </c>
      <c r="P842" t="s">
        <v>26</v>
      </c>
      <c r="Q842" t="s">
        <v>48</v>
      </c>
      <c r="R842" t="s">
        <v>28</v>
      </c>
      <c r="S842" t="s">
        <v>29</v>
      </c>
      <c r="T842" t="s">
        <v>50</v>
      </c>
      <c r="U842">
        <f t="shared" si="65"/>
        <v>102715</v>
      </c>
      <c r="V842" t="str">
        <f t="shared" si="66"/>
        <v>Needs Improvement</v>
      </c>
      <c r="W842" t="str">
        <f t="shared" si="67"/>
        <v>Normal</v>
      </c>
      <c r="X842" t="str">
        <f t="shared" si="68"/>
        <v>Senior</v>
      </c>
      <c r="Y842" t="str">
        <f t="shared" si="69"/>
        <v>35-44</v>
      </c>
    </row>
    <row r="843" spans="1:25" x14ac:dyDescent="0.3">
      <c r="A843">
        <v>1842</v>
      </c>
      <c r="B843" t="s">
        <v>99</v>
      </c>
      <c r="C843" t="s">
        <v>21</v>
      </c>
      <c r="D843">
        <v>35</v>
      </c>
      <c r="E843" t="s">
        <v>38</v>
      </c>
      <c r="F843" t="s">
        <v>44</v>
      </c>
      <c r="G843" t="s">
        <v>24</v>
      </c>
      <c r="H843" t="s">
        <v>815</v>
      </c>
      <c r="I843">
        <v>0</v>
      </c>
      <c r="J843">
        <v>66842</v>
      </c>
      <c r="K843">
        <v>4.9000000000000004</v>
      </c>
      <c r="L843">
        <v>88.3</v>
      </c>
      <c r="M843">
        <v>3</v>
      </c>
      <c r="N843">
        <v>44</v>
      </c>
      <c r="O843">
        <v>4309</v>
      </c>
      <c r="P843" t="s">
        <v>41</v>
      </c>
      <c r="Q843" t="s">
        <v>27</v>
      </c>
      <c r="R843" t="s">
        <v>70</v>
      </c>
      <c r="S843" t="s">
        <v>49</v>
      </c>
      <c r="T843" t="s">
        <v>30</v>
      </c>
      <c r="U843">
        <f t="shared" si="65"/>
        <v>71151</v>
      </c>
      <c r="V843" t="str">
        <f t="shared" si="66"/>
        <v>Needs Improvement</v>
      </c>
      <c r="W843" t="str">
        <f t="shared" si="67"/>
        <v>Normal</v>
      </c>
      <c r="X843" t="str">
        <f t="shared" si="68"/>
        <v>Junior</v>
      </c>
      <c r="Y843" t="str">
        <f t="shared" si="69"/>
        <v>35-44</v>
      </c>
    </row>
    <row r="844" spans="1:25" x14ac:dyDescent="0.3">
      <c r="A844">
        <v>1843</v>
      </c>
      <c r="B844" t="s">
        <v>121</v>
      </c>
      <c r="C844" t="s">
        <v>37</v>
      </c>
      <c r="D844">
        <v>44</v>
      </c>
      <c r="E844" t="s">
        <v>38</v>
      </c>
      <c r="F844" t="s">
        <v>44</v>
      </c>
      <c r="G844" t="s">
        <v>24</v>
      </c>
      <c r="H844" t="s">
        <v>816</v>
      </c>
      <c r="I844">
        <v>10</v>
      </c>
      <c r="J844">
        <v>67329</v>
      </c>
      <c r="K844">
        <v>4</v>
      </c>
      <c r="L844">
        <v>83.3</v>
      </c>
      <c r="M844">
        <v>1</v>
      </c>
      <c r="N844">
        <v>15</v>
      </c>
      <c r="O844">
        <v>8269</v>
      </c>
      <c r="P844" t="s">
        <v>47</v>
      </c>
      <c r="Q844" t="s">
        <v>27</v>
      </c>
      <c r="R844" t="s">
        <v>58</v>
      </c>
      <c r="S844" t="s">
        <v>49</v>
      </c>
      <c r="T844" t="s">
        <v>50</v>
      </c>
      <c r="U844">
        <f t="shared" si="65"/>
        <v>75598</v>
      </c>
      <c r="V844" t="str">
        <f t="shared" si="66"/>
        <v>Needs Improvement</v>
      </c>
      <c r="W844" t="str">
        <f t="shared" si="67"/>
        <v>Normal</v>
      </c>
      <c r="X844" t="str">
        <f t="shared" si="68"/>
        <v>Senior</v>
      </c>
      <c r="Y844" t="str">
        <f t="shared" si="69"/>
        <v>35-44</v>
      </c>
    </row>
    <row r="845" spans="1:25" x14ac:dyDescent="0.3">
      <c r="A845">
        <v>1844</v>
      </c>
      <c r="B845" t="s">
        <v>31</v>
      </c>
      <c r="C845" t="s">
        <v>37</v>
      </c>
      <c r="D845">
        <v>24</v>
      </c>
      <c r="E845" t="s">
        <v>55</v>
      </c>
      <c r="F845" t="s">
        <v>56</v>
      </c>
      <c r="G845" t="s">
        <v>59</v>
      </c>
      <c r="H845" t="s">
        <v>817</v>
      </c>
      <c r="I845">
        <v>6</v>
      </c>
      <c r="J845">
        <v>37353</v>
      </c>
      <c r="K845">
        <v>3.1</v>
      </c>
      <c r="L845">
        <v>94</v>
      </c>
      <c r="M845">
        <v>11</v>
      </c>
      <c r="N845">
        <v>10</v>
      </c>
      <c r="O845">
        <v>14128</v>
      </c>
      <c r="P845" t="s">
        <v>33</v>
      </c>
      <c r="Q845" t="s">
        <v>48</v>
      </c>
      <c r="R845" t="s">
        <v>28</v>
      </c>
      <c r="S845" t="s">
        <v>34</v>
      </c>
      <c r="T845" t="s">
        <v>50</v>
      </c>
      <c r="U845">
        <f t="shared" si="65"/>
        <v>51481</v>
      </c>
      <c r="V845" t="str">
        <f t="shared" si="66"/>
        <v>Needs Improvement</v>
      </c>
      <c r="W845" t="str">
        <f t="shared" si="67"/>
        <v>Normal</v>
      </c>
      <c r="X845" t="str">
        <f t="shared" si="68"/>
        <v>Mid</v>
      </c>
      <c r="Y845" t="str">
        <f t="shared" si="69"/>
        <v>20-24</v>
      </c>
    </row>
    <row r="846" spans="1:25" x14ac:dyDescent="0.3">
      <c r="A846">
        <v>1845</v>
      </c>
      <c r="B846" t="s">
        <v>83</v>
      </c>
      <c r="C846" t="s">
        <v>21</v>
      </c>
      <c r="D846">
        <v>23</v>
      </c>
      <c r="E846" t="s">
        <v>62</v>
      </c>
      <c r="F846" t="s">
        <v>63</v>
      </c>
      <c r="G846" t="s">
        <v>64</v>
      </c>
      <c r="H846" t="s">
        <v>497</v>
      </c>
      <c r="I846">
        <v>3</v>
      </c>
      <c r="J846">
        <v>60754</v>
      </c>
      <c r="K846">
        <v>3.5</v>
      </c>
      <c r="L846">
        <v>83.3</v>
      </c>
      <c r="M846">
        <v>0</v>
      </c>
      <c r="N846">
        <v>50</v>
      </c>
      <c r="O846">
        <v>14137</v>
      </c>
      <c r="P846" t="s">
        <v>53</v>
      </c>
      <c r="Q846" t="s">
        <v>48</v>
      </c>
      <c r="R846" t="s">
        <v>28</v>
      </c>
      <c r="S846" t="s">
        <v>49</v>
      </c>
      <c r="T846" t="s">
        <v>35</v>
      </c>
      <c r="U846">
        <f t="shared" si="65"/>
        <v>74891</v>
      </c>
      <c r="V846" t="str">
        <f t="shared" si="66"/>
        <v>Needs Improvement</v>
      </c>
      <c r="W846" t="str">
        <f t="shared" si="67"/>
        <v>Normal</v>
      </c>
      <c r="X846" t="str">
        <f t="shared" si="68"/>
        <v>Mid</v>
      </c>
      <c r="Y846" t="str">
        <f t="shared" si="69"/>
        <v>20-24</v>
      </c>
    </row>
    <row r="847" spans="1:25" x14ac:dyDescent="0.3">
      <c r="A847">
        <v>1846</v>
      </c>
      <c r="B847" t="s">
        <v>73</v>
      </c>
      <c r="C847" t="s">
        <v>21</v>
      </c>
      <c r="D847">
        <v>33</v>
      </c>
      <c r="E847" t="s">
        <v>62</v>
      </c>
      <c r="F847" t="s">
        <v>63</v>
      </c>
      <c r="G847" t="s">
        <v>24</v>
      </c>
      <c r="H847" t="s">
        <v>247</v>
      </c>
      <c r="I847">
        <v>3</v>
      </c>
      <c r="J847">
        <v>81658</v>
      </c>
      <c r="K847">
        <v>3.6</v>
      </c>
      <c r="L847">
        <v>88.4</v>
      </c>
      <c r="M847">
        <v>10</v>
      </c>
      <c r="N847">
        <v>29</v>
      </c>
      <c r="O847">
        <v>6031</v>
      </c>
      <c r="P847" t="s">
        <v>33</v>
      </c>
      <c r="Q847" t="s">
        <v>27</v>
      </c>
      <c r="R847" t="s">
        <v>28</v>
      </c>
      <c r="S847" t="s">
        <v>29</v>
      </c>
      <c r="T847" t="s">
        <v>35</v>
      </c>
      <c r="U847">
        <f t="shared" si="65"/>
        <v>87689</v>
      </c>
      <c r="V847" t="str">
        <f t="shared" si="66"/>
        <v>Needs Improvement</v>
      </c>
      <c r="W847" t="str">
        <f t="shared" si="67"/>
        <v>Normal</v>
      </c>
      <c r="X847" t="str">
        <f t="shared" si="68"/>
        <v>Mid</v>
      </c>
      <c r="Y847" t="str">
        <f t="shared" si="69"/>
        <v>25-34</v>
      </c>
    </row>
    <row r="848" spans="1:25" x14ac:dyDescent="0.3">
      <c r="A848">
        <v>1847</v>
      </c>
      <c r="B848" t="s">
        <v>85</v>
      </c>
      <c r="C848" t="s">
        <v>21</v>
      </c>
      <c r="D848">
        <v>32</v>
      </c>
      <c r="E848" t="s">
        <v>62</v>
      </c>
      <c r="F848" t="s">
        <v>63</v>
      </c>
      <c r="G848" t="s">
        <v>45</v>
      </c>
      <c r="H848" t="s">
        <v>818</v>
      </c>
      <c r="I848">
        <v>0</v>
      </c>
      <c r="J848">
        <v>40106</v>
      </c>
      <c r="K848">
        <v>4</v>
      </c>
      <c r="L848">
        <v>95.1</v>
      </c>
      <c r="M848">
        <v>5</v>
      </c>
      <c r="N848">
        <v>18</v>
      </c>
      <c r="O848">
        <v>2226</v>
      </c>
      <c r="P848" t="s">
        <v>47</v>
      </c>
      <c r="Q848" t="s">
        <v>27</v>
      </c>
      <c r="R848" t="s">
        <v>58</v>
      </c>
      <c r="S848" t="s">
        <v>34</v>
      </c>
      <c r="T848" t="s">
        <v>30</v>
      </c>
      <c r="U848">
        <f t="shared" si="65"/>
        <v>42332</v>
      </c>
      <c r="V848" t="str">
        <f t="shared" si="66"/>
        <v>Excellent</v>
      </c>
      <c r="W848" t="str">
        <f t="shared" si="67"/>
        <v>Normal</v>
      </c>
      <c r="X848" t="str">
        <f t="shared" si="68"/>
        <v>Junior</v>
      </c>
      <c r="Y848" t="str">
        <f t="shared" si="69"/>
        <v>25-34</v>
      </c>
    </row>
    <row r="849" spans="1:25" x14ac:dyDescent="0.3">
      <c r="A849">
        <v>1848</v>
      </c>
      <c r="B849" t="s">
        <v>73</v>
      </c>
      <c r="C849" t="s">
        <v>21</v>
      </c>
      <c r="D849">
        <v>37</v>
      </c>
      <c r="E849" t="s">
        <v>55</v>
      </c>
      <c r="F849" t="s">
        <v>56</v>
      </c>
      <c r="G849" t="s">
        <v>24</v>
      </c>
      <c r="H849" t="s">
        <v>718</v>
      </c>
      <c r="I849">
        <v>3</v>
      </c>
      <c r="J849">
        <v>65902</v>
      </c>
      <c r="K849">
        <v>3.8</v>
      </c>
      <c r="L849">
        <v>98.1</v>
      </c>
      <c r="M849">
        <v>14</v>
      </c>
      <c r="N849">
        <v>29</v>
      </c>
      <c r="O849">
        <v>7811</v>
      </c>
      <c r="P849" t="s">
        <v>26</v>
      </c>
      <c r="Q849" t="s">
        <v>27</v>
      </c>
      <c r="R849" t="s">
        <v>28</v>
      </c>
      <c r="S849" t="s">
        <v>49</v>
      </c>
      <c r="T849" t="s">
        <v>35</v>
      </c>
      <c r="U849">
        <f t="shared" si="65"/>
        <v>73713</v>
      </c>
      <c r="V849" t="str">
        <f t="shared" si="66"/>
        <v>Excellent</v>
      </c>
      <c r="W849" t="str">
        <f t="shared" si="67"/>
        <v>Normal</v>
      </c>
      <c r="X849" t="str">
        <f t="shared" si="68"/>
        <v>Mid</v>
      </c>
      <c r="Y849" t="str">
        <f t="shared" si="69"/>
        <v>35-44</v>
      </c>
    </row>
    <row r="850" spans="1:25" x14ac:dyDescent="0.3">
      <c r="A850">
        <v>1849</v>
      </c>
      <c r="B850" t="s">
        <v>178</v>
      </c>
      <c r="C850" t="s">
        <v>21</v>
      </c>
      <c r="D850">
        <v>26</v>
      </c>
      <c r="E850" t="s">
        <v>38</v>
      </c>
      <c r="F850" t="s">
        <v>39</v>
      </c>
      <c r="G850" t="s">
        <v>64</v>
      </c>
      <c r="H850" t="s">
        <v>819</v>
      </c>
      <c r="I850">
        <v>2</v>
      </c>
      <c r="J850">
        <v>44981</v>
      </c>
      <c r="K850">
        <v>3.4</v>
      </c>
      <c r="L850">
        <v>86.8</v>
      </c>
      <c r="M850">
        <v>8</v>
      </c>
      <c r="N850">
        <v>29</v>
      </c>
      <c r="O850">
        <v>5388</v>
      </c>
      <c r="P850" t="s">
        <v>41</v>
      </c>
      <c r="Q850" t="s">
        <v>48</v>
      </c>
      <c r="R850" t="s">
        <v>28</v>
      </c>
      <c r="S850" t="s">
        <v>34</v>
      </c>
      <c r="T850" t="s">
        <v>30</v>
      </c>
      <c r="U850">
        <f t="shared" si="65"/>
        <v>50369</v>
      </c>
      <c r="V850" t="str">
        <f t="shared" si="66"/>
        <v>Needs Improvement</v>
      </c>
      <c r="W850" t="str">
        <f t="shared" si="67"/>
        <v>Normal</v>
      </c>
      <c r="X850" t="str">
        <f t="shared" si="68"/>
        <v>Junior</v>
      </c>
      <c r="Y850" t="str">
        <f t="shared" si="69"/>
        <v>25-34</v>
      </c>
    </row>
    <row r="851" spans="1:25" x14ac:dyDescent="0.3">
      <c r="A851">
        <v>1850</v>
      </c>
      <c r="B851" t="s">
        <v>99</v>
      </c>
      <c r="C851" t="s">
        <v>21</v>
      </c>
      <c r="D851">
        <v>36</v>
      </c>
      <c r="E851" t="s">
        <v>22</v>
      </c>
      <c r="F851" t="s">
        <v>23</v>
      </c>
      <c r="G851" t="s">
        <v>64</v>
      </c>
      <c r="H851" t="s">
        <v>526</v>
      </c>
      <c r="I851">
        <v>4</v>
      </c>
      <c r="J851">
        <v>41393</v>
      </c>
      <c r="K851">
        <v>4.0999999999999996</v>
      </c>
      <c r="L851">
        <v>83.8</v>
      </c>
      <c r="M851">
        <v>9</v>
      </c>
      <c r="N851">
        <v>33</v>
      </c>
      <c r="O851">
        <v>12777</v>
      </c>
      <c r="P851" t="s">
        <v>26</v>
      </c>
      <c r="Q851" t="s">
        <v>27</v>
      </c>
      <c r="R851" t="s">
        <v>58</v>
      </c>
      <c r="S851" t="s">
        <v>34</v>
      </c>
      <c r="T851" t="s">
        <v>35</v>
      </c>
      <c r="U851">
        <f t="shared" si="65"/>
        <v>54170</v>
      </c>
      <c r="V851" t="str">
        <f t="shared" si="66"/>
        <v>Needs Improvement</v>
      </c>
      <c r="W851" t="str">
        <f t="shared" si="67"/>
        <v>Normal</v>
      </c>
      <c r="X851" t="str">
        <f t="shared" si="68"/>
        <v>Mid</v>
      </c>
      <c r="Y851" t="str">
        <f t="shared" si="69"/>
        <v>35-44</v>
      </c>
    </row>
    <row r="852" spans="1:25" x14ac:dyDescent="0.3">
      <c r="A852">
        <v>1851</v>
      </c>
      <c r="B852" t="s">
        <v>78</v>
      </c>
      <c r="C852" t="s">
        <v>37</v>
      </c>
      <c r="D852">
        <v>36</v>
      </c>
      <c r="E852" t="s">
        <v>38</v>
      </c>
      <c r="F852" t="s">
        <v>39</v>
      </c>
      <c r="G852" t="s">
        <v>51</v>
      </c>
      <c r="H852" t="s">
        <v>820</v>
      </c>
      <c r="I852">
        <v>10</v>
      </c>
      <c r="J852">
        <v>37907</v>
      </c>
      <c r="K852">
        <v>3.2</v>
      </c>
      <c r="L852">
        <v>83.2</v>
      </c>
      <c r="M852">
        <v>13</v>
      </c>
      <c r="N852">
        <v>54</v>
      </c>
      <c r="O852">
        <v>3908</v>
      </c>
      <c r="P852" t="s">
        <v>26</v>
      </c>
      <c r="Q852" t="s">
        <v>48</v>
      </c>
      <c r="R852" t="s">
        <v>28</v>
      </c>
      <c r="S852" t="s">
        <v>34</v>
      </c>
      <c r="T852" t="s">
        <v>50</v>
      </c>
      <c r="U852">
        <f t="shared" si="65"/>
        <v>41815</v>
      </c>
      <c r="V852" t="str">
        <f t="shared" si="66"/>
        <v>Needs Improvement</v>
      </c>
      <c r="W852" t="str">
        <f t="shared" si="67"/>
        <v>Normal</v>
      </c>
      <c r="X852" t="str">
        <f t="shared" si="68"/>
        <v>Senior</v>
      </c>
      <c r="Y852" t="str">
        <f t="shared" si="69"/>
        <v>35-44</v>
      </c>
    </row>
    <row r="853" spans="1:25" x14ac:dyDescent="0.3">
      <c r="A853">
        <v>1852</v>
      </c>
      <c r="B853" t="s">
        <v>148</v>
      </c>
      <c r="C853" t="s">
        <v>21</v>
      </c>
      <c r="D853">
        <v>22</v>
      </c>
      <c r="E853" t="s">
        <v>22</v>
      </c>
      <c r="F853" t="s">
        <v>66</v>
      </c>
      <c r="G853" t="s">
        <v>64</v>
      </c>
      <c r="H853" t="s">
        <v>821</v>
      </c>
      <c r="I853">
        <v>2</v>
      </c>
      <c r="J853">
        <v>69571</v>
      </c>
      <c r="K853">
        <v>4.4000000000000004</v>
      </c>
      <c r="L853">
        <v>86.5</v>
      </c>
      <c r="M853">
        <v>5</v>
      </c>
      <c r="N853">
        <v>5</v>
      </c>
      <c r="O853">
        <v>5282</v>
      </c>
      <c r="P853" t="s">
        <v>47</v>
      </c>
      <c r="Q853" t="s">
        <v>48</v>
      </c>
      <c r="R853" t="s">
        <v>58</v>
      </c>
      <c r="S853" t="s">
        <v>49</v>
      </c>
      <c r="T853" t="s">
        <v>30</v>
      </c>
      <c r="U853">
        <f t="shared" si="65"/>
        <v>74853</v>
      </c>
      <c r="V853" t="str">
        <f t="shared" si="66"/>
        <v>Needs Improvement</v>
      </c>
      <c r="W853" t="str">
        <f t="shared" si="67"/>
        <v>Normal</v>
      </c>
      <c r="X853" t="str">
        <f t="shared" si="68"/>
        <v>Junior</v>
      </c>
      <c r="Y853" t="str">
        <f t="shared" si="69"/>
        <v>20-24</v>
      </c>
    </row>
    <row r="854" spans="1:25" x14ac:dyDescent="0.3">
      <c r="A854">
        <v>1853</v>
      </c>
      <c r="B854" t="s">
        <v>31</v>
      </c>
      <c r="C854" t="s">
        <v>21</v>
      </c>
      <c r="D854">
        <v>25</v>
      </c>
      <c r="E854" t="s">
        <v>91</v>
      </c>
      <c r="F854" t="s">
        <v>92</v>
      </c>
      <c r="G854" t="s">
        <v>59</v>
      </c>
      <c r="H854" t="s">
        <v>822</v>
      </c>
      <c r="I854">
        <v>6</v>
      </c>
      <c r="J854">
        <v>52044</v>
      </c>
      <c r="K854">
        <v>5</v>
      </c>
      <c r="L854">
        <v>83.3</v>
      </c>
      <c r="M854">
        <v>22</v>
      </c>
      <c r="N854">
        <v>49</v>
      </c>
      <c r="O854">
        <v>3363</v>
      </c>
      <c r="P854" t="s">
        <v>26</v>
      </c>
      <c r="Q854" t="s">
        <v>48</v>
      </c>
      <c r="R854" t="s">
        <v>70</v>
      </c>
      <c r="S854" t="s">
        <v>49</v>
      </c>
      <c r="T854" t="s">
        <v>50</v>
      </c>
      <c r="U854">
        <f t="shared" si="65"/>
        <v>55407</v>
      </c>
      <c r="V854" t="str">
        <f t="shared" si="66"/>
        <v>Needs Improvement</v>
      </c>
      <c r="W854" t="str">
        <f t="shared" si="67"/>
        <v>High</v>
      </c>
      <c r="X854" t="str">
        <f t="shared" si="68"/>
        <v>Mid</v>
      </c>
      <c r="Y854" t="str">
        <f t="shared" si="69"/>
        <v>25-34</v>
      </c>
    </row>
    <row r="855" spans="1:25" x14ac:dyDescent="0.3">
      <c r="A855">
        <v>1854</v>
      </c>
      <c r="B855" t="s">
        <v>148</v>
      </c>
      <c r="C855" t="s">
        <v>37</v>
      </c>
      <c r="D855">
        <v>26</v>
      </c>
      <c r="E855" t="s">
        <v>62</v>
      </c>
      <c r="F855" t="s">
        <v>63</v>
      </c>
      <c r="G855" t="s">
        <v>51</v>
      </c>
      <c r="H855" t="s">
        <v>422</v>
      </c>
      <c r="I855">
        <v>6</v>
      </c>
      <c r="J855">
        <v>86383</v>
      </c>
      <c r="K855">
        <v>4.8</v>
      </c>
      <c r="L855">
        <v>88.1</v>
      </c>
      <c r="M855">
        <v>12</v>
      </c>
      <c r="N855">
        <v>42</v>
      </c>
      <c r="O855">
        <v>4052</v>
      </c>
      <c r="P855" t="s">
        <v>33</v>
      </c>
      <c r="Q855" t="s">
        <v>48</v>
      </c>
      <c r="R855" t="s">
        <v>70</v>
      </c>
      <c r="S855" t="s">
        <v>29</v>
      </c>
      <c r="T855" t="s">
        <v>50</v>
      </c>
      <c r="U855">
        <f t="shared" si="65"/>
        <v>90435</v>
      </c>
      <c r="V855" t="str">
        <f t="shared" si="66"/>
        <v>Needs Improvement</v>
      </c>
      <c r="W855" t="str">
        <f t="shared" si="67"/>
        <v>Normal</v>
      </c>
      <c r="X855" t="str">
        <f t="shared" si="68"/>
        <v>Mid</v>
      </c>
      <c r="Y855" t="str">
        <f t="shared" si="69"/>
        <v>25-34</v>
      </c>
    </row>
    <row r="856" spans="1:25" x14ac:dyDescent="0.3">
      <c r="A856">
        <v>1855</v>
      </c>
      <c r="B856" t="s">
        <v>75</v>
      </c>
      <c r="C856" t="s">
        <v>21</v>
      </c>
      <c r="D856">
        <v>43</v>
      </c>
      <c r="E856" t="s">
        <v>91</v>
      </c>
      <c r="F856" t="s">
        <v>101</v>
      </c>
      <c r="G856" t="s">
        <v>45</v>
      </c>
      <c r="H856" t="s">
        <v>823</v>
      </c>
      <c r="I856">
        <v>6</v>
      </c>
      <c r="J856">
        <v>60184</v>
      </c>
      <c r="K856">
        <v>2.5</v>
      </c>
      <c r="L856">
        <v>93.5</v>
      </c>
      <c r="M856">
        <v>12</v>
      </c>
      <c r="N856">
        <v>38</v>
      </c>
      <c r="O856">
        <v>12038</v>
      </c>
      <c r="P856" t="s">
        <v>47</v>
      </c>
      <c r="Q856" t="s">
        <v>27</v>
      </c>
      <c r="R856" t="s">
        <v>42</v>
      </c>
      <c r="S856" t="s">
        <v>49</v>
      </c>
      <c r="T856" t="s">
        <v>50</v>
      </c>
      <c r="U856">
        <f t="shared" si="65"/>
        <v>72222</v>
      </c>
      <c r="V856" t="str">
        <f t="shared" si="66"/>
        <v>Needs Improvement</v>
      </c>
      <c r="W856" t="str">
        <f t="shared" si="67"/>
        <v>Normal</v>
      </c>
      <c r="X856" t="str">
        <f t="shared" si="68"/>
        <v>Mid</v>
      </c>
      <c r="Y856" t="str">
        <f t="shared" si="69"/>
        <v>35-44</v>
      </c>
    </row>
    <row r="857" spans="1:25" x14ac:dyDescent="0.3">
      <c r="A857">
        <v>1856</v>
      </c>
      <c r="B857" t="s">
        <v>124</v>
      </c>
      <c r="C857" t="s">
        <v>37</v>
      </c>
      <c r="D857">
        <v>34</v>
      </c>
      <c r="E857" t="s">
        <v>38</v>
      </c>
      <c r="F857" t="s">
        <v>39</v>
      </c>
      <c r="G857" t="s">
        <v>24</v>
      </c>
      <c r="H857" t="s">
        <v>824</v>
      </c>
      <c r="I857">
        <v>2</v>
      </c>
      <c r="J857">
        <v>80478</v>
      </c>
      <c r="K857">
        <v>4.3</v>
      </c>
      <c r="L857">
        <v>82.3</v>
      </c>
      <c r="M857">
        <v>21</v>
      </c>
      <c r="N857">
        <v>26</v>
      </c>
      <c r="O857">
        <v>6873</v>
      </c>
      <c r="P857" t="s">
        <v>47</v>
      </c>
      <c r="Q857" t="s">
        <v>48</v>
      </c>
      <c r="R857" t="s">
        <v>58</v>
      </c>
      <c r="S857" t="s">
        <v>29</v>
      </c>
      <c r="T857" t="s">
        <v>30</v>
      </c>
      <c r="U857">
        <f t="shared" si="65"/>
        <v>87351</v>
      </c>
      <c r="V857" t="str">
        <f t="shared" si="66"/>
        <v>Needs Improvement</v>
      </c>
      <c r="W857" t="str">
        <f t="shared" si="67"/>
        <v>High</v>
      </c>
      <c r="X857" t="str">
        <f t="shared" si="68"/>
        <v>Junior</v>
      </c>
      <c r="Y857" t="str">
        <f t="shared" si="69"/>
        <v>25-34</v>
      </c>
    </row>
    <row r="858" spans="1:25" x14ac:dyDescent="0.3">
      <c r="A858">
        <v>1857</v>
      </c>
      <c r="B858" t="s">
        <v>178</v>
      </c>
      <c r="C858" t="s">
        <v>21</v>
      </c>
      <c r="D858">
        <v>39</v>
      </c>
      <c r="E858" t="s">
        <v>91</v>
      </c>
      <c r="F858" t="s">
        <v>92</v>
      </c>
      <c r="G858" t="s">
        <v>51</v>
      </c>
      <c r="H858" t="s">
        <v>825</v>
      </c>
      <c r="I858">
        <v>10</v>
      </c>
      <c r="J858">
        <v>41448</v>
      </c>
      <c r="K858">
        <v>4.4000000000000004</v>
      </c>
      <c r="L858">
        <v>94.4</v>
      </c>
      <c r="M858">
        <v>13</v>
      </c>
      <c r="N858">
        <v>25</v>
      </c>
      <c r="O858">
        <v>4010</v>
      </c>
      <c r="P858" t="s">
        <v>53</v>
      </c>
      <c r="Q858" t="s">
        <v>48</v>
      </c>
      <c r="R858" t="s">
        <v>58</v>
      </c>
      <c r="S858" t="s">
        <v>34</v>
      </c>
      <c r="T858" t="s">
        <v>50</v>
      </c>
      <c r="U858">
        <f t="shared" si="65"/>
        <v>45458</v>
      </c>
      <c r="V858" t="str">
        <f t="shared" si="66"/>
        <v>Needs Improvement</v>
      </c>
      <c r="W858" t="str">
        <f t="shared" si="67"/>
        <v>Normal</v>
      </c>
      <c r="X858" t="str">
        <f t="shared" si="68"/>
        <v>Senior</v>
      </c>
      <c r="Y858" t="str">
        <f t="shared" si="69"/>
        <v>35-44</v>
      </c>
    </row>
    <row r="859" spans="1:25" x14ac:dyDescent="0.3">
      <c r="A859">
        <v>1858</v>
      </c>
      <c r="B859" t="s">
        <v>31</v>
      </c>
      <c r="C859" t="s">
        <v>21</v>
      </c>
      <c r="D859">
        <v>31</v>
      </c>
      <c r="E859" t="s">
        <v>91</v>
      </c>
      <c r="F859" t="s">
        <v>101</v>
      </c>
      <c r="G859" t="s">
        <v>59</v>
      </c>
      <c r="H859" t="s">
        <v>826</v>
      </c>
      <c r="I859">
        <v>3</v>
      </c>
      <c r="J859">
        <v>85099</v>
      </c>
      <c r="K859">
        <v>3.3</v>
      </c>
      <c r="L859">
        <v>82.3</v>
      </c>
      <c r="M859">
        <v>17</v>
      </c>
      <c r="N859">
        <v>33</v>
      </c>
      <c r="O859">
        <v>9658</v>
      </c>
      <c r="P859" t="s">
        <v>26</v>
      </c>
      <c r="Q859" t="s">
        <v>48</v>
      </c>
      <c r="R859" t="s">
        <v>28</v>
      </c>
      <c r="S859" t="s">
        <v>29</v>
      </c>
      <c r="T859" t="s">
        <v>35</v>
      </c>
      <c r="U859">
        <f t="shared" si="65"/>
        <v>94757</v>
      </c>
      <c r="V859" t="str">
        <f t="shared" si="66"/>
        <v>Needs Improvement</v>
      </c>
      <c r="W859" t="str">
        <f t="shared" si="67"/>
        <v>Normal</v>
      </c>
      <c r="X859" t="str">
        <f t="shared" si="68"/>
        <v>Mid</v>
      </c>
      <c r="Y859" t="str">
        <f t="shared" si="69"/>
        <v>25-34</v>
      </c>
    </row>
    <row r="860" spans="1:25" x14ac:dyDescent="0.3">
      <c r="A860">
        <v>1859</v>
      </c>
      <c r="B860" t="s">
        <v>75</v>
      </c>
      <c r="C860" t="s">
        <v>21</v>
      </c>
      <c r="D860">
        <v>31</v>
      </c>
      <c r="E860" t="s">
        <v>55</v>
      </c>
      <c r="F860" t="s">
        <v>143</v>
      </c>
      <c r="G860" t="s">
        <v>45</v>
      </c>
      <c r="H860" t="s">
        <v>827</v>
      </c>
      <c r="I860">
        <v>8</v>
      </c>
      <c r="J860">
        <v>52199</v>
      </c>
      <c r="K860">
        <v>4.4000000000000004</v>
      </c>
      <c r="L860">
        <v>99.1</v>
      </c>
      <c r="M860">
        <v>24</v>
      </c>
      <c r="N860">
        <v>19</v>
      </c>
      <c r="O860">
        <v>5501</v>
      </c>
      <c r="P860" t="s">
        <v>26</v>
      </c>
      <c r="Q860" t="s">
        <v>27</v>
      </c>
      <c r="R860" t="s">
        <v>58</v>
      </c>
      <c r="S860" t="s">
        <v>49</v>
      </c>
      <c r="T860" t="s">
        <v>50</v>
      </c>
      <c r="U860">
        <f t="shared" si="65"/>
        <v>57700</v>
      </c>
      <c r="V860" t="str">
        <f t="shared" si="66"/>
        <v>Excellent</v>
      </c>
      <c r="W860" t="str">
        <f t="shared" si="67"/>
        <v>High</v>
      </c>
      <c r="X860" t="str">
        <f t="shared" si="68"/>
        <v>Senior</v>
      </c>
      <c r="Y860" t="str">
        <f t="shared" si="69"/>
        <v>25-34</v>
      </c>
    </row>
    <row r="861" spans="1:25" x14ac:dyDescent="0.3">
      <c r="A861">
        <v>1860</v>
      </c>
      <c r="B861" t="s">
        <v>178</v>
      </c>
      <c r="C861" t="s">
        <v>21</v>
      </c>
      <c r="D861">
        <v>25</v>
      </c>
      <c r="E861" t="s">
        <v>91</v>
      </c>
      <c r="F861" t="s">
        <v>92</v>
      </c>
      <c r="G861" t="s">
        <v>59</v>
      </c>
      <c r="H861" t="s">
        <v>828</v>
      </c>
      <c r="I861">
        <v>0</v>
      </c>
      <c r="J861">
        <v>53337</v>
      </c>
      <c r="K861">
        <v>2.7</v>
      </c>
      <c r="L861">
        <v>91</v>
      </c>
      <c r="M861">
        <v>18</v>
      </c>
      <c r="N861">
        <v>56</v>
      </c>
      <c r="O861">
        <v>1778</v>
      </c>
      <c r="P861" t="s">
        <v>53</v>
      </c>
      <c r="Q861" t="s">
        <v>48</v>
      </c>
      <c r="R861" t="s">
        <v>42</v>
      </c>
      <c r="S861" t="s">
        <v>49</v>
      </c>
      <c r="T861" t="s">
        <v>30</v>
      </c>
      <c r="U861">
        <f t="shared" si="65"/>
        <v>55115</v>
      </c>
      <c r="V861" t="str">
        <f t="shared" si="66"/>
        <v>Needs Improvement</v>
      </c>
      <c r="W861" t="str">
        <f t="shared" si="67"/>
        <v>Normal</v>
      </c>
      <c r="X861" t="str">
        <f t="shared" si="68"/>
        <v>Junior</v>
      </c>
      <c r="Y861" t="str">
        <f t="shared" si="69"/>
        <v>25-34</v>
      </c>
    </row>
    <row r="862" spans="1:25" x14ac:dyDescent="0.3">
      <c r="A862">
        <v>1861</v>
      </c>
      <c r="B862" t="s">
        <v>85</v>
      </c>
      <c r="C862" t="s">
        <v>21</v>
      </c>
      <c r="D862">
        <v>32</v>
      </c>
      <c r="E862" t="s">
        <v>91</v>
      </c>
      <c r="F862" t="s">
        <v>92</v>
      </c>
      <c r="G862" t="s">
        <v>45</v>
      </c>
      <c r="H862" t="s">
        <v>829</v>
      </c>
      <c r="I862">
        <v>0</v>
      </c>
      <c r="J862">
        <v>76062</v>
      </c>
      <c r="K862">
        <v>4.3</v>
      </c>
      <c r="L862">
        <v>98.1</v>
      </c>
      <c r="M862">
        <v>17</v>
      </c>
      <c r="N862">
        <v>14</v>
      </c>
      <c r="O862">
        <v>7776</v>
      </c>
      <c r="P862" t="s">
        <v>47</v>
      </c>
      <c r="Q862" t="s">
        <v>27</v>
      </c>
      <c r="R862" t="s">
        <v>58</v>
      </c>
      <c r="S862" t="s">
        <v>29</v>
      </c>
      <c r="T862" t="s">
        <v>30</v>
      </c>
      <c r="U862">
        <f t="shared" si="65"/>
        <v>83838</v>
      </c>
      <c r="V862" t="str">
        <f t="shared" si="66"/>
        <v>Excellent</v>
      </c>
      <c r="W862" t="str">
        <f t="shared" si="67"/>
        <v>Normal</v>
      </c>
      <c r="X862" t="str">
        <f t="shared" si="68"/>
        <v>Junior</v>
      </c>
      <c r="Y862" t="str">
        <f t="shared" si="69"/>
        <v>25-34</v>
      </c>
    </row>
    <row r="863" spans="1:25" x14ac:dyDescent="0.3">
      <c r="A863">
        <v>1862</v>
      </c>
      <c r="B863" t="s">
        <v>148</v>
      </c>
      <c r="C863" t="s">
        <v>21</v>
      </c>
      <c r="D863">
        <v>28</v>
      </c>
      <c r="E863" t="s">
        <v>38</v>
      </c>
      <c r="F863" t="s">
        <v>44</v>
      </c>
      <c r="G863" t="s">
        <v>51</v>
      </c>
      <c r="H863" t="s">
        <v>830</v>
      </c>
      <c r="I863">
        <v>9</v>
      </c>
      <c r="J863">
        <v>85209</v>
      </c>
      <c r="K863">
        <v>5</v>
      </c>
      <c r="L863">
        <v>93.3</v>
      </c>
      <c r="M863">
        <v>25</v>
      </c>
      <c r="N863">
        <v>28</v>
      </c>
      <c r="O863">
        <v>5824</v>
      </c>
      <c r="P863" t="s">
        <v>47</v>
      </c>
      <c r="Q863" t="s">
        <v>27</v>
      </c>
      <c r="R863" t="s">
        <v>70</v>
      </c>
      <c r="S863" t="s">
        <v>29</v>
      </c>
      <c r="T863" t="s">
        <v>50</v>
      </c>
      <c r="U863">
        <f t="shared" si="65"/>
        <v>91033</v>
      </c>
      <c r="V863" t="str">
        <f t="shared" si="66"/>
        <v>Needs Improvement</v>
      </c>
      <c r="W863" t="str">
        <f t="shared" si="67"/>
        <v>High</v>
      </c>
      <c r="X863" t="str">
        <f t="shared" si="68"/>
        <v>Senior</v>
      </c>
      <c r="Y863" t="str">
        <f t="shared" si="69"/>
        <v>25-34</v>
      </c>
    </row>
    <row r="864" spans="1:25" x14ac:dyDescent="0.3">
      <c r="A864">
        <v>1863</v>
      </c>
      <c r="B864" t="s">
        <v>54</v>
      </c>
      <c r="C864" t="s">
        <v>37</v>
      </c>
      <c r="D864">
        <v>29</v>
      </c>
      <c r="E864" t="s">
        <v>91</v>
      </c>
      <c r="F864" t="s">
        <v>101</v>
      </c>
      <c r="G864" t="s">
        <v>24</v>
      </c>
      <c r="H864" t="s">
        <v>831</v>
      </c>
      <c r="I864">
        <v>7</v>
      </c>
      <c r="J864">
        <v>66248</v>
      </c>
      <c r="K864">
        <v>4.3</v>
      </c>
      <c r="L864">
        <v>92.1</v>
      </c>
      <c r="M864">
        <v>12</v>
      </c>
      <c r="N864">
        <v>22</v>
      </c>
      <c r="O864">
        <v>12779</v>
      </c>
      <c r="P864" t="s">
        <v>53</v>
      </c>
      <c r="Q864" t="s">
        <v>48</v>
      </c>
      <c r="R864" t="s">
        <v>58</v>
      </c>
      <c r="S864" t="s">
        <v>49</v>
      </c>
      <c r="T864" t="s">
        <v>50</v>
      </c>
      <c r="U864">
        <f t="shared" si="65"/>
        <v>79027</v>
      </c>
      <c r="V864" t="str">
        <f t="shared" si="66"/>
        <v>Needs Improvement</v>
      </c>
      <c r="W864" t="str">
        <f t="shared" si="67"/>
        <v>Normal</v>
      </c>
      <c r="X864" t="str">
        <f t="shared" si="68"/>
        <v>Senior</v>
      </c>
      <c r="Y864" t="str">
        <f t="shared" si="69"/>
        <v>25-34</v>
      </c>
    </row>
    <row r="865" spans="1:25" x14ac:dyDescent="0.3">
      <c r="A865">
        <v>1864</v>
      </c>
      <c r="B865" t="s">
        <v>73</v>
      </c>
      <c r="C865" t="s">
        <v>37</v>
      </c>
      <c r="D865">
        <v>27</v>
      </c>
      <c r="E865" t="s">
        <v>55</v>
      </c>
      <c r="F865" t="s">
        <v>79</v>
      </c>
      <c r="G865" t="s">
        <v>51</v>
      </c>
      <c r="H865" t="s">
        <v>832</v>
      </c>
      <c r="I865">
        <v>7</v>
      </c>
      <c r="J865">
        <v>74775</v>
      </c>
      <c r="K865">
        <v>4.5999999999999996</v>
      </c>
      <c r="L865">
        <v>93.3</v>
      </c>
      <c r="M865">
        <v>6</v>
      </c>
      <c r="N865">
        <v>59</v>
      </c>
      <c r="O865">
        <v>7445</v>
      </c>
      <c r="P865" t="s">
        <v>33</v>
      </c>
      <c r="Q865" t="s">
        <v>27</v>
      </c>
      <c r="R865" t="s">
        <v>70</v>
      </c>
      <c r="S865" t="s">
        <v>29</v>
      </c>
      <c r="T865" t="s">
        <v>50</v>
      </c>
      <c r="U865">
        <f t="shared" si="65"/>
        <v>82220</v>
      </c>
      <c r="V865" t="str">
        <f t="shared" si="66"/>
        <v>Needs Improvement</v>
      </c>
      <c r="W865" t="str">
        <f t="shared" si="67"/>
        <v>Normal</v>
      </c>
      <c r="X865" t="str">
        <f t="shared" si="68"/>
        <v>Senior</v>
      </c>
      <c r="Y865" t="str">
        <f t="shared" si="69"/>
        <v>25-34</v>
      </c>
    </row>
    <row r="866" spans="1:25" x14ac:dyDescent="0.3">
      <c r="A866">
        <v>1865</v>
      </c>
      <c r="B866" t="s">
        <v>83</v>
      </c>
      <c r="C866" t="s">
        <v>37</v>
      </c>
      <c r="D866">
        <v>31</v>
      </c>
      <c r="E866" t="s">
        <v>55</v>
      </c>
      <c r="F866" t="s">
        <v>56</v>
      </c>
      <c r="G866" t="s">
        <v>51</v>
      </c>
      <c r="H866" t="s">
        <v>765</v>
      </c>
      <c r="I866">
        <v>5</v>
      </c>
      <c r="J866">
        <v>26002</v>
      </c>
      <c r="K866">
        <v>3.5</v>
      </c>
      <c r="L866">
        <v>91.4</v>
      </c>
      <c r="M866">
        <v>19</v>
      </c>
      <c r="N866">
        <v>41</v>
      </c>
      <c r="O866">
        <v>10729</v>
      </c>
      <c r="P866" t="s">
        <v>47</v>
      </c>
      <c r="Q866" t="s">
        <v>48</v>
      </c>
      <c r="R866" t="s">
        <v>28</v>
      </c>
      <c r="S866" t="s">
        <v>34</v>
      </c>
      <c r="T866" t="s">
        <v>35</v>
      </c>
      <c r="U866">
        <f t="shared" si="65"/>
        <v>36731</v>
      </c>
      <c r="V866" t="str">
        <f t="shared" si="66"/>
        <v>Needs Improvement</v>
      </c>
      <c r="W866" t="str">
        <f t="shared" si="67"/>
        <v>Normal</v>
      </c>
      <c r="X866" t="str">
        <f t="shared" si="68"/>
        <v>Mid</v>
      </c>
      <c r="Y866" t="str">
        <f t="shared" si="69"/>
        <v>25-34</v>
      </c>
    </row>
    <row r="867" spans="1:25" x14ac:dyDescent="0.3">
      <c r="A867">
        <v>1866</v>
      </c>
      <c r="B867" t="s">
        <v>99</v>
      </c>
      <c r="C867" t="s">
        <v>21</v>
      </c>
      <c r="D867">
        <v>45</v>
      </c>
      <c r="E867" t="s">
        <v>91</v>
      </c>
      <c r="F867" t="s">
        <v>92</v>
      </c>
      <c r="G867" t="s">
        <v>59</v>
      </c>
      <c r="H867" t="s">
        <v>833</v>
      </c>
      <c r="I867">
        <v>4</v>
      </c>
      <c r="J867">
        <v>40785</v>
      </c>
      <c r="K867">
        <v>4.9000000000000004</v>
      </c>
      <c r="L867">
        <v>85</v>
      </c>
      <c r="M867">
        <v>4</v>
      </c>
      <c r="N867">
        <v>48</v>
      </c>
      <c r="O867">
        <v>11864</v>
      </c>
      <c r="P867" t="s">
        <v>53</v>
      </c>
      <c r="Q867" t="s">
        <v>27</v>
      </c>
      <c r="R867" t="s">
        <v>70</v>
      </c>
      <c r="S867" t="s">
        <v>34</v>
      </c>
      <c r="T867" t="s">
        <v>35</v>
      </c>
      <c r="U867">
        <f t="shared" si="65"/>
        <v>52649</v>
      </c>
      <c r="V867" t="str">
        <f t="shared" si="66"/>
        <v>Needs Improvement</v>
      </c>
      <c r="W867" t="str">
        <f t="shared" si="67"/>
        <v>Normal</v>
      </c>
      <c r="X867" t="str">
        <f t="shared" si="68"/>
        <v>Mid</v>
      </c>
      <c r="Y867" t="str">
        <f t="shared" si="69"/>
        <v>45+</v>
      </c>
    </row>
    <row r="868" spans="1:25" x14ac:dyDescent="0.3">
      <c r="A868">
        <v>1867</v>
      </c>
      <c r="B868" t="s">
        <v>36</v>
      </c>
      <c r="C868" t="s">
        <v>37</v>
      </c>
      <c r="D868">
        <v>43</v>
      </c>
      <c r="E868" t="s">
        <v>91</v>
      </c>
      <c r="F868" t="s">
        <v>101</v>
      </c>
      <c r="G868" t="s">
        <v>51</v>
      </c>
      <c r="H868" t="s">
        <v>579</v>
      </c>
      <c r="I868">
        <v>6</v>
      </c>
      <c r="J868">
        <v>85268</v>
      </c>
      <c r="K868">
        <v>3.6</v>
      </c>
      <c r="L868">
        <v>89.8</v>
      </c>
      <c r="M868">
        <v>10</v>
      </c>
      <c r="N868">
        <v>60</v>
      </c>
      <c r="O868">
        <v>13180</v>
      </c>
      <c r="P868" t="s">
        <v>33</v>
      </c>
      <c r="Q868" t="s">
        <v>48</v>
      </c>
      <c r="R868" t="s">
        <v>28</v>
      </c>
      <c r="S868" t="s">
        <v>29</v>
      </c>
      <c r="T868" t="s">
        <v>50</v>
      </c>
      <c r="U868">
        <f t="shared" si="65"/>
        <v>98448</v>
      </c>
      <c r="V868" t="str">
        <f t="shared" si="66"/>
        <v>Needs Improvement</v>
      </c>
      <c r="W868" t="str">
        <f t="shared" si="67"/>
        <v>Normal</v>
      </c>
      <c r="X868" t="str">
        <f t="shared" si="68"/>
        <v>Mid</v>
      </c>
      <c r="Y868" t="str">
        <f t="shared" si="69"/>
        <v>35-44</v>
      </c>
    </row>
    <row r="869" spans="1:25" x14ac:dyDescent="0.3">
      <c r="A869">
        <v>1868</v>
      </c>
      <c r="B869" t="s">
        <v>20</v>
      </c>
      <c r="C869" t="s">
        <v>21</v>
      </c>
      <c r="D869">
        <v>37</v>
      </c>
      <c r="E869" t="s">
        <v>91</v>
      </c>
      <c r="F869" t="s">
        <v>101</v>
      </c>
      <c r="G869" t="s">
        <v>45</v>
      </c>
      <c r="H869" t="s">
        <v>834</v>
      </c>
      <c r="I869">
        <v>6</v>
      </c>
      <c r="J869">
        <v>40681</v>
      </c>
      <c r="K869">
        <v>3.5</v>
      </c>
      <c r="L869">
        <v>93.1</v>
      </c>
      <c r="M869">
        <v>16</v>
      </c>
      <c r="N869">
        <v>34</v>
      </c>
      <c r="O869">
        <v>11649</v>
      </c>
      <c r="P869" t="s">
        <v>41</v>
      </c>
      <c r="Q869" t="s">
        <v>48</v>
      </c>
      <c r="R869" t="s">
        <v>28</v>
      </c>
      <c r="S869" t="s">
        <v>34</v>
      </c>
      <c r="T869" t="s">
        <v>50</v>
      </c>
      <c r="U869">
        <f t="shared" si="65"/>
        <v>52330</v>
      </c>
      <c r="V869" t="str">
        <f t="shared" si="66"/>
        <v>Needs Improvement</v>
      </c>
      <c r="W869" t="str">
        <f t="shared" si="67"/>
        <v>Normal</v>
      </c>
      <c r="X869" t="str">
        <f t="shared" si="68"/>
        <v>Mid</v>
      </c>
      <c r="Y869" t="str">
        <f t="shared" si="69"/>
        <v>35-44</v>
      </c>
    </row>
    <row r="870" spans="1:25" x14ac:dyDescent="0.3">
      <c r="A870">
        <v>1869</v>
      </c>
      <c r="B870" t="s">
        <v>61</v>
      </c>
      <c r="C870" t="s">
        <v>37</v>
      </c>
      <c r="D870">
        <v>28</v>
      </c>
      <c r="E870" t="s">
        <v>38</v>
      </c>
      <c r="F870" t="s">
        <v>44</v>
      </c>
      <c r="G870" t="s">
        <v>51</v>
      </c>
      <c r="H870" t="s">
        <v>835</v>
      </c>
      <c r="I870">
        <v>0</v>
      </c>
      <c r="J870">
        <v>83333</v>
      </c>
      <c r="K870">
        <v>4.7</v>
      </c>
      <c r="L870">
        <v>88.3</v>
      </c>
      <c r="M870">
        <v>10</v>
      </c>
      <c r="N870">
        <v>45</v>
      </c>
      <c r="O870">
        <v>4210</v>
      </c>
      <c r="P870" t="s">
        <v>53</v>
      </c>
      <c r="Q870" t="s">
        <v>48</v>
      </c>
      <c r="R870" t="s">
        <v>70</v>
      </c>
      <c r="S870" t="s">
        <v>29</v>
      </c>
      <c r="T870" t="s">
        <v>30</v>
      </c>
      <c r="U870">
        <f t="shared" si="65"/>
        <v>87543</v>
      </c>
      <c r="V870" t="str">
        <f t="shared" si="66"/>
        <v>Needs Improvement</v>
      </c>
      <c r="W870" t="str">
        <f t="shared" si="67"/>
        <v>Normal</v>
      </c>
      <c r="X870" t="str">
        <f t="shared" si="68"/>
        <v>Junior</v>
      </c>
      <c r="Y870" t="str">
        <f t="shared" si="69"/>
        <v>25-34</v>
      </c>
    </row>
    <row r="871" spans="1:25" x14ac:dyDescent="0.3">
      <c r="A871">
        <v>1870</v>
      </c>
      <c r="B871" t="s">
        <v>83</v>
      </c>
      <c r="C871" t="s">
        <v>21</v>
      </c>
      <c r="D871">
        <v>34</v>
      </c>
      <c r="E871" t="s">
        <v>22</v>
      </c>
      <c r="F871" t="s">
        <v>23</v>
      </c>
      <c r="G871" t="s">
        <v>45</v>
      </c>
      <c r="H871" t="s">
        <v>836</v>
      </c>
      <c r="I871">
        <v>5</v>
      </c>
      <c r="J871">
        <v>38045</v>
      </c>
      <c r="K871">
        <v>4.4000000000000004</v>
      </c>
      <c r="L871">
        <v>89.4</v>
      </c>
      <c r="M871">
        <v>22</v>
      </c>
      <c r="N871">
        <v>12</v>
      </c>
      <c r="O871">
        <v>6977</v>
      </c>
      <c r="P871" t="s">
        <v>47</v>
      </c>
      <c r="Q871" t="s">
        <v>27</v>
      </c>
      <c r="R871" t="s">
        <v>58</v>
      </c>
      <c r="S871" t="s">
        <v>34</v>
      </c>
      <c r="T871" t="s">
        <v>35</v>
      </c>
      <c r="U871">
        <f t="shared" si="65"/>
        <v>45022</v>
      </c>
      <c r="V871" t="str">
        <f t="shared" si="66"/>
        <v>Needs Improvement</v>
      </c>
      <c r="W871" t="str">
        <f t="shared" si="67"/>
        <v>High</v>
      </c>
      <c r="X871" t="str">
        <f t="shared" si="68"/>
        <v>Mid</v>
      </c>
      <c r="Y871" t="str">
        <f t="shared" si="69"/>
        <v>25-34</v>
      </c>
    </row>
    <row r="872" spans="1:25" x14ac:dyDescent="0.3">
      <c r="A872">
        <v>1871</v>
      </c>
      <c r="B872" t="s">
        <v>78</v>
      </c>
      <c r="C872" t="s">
        <v>21</v>
      </c>
      <c r="D872">
        <v>27</v>
      </c>
      <c r="E872" t="s">
        <v>22</v>
      </c>
      <c r="F872" t="s">
        <v>66</v>
      </c>
      <c r="G872" t="s">
        <v>24</v>
      </c>
      <c r="H872" t="s">
        <v>837</v>
      </c>
      <c r="I872">
        <v>2</v>
      </c>
      <c r="J872">
        <v>80815</v>
      </c>
      <c r="K872">
        <v>2.6</v>
      </c>
      <c r="L872">
        <v>89.9</v>
      </c>
      <c r="M872">
        <v>2</v>
      </c>
      <c r="N872">
        <v>21</v>
      </c>
      <c r="O872">
        <v>14191</v>
      </c>
      <c r="P872" t="s">
        <v>26</v>
      </c>
      <c r="Q872" t="s">
        <v>27</v>
      </c>
      <c r="R872" t="s">
        <v>42</v>
      </c>
      <c r="S872" t="s">
        <v>29</v>
      </c>
      <c r="T872" t="s">
        <v>30</v>
      </c>
      <c r="U872">
        <f t="shared" si="65"/>
        <v>95006</v>
      </c>
      <c r="V872" t="str">
        <f t="shared" si="66"/>
        <v>Needs Improvement</v>
      </c>
      <c r="W872" t="str">
        <f t="shared" si="67"/>
        <v>Normal</v>
      </c>
      <c r="X872" t="str">
        <f t="shared" si="68"/>
        <v>Junior</v>
      </c>
      <c r="Y872" t="str">
        <f t="shared" si="69"/>
        <v>25-34</v>
      </c>
    </row>
    <row r="873" spans="1:25" x14ac:dyDescent="0.3">
      <c r="A873">
        <v>1872</v>
      </c>
      <c r="B873" t="s">
        <v>61</v>
      </c>
      <c r="C873" t="s">
        <v>37</v>
      </c>
      <c r="D873">
        <v>45</v>
      </c>
      <c r="E873" t="s">
        <v>91</v>
      </c>
      <c r="F873" t="s">
        <v>101</v>
      </c>
      <c r="G873" t="s">
        <v>24</v>
      </c>
      <c r="H873" t="s">
        <v>838</v>
      </c>
      <c r="I873">
        <v>9</v>
      </c>
      <c r="J873">
        <v>75947</v>
      </c>
      <c r="K873">
        <v>5</v>
      </c>
      <c r="L873">
        <v>94.8</v>
      </c>
      <c r="M873">
        <v>25</v>
      </c>
      <c r="N873">
        <v>37</v>
      </c>
      <c r="O873">
        <v>8730</v>
      </c>
      <c r="P873" t="s">
        <v>33</v>
      </c>
      <c r="Q873" t="s">
        <v>27</v>
      </c>
      <c r="R873" t="s">
        <v>70</v>
      </c>
      <c r="S873" t="s">
        <v>29</v>
      </c>
      <c r="T873" t="s">
        <v>50</v>
      </c>
      <c r="U873">
        <f t="shared" si="65"/>
        <v>84677</v>
      </c>
      <c r="V873" t="str">
        <f t="shared" si="66"/>
        <v>Needs Improvement</v>
      </c>
      <c r="W873" t="str">
        <f t="shared" si="67"/>
        <v>High</v>
      </c>
      <c r="X873" t="str">
        <f t="shared" si="68"/>
        <v>Senior</v>
      </c>
      <c r="Y873" t="str">
        <f t="shared" si="69"/>
        <v>45+</v>
      </c>
    </row>
    <row r="874" spans="1:25" x14ac:dyDescent="0.3">
      <c r="A874">
        <v>1873</v>
      </c>
      <c r="B874" t="s">
        <v>85</v>
      </c>
      <c r="C874" t="s">
        <v>21</v>
      </c>
      <c r="D874">
        <v>31</v>
      </c>
      <c r="E874" t="s">
        <v>91</v>
      </c>
      <c r="F874" t="s">
        <v>92</v>
      </c>
      <c r="G874" t="s">
        <v>59</v>
      </c>
      <c r="H874" t="s">
        <v>839</v>
      </c>
      <c r="I874">
        <v>1</v>
      </c>
      <c r="J874">
        <v>27736</v>
      </c>
      <c r="K874">
        <v>4.0999999999999996</v>
      </c>
      <c r="L874">
        <v>99.1</v>
      </c>
      <c r="M874">
        <v>3</v>
      </c>
      <c r="N874">
        <v>15</v>
      </c>
      <c r="O874">
        <v>12061</v>
      </c>
      <c r="P874" t="s">
        <v>41</v>
      </c>
      <c r="Q874" t="s">
        <v>48</v>
      </c>
      <c r="R874" t="s">
        <v>58</v>
      </c>
      <c r="S874" t="s">
        <v>34</v>
      </c>
      <c r="T874" t="s">
        <v>30</v>
      </c>
      <c r="U874">
        <f t="shared" si="65"/>
        <v>39797</v>
      </c>
      <c r="V874" t="str">
        <f t="shared" si="66"/>
        <v>Excellent</v>
      </c>
      <c r="W874" t="str">
        <f t="shared" si="67"/>
        <v>Normal</v>
      </c>
      <c r="X874" t="str">
        <f t="shared" si="68"/>
        <v>Junior</v>
      </c>
      <c r="Y874" t="str">
        <f t="shared" si="69"/>
        <v>25-34</v>
      </c>
    </row>
    <row r="875" spans="1:25" x14ac:dyDescent="0.3">
      <c r="A875">
        <v>1874</v>
      </c>
      <c r="B875" t="s">
        <v>31</v>
      </c>
      <c r="C875" t="s">
        <v>21</v>
      </c>
      <c r="D875">
        <v>22</v>
      </c>
      <c r="E875" t="s">
        <v>91</v>
      </c>
      <c r="F875" t="s">
        <v>92</v>
      </c>
      <c r="G875" t="s">
        <v>59</v>
      </c>
      <c r="H875" t="s">
        <v>218</v>
      </c>
      <c r="I875">
        <v>0</v>
      </c>
      <c r="J875">
        <v>71379</v>
      </c>
      <c r="K875">
        <v>2.6</v>
      </c>
      <c r="L875">
        <v>83.2</v>
      </c>
      <c r="M875">
        <v>22</v>
      </c>
      <c r="N875">
        <v>55</v>
      </c>
      <c r="O875">
        <v>10530</v>
      </c>
      <c r="P875" t="s">
        <v>26</v>
      </c>
      <c r="Q875" t="s">
        <v>27</v>
      </c>
      <c r="R875" t="s">
        <v>42</v>
      </c>
      <c r="S875" t="s">
        <v>29</v>
      </c>
      <c r="T875" t="s">
        <v>30</v>
      </c>
      <c r="U875">
        <f t="shared" si="65"/>
        <v>81909</v>
      </c>
      <c r="V875" t="str">
        <f t="shared" si="66"/>
        <v>Needs Improvement</v>
      </c>
      <c r="W875" t="str">
        <f t="shared" si="67"/>
        <v>High</v>
      </c>
      <c r="X875" t="str">
        <f t="shared" si="68"/>
        <v>Junior</v>
      </c>
      <c r="Y875" t="str">
        <f t="shared" si="69"/>
        <v>20-24</v>
      </c>
    </row>
    <row r="876" spans="1:25" x14ac:dyDescent="0.3">
      <c r="A876">
        <v>1875</v>
      </c>
      <c r="B876" t="s">
        <v>68</v>
      </c>
      <c r="C876" t="s">
        <v>37</v>
      </c>
      <c r="D876">
        <v>44</v>
      </c>
      <c r="E876" t="s">
        <v>22</v>
      </c>
      <c r="F876" t="s">
        <v>23</v>
      </c>
      <c r="G876" t="s">
        <v>51</v>
      </c>
      <c r="H876" t="s">
        <v>840</v>
      </c>
      <c r="I876">
        <v>4</v>
      </c>
      <c r="J876">
        <v>35899</v>
      </c>
      <c r="K876">
        <v>4</v>
      </c>
      <c r="L876">
        <v>95.2</v>
      </c>
      <c r="M876">
        <v>14</v>
      </c>
      <c r="N876">
        <v>38</v>
      </c>
      <c r="O876">
        <v>7458</v>
      </c>
      <c r="P876" t="s">
        <v>47</v>
      </c>
      <c r="Q876" t="s">
        <v>48</v>
      </c>
      <c r="R876" t="s">
        <v>58</v>
      </c>
      <c r="S876" t="s">
        <v>34</v>
      </c>
      <c r="T876" t="s">
        <v>35</v>
      </c>
      <c r="U876">
        <f t="shared" si="65"/>
        <v>43357</v>
      </c>
      <c r="V876" t="str">
        <f t="shared" si="66"/>
        <v>Excellent</v>
      </c>
      <c r="W876" t="str">
        <f t="shared" si="67"/>
        <v>Normal</v>
      </c>
      <c r="X876" t="str">
        <f t="shared" si="68"/>
        <v>Mid</v>
      </c>
      <c r="Y876" t="str">
        <f t="shared" si="69"/>
        <v>35-44</v>
      </c>
    </row>
    <row r="877" spans="1:25" x14ac:dyDescent="0.3">
      <c r="A877">
        <v>1876</v>
      </c>
      <c r="B877" t="s">
        <v>121</v>
      </c>
      <c r="C877" t="s">
        <v>21</v>
      </c>
      <c r="D877">
        <v>39</v>
      </c>
      <c r="E877" t="s">
        <v>91</v>
      </c>
      <c r="F877" t="s">
        <v>92</v>
      </c>
      <c r="G877" t="s">
        <v>59</v>
      </c>
      <c r="H877" t="s">
        <v>841</v>
      </c>
      <c r="I877">
        <v>7</v>
      </c>
      <c r="J877">
        <v>93114</v>
      </c>
      <c r="K877">
        <v>3.3</v>
      </c>
      <c r="L877">
        <v>93.5</v>
      </c>
      <c r="M877">
        <v>2</v>
      </c>
      <c r="N877">
        <v>5</v>
      </c>
      <c r="O877">
        <v>9231</v>
      </c>
      <c r="P877" t="s">
        <v>26</v>
      </c>
      <c r="Q877" t="s">
        <v>48</v>
      </c>
      <c r="R877" t="s">
        <v>28</v>
      </c>
      <c r="S877" t="s">
        <v>29</v>
      </c>
      <c r="T877" t="s">
        <v>50</v>
      </c>
      <c r="U877">
        <f t="shared" si="65"/>
        <v>102345</v>
      </c>
      <c r="V877" t="str">
        <f t="shared" si="66"/>
        <v>Needs Improvement</v>
      </c>
      <c r="W877" t="str">
        <f t="shared" si="67"/>
        <v>Normal</v>
      </c>
      <c r="X877" t="str">
        <f t="shared" si="68"/>
        <v>Senior</v>
      </c>
      <c r="Y877" t="str">
        <f t="shared" si="69"/>
        <v>35-44</v>
      </c>
    </row>
    <row r="878" spans="1:25" x14ac:dyDescent="0.3">
      <c r="A878">
        <v>1877</v>
      </c>
      <c r="B878" t="s">
        <v>78</v>
      </c>
      <c r="C878" t="s">
        <v>37</v>
      </c>
      <c r="D878">
        <v>29</v>
      </c>
      <c r="E878" t="s">
        <v>55</v>
      </c>
      <c r="F878" t="s">
        <v>143</v>
      </c>
      <c r="G878" t="s">
        <v>64</v>
      </c>
      <c r="H878" t="s">
        <v>706</v>
      </c>
      <c r="I878">
        <v>1</v>
      </c>
      <c r="J878">
        <v>40163</v>
      </c>
      <c r="K878">
        <v>4.2</v>
      </c>
      <c r="L878">
        <v>83.3</v>
      </c>
      <c r="M878">
        <v>11</v>
      </c>
      <c r="N878">
        <v>46</v>
      </c>
      <c r="O878">
        <v>9265</v>
      </c>
      <c r="P878" t="s">
        <v>47</v>
      </c>
      <c r="Q878" t="s">
        <v>27</v>
      </c>
      <c r="R878" t="s">
        <v>58</v>
      </c>
      <c r="S878" t="s">
        <v>34</v>
      </c>
      <c r="T878" t="s">
        <v>30</v>
      </c>
      <c r="U878">
        <f t="shared" si="65"/>
        <v>49428</v>
      </c>
      <c r="V878" t="str">
        <f t="shared" si="66"/>
        <v>Needs Improvement</v>
      </c>
      <c r="W878" t="str">
        <f t="shared" si="67"/>
        <v>Normal</v>
      </c>
      <c r="X878" t="str">
        <f t="shared" si="68"/>
        <v>Junior</v>
      </c>
      <c r="Y878" t="str">
        <f t="shared" si="69"/>
        <v>25-34</v>
      </c>
    </row>
    <row r="879" spans="1:25" x14ac:dyDescent="0.3">
      <c r="A879">
        <v>1878</v>
      </c>
      <c r="B879" t="s">
        <v>71</v>
      </c>
      <c r="C879" t="s">
        <v>37</v>
      </c>
      <c r="D879">
        <v>32</v>
      </c>
      <c r="E879" t="s">
        <v>22</v>
      </c>
      <c r="F879" t="s">
        <v>23</v>
      </c>
      <c r="G879" t="s">
        <v>45</v>
      </c>
      <c r="H879" t="s">
        <v>842</v>
      </c>
      <c r="I879">
        <v>8</v>
      </c>
      <c r="J879">
        <v>35680</v>
      </c>
      <c r="K879">
        <v>4.4000000000000004</v>
      </c>
      <c r="L879">
        <v>89.1</v>
      </c>
      <c r="M879">
        <v>4</v>
      </c>
      <c r="N879">
        <v>28</v>
      </c>
      <c r="O879">
        <v>10345</v>
      </c>
      <c r="P879" t="s">
        <v>26</v>
      </c>
      <c r="Q879" t="s">
        <v>27</v>
      </c>
      <c r="R879" t="s">
        <v>58</v>
      </c>
      <c r="S879" t="s">
        <v>34</v>
      </c>
      <c r="T879" t="s">
        <v>50</v>
      </c>
      <c r="U879">
        <f t="shared" si="65"/>
        <v>46025</v>
      </c>
      <c r="V879" t="str">
        <f t="shared" si="66"/>
        <v>Needs Improvement</v>
      </c>
      <c r="W879" t="str">
        <f t="shared" si="67"/>
        <v>Normal</v>
      </c>
      <c r="X879" t="str">
        <f t="shared" si="68"/>
        <v>Senior</v>
      </c>
      <c r="Y879" t="str">
        <f t="shared" si="69"/>
        <v>25-34</v>
      </c>
    </row>
    <row r="880" spans="1:25" x14ac:dyDescent="0.3">
      <c r="A880">
        <v>1879</v>
      </c>
      <c r="B880" t="s">
        <v>36</v>
      </c>
      <c r="C880" t="s">
        <v>37</v>
      </c>
      <c r="D880">
        <v>28</v>
      </c>
      <c r="E880" t="s">
        <v>38</v>
      </c>
      <c r="F880" t="s">
        <v>39</v>
      </c>
      <c r="G880" t="s">
        <v>24</v>
      </c>
      <c r="H880" t="s">
        <v>843</v>
      </c>
      <c r="I880">
        <v>0</v>
      </c>
      <c r="J880">
        <v>66878</v>
      </c>
      <c r="K880">
        <v>3.8</v>
      </c>
      <c r="L880">
        <v>93.6</v>
      </c>
      <c r="M880">
        <v>12</v>
      </c>
      <c r="N880">
        <v>12</v>
      </c>
      <c r="O880">
        <v>9966</v>
      </c>
      <c r="P880" t="s">
        <v>26</v>
      </c>
      <c r="Q880" t="s">
        <v>27</v>
      </c>
      <c r="R880" t="s">
        <v>28</v>
      </c>
      <c r="S880" t="s">
        <v>49</v>
      </c>
      <c r="T880" t="s">
        <v>30</v>
      </c>
      <c r="U880">
        <f t="shared" si="65"/>
        <v>76844</v>
      </c>
      <c r="V880" t="str">
        <f t="shared" si="66"/>
        <v>Needs Improvement</v>
      </c>
      <c r="W880" t="str">
        <f t="shared" si="67"/>
        <v>Normal</v>
      </c>
      <c r="X880" t="str">
        <f t="shared" si="68"/>
        <v>Junior</v>
      </c>
      <c r="Y880" t="str">
        <f t="shared" si="69"/>
        <v>25-34</v>
      </c>
    </row>
    <row r="881" spans="1:25" x14ac:dyDescent="0.3">
      <c r="A881">
        <v>1880</v>
      </c>
      <c r="B881" t="s">
        <v>88</v>
      </c>
      <c r="C881" t="s">
        <v>37</v>
      </c>
      <c r="D881">
        <v>26</v>
      </c>
      <c r="E881" t="s">
        <v>91</v>
      </c>
      <c r="F881" t="s">
        <v>92</v>
      </c>
      <c r="G881" t="s">
        <v>45</v>
      </c>
      <c r="H881" t="s">
        <v>844</v>
      </c>
      <c r="I881">
        <v>7</v>
      </c>
      <c r="J881">
        <v>32089</v>
      </c>
      <c r="K881">
        <v>3.9</v>
      </c>
      <c r="L881">
        <v>85.7</v>
      </c>
      <c r="M881">
        <v>23</v>
      </c>
      <c r="N881">
        <v>39</v>
      </c>
      <c r="O881">
        <v>4992</v>
      </c>
      <c r="P881" t="s">
        <v>53</v>
      </c>
      <c r="Q881" t="s">
        <v>48</v>
      </c>
      <c r="R881" t="s">
        <v>28</v>
      </c>
      <c r="S881" t="s">
        <v>34</v>
      </c>
      <c r="T881" t="s">
        <v>50</v>
      </c>
      <c r="U881">
        <f t="shared" si="65"/>
        <v>37081</v>
      </c>
      <c r="V881" t="str">
        <f t="shared" si="66"/>
        <v>Needs Improvement</v>
      </c>
      <c r="W881" t="str">
        <f t="shared" si="67"/>
        <v>High</v>
      </c>
      <c r="X881" t="str">
        <f t="shared" si="68"/>
        <v>Senior</v>
      </c>
      <c r="Y881" t="str">
        <f t="shared" si="69"/>
        <v>25-34</v>
      </c>
    </row>
    <row r="882" spans="1:25" x14ac:dyDescent="0.3">
      <c r="A882">
        <v>1881</v>
      </c>
      <c r="B882" t="s">
        <v>31</v>
      </c>
      <c r="C882" t="s">
        <v>21</v>
      </c>
      <c r="D882">
        <v>31</v>
      </c>
      <c r="E882" t="s">
        <v>91</v>
      </c>
      <c r="F882" t="s">
        <v>101</v>
      </c>
      <c r="G882" t="s">
        <v>59</v>
      </c>
      <c r="H882" t="s">
        <v>845</v>
      </c>
      <c r="I882">
        <v>9</v>
      </c>
      <c r="J882">
        <v>90402</v>
      </c>
      <c r="K882">
        <v>2.8</v>
      </c>
      <c r="L882">
        <v>94.8</v>
      </c>
      <c r="M882">
        <v>13</v>
      </c>
      <c r="N882">
        <v>47</v>
      </c>
      <c r="O882">
        <v>13445</v>
      </c>
      <c r="P882" t="s">
        <v>41</v>
      </c>
      <c r="Q882" t="s">
        <v>48</v>
      </c>
      <c r="R882" t="s">
        <v>42</v>
      </c>
      <c r="S882" t="s">
        <v>29</v>
      </c>
      <c r="T882" t="s">
        <v>50</v>
      </c>
      <c r="U882">
        <f t="shared" si="65"/>
        <v>103847</v>
      </c>
      <c r="V882" t="str">
        <f t="shared" si="66"/>
        <v>Needs Improvement</v>
      </c>
      <c r="W882" t="str">
        <f t="shared" si="67"/>
        <v>Normal</v>
      </c>
      <c r="X882" t="str">
        <f t="shared" si="68"/>
        <v>Senior</v>
      </c>
      <c r="Y882" t="str">
        <f t="shared" si="69"/>
        <v>25-34</v>
      </c>
    </row>
    <row r="883" spans="1:25" x14ac:dyDescent="0.3">
      <c r="A883">
        <v>1882</v>
      </c>
      <c r="B883" t="s">
        <v>54</v>
      </c>
      <c r="C883" t="s">
        <v>21</v>
      </c>
      <c r="D883">
        <v>37</v>
      </c>
      <c r="E883" t="s">
        <v>91</v>
      </c>
      <c r="F883" t="s">
        <v>92</v>
      </c>
      <c r="G883" t="s">
        <v>51</v>
      </c>
      <c r="H883" t="s">
        <v>589</v>
      </c>
      <c r="I883">
        <v>9</v>
      </c>
      <c r="J883">
        <v>42628</v>
      </c>
      <c r="K883">
        <v>3</v>
      </c>
      <c r="L883">
        <v>97.3</v>
      </c>
      <c r="M883">
        <v>13</v>
      </c>
      <c r="N883">
        <v>45</v>
      </c>
      <c r="O883">
        <v>9205</v>
      </c>
      <c r="P883" t="s">
        <v>41</v>
      </c>
      <c r="Q883" t="s">
        <v>27</v>
      </c>
      <c r="R883" t="s">
        <v>28</v>
      </c>
      <c r="S883" t="s">
        <v>34</v>
      </c>
      <c r="T883" t="s">
        <v>50</v>
      </c>
      <c r="U883">
        <f t="shared" si="65"/>
        <v>51833</v>
      </c>
      <c r="V883" t="str">
        <f t="shared" si="66"/>
        <v>Excellent</v>
      </c>
      <c r="W883" t="str">
        <f t="shared" si="67"/>
        <v>Normal</v>
      </c>
      <c r="X883" t="str">
        <f t="shared" si="68"/>
        <v>Senior</v>
      </c>
      <c r="Y883" t="str">
        <f t="shared" si="69"/>
        <v>35-44</v>
      </c>
    </row>
    <row r="884" spans="1:25" x14ac:dyDescent="0.3">
      <c r="A884">
        <v>1883</v>
      </c>
      <c r="B884" t="s">
        <v>54</v>
      </c>
      <c r="C884" t="s">
        <v>21</v>
      </c>
      <c r="D884">
        <v>33</v>
      </c>
      <c r="E884" t="s">
        <v>38</v>
      </c>
      <c r="F884" t="s">
        <v>44</v>
      </c>
      <c r="G884" t="s">
        <v>51</v>
      </c>
      <c r="H884" t="s">
        <v>733</v>
      </c>
      <c r="I884">
        <v>1</v>
      </c>
      <c r="J884">
        <v>33843</v>
      </c>
      <c r="K884">
        <v>3.8</v>
      </c>
      <c r="L884">
        <v>93</v>
      </c>
      <c r="M884">
        <v>19</v>
      </c>
      <c r="N884">
        <v>36</v>
      </c>
      <c r="O884">
        <v>1328</v>
      </c>
      <c r="P884" t="s">
        <v>26</v>
      </c>
      <c r="Q884" t="s">
        <v>48</v>
      </c>
      <c r="R884" t="s">
        <v>28</v>
      </c>
      <c r="S884" t="s">
        <v>34</v>
      </c>
      <c r="T884" t="s">
        <v>30</v>
      </c>
      <c r="U884">
        <f t="shared" si="65"/>
        <v>35171</v>
      </c>
      <c r="V884" t="str">
        <f t="shared" si="66"/>
        <v>Needs Improvement</v>
      </c>
      <c r="W884" t="str">
        <f t="shared" si="67"/>
        <v>Normal</v>
      </c>
      <c r="X884" t="str">
        <f t="shared" si="68"/>
        <v>Junior</v>
      </c>
      <c r="Y884" t="str">
        <f t="shared" si="69"/>
        <v>25-34</v>
      </c>
    </row>
    <row r="885" spans="1:25" x14ac:dyDescent="0.3">
      <c r="A885">
        <v>1884</v>
      </c>
      <c r="B885" t="s">
        <v>31</v>
      </c>
      <c r="C885" t="s">
        <v>21</v>
      </c>
      <c r="D885">
        <v>27</v>
      </c>
      <c r="E885" t="s">
        <v>38</v>
      </c>
      <c r="F885" t="s">
        <v>39</v>
      </c>
      <c r="G885" t="s">
        <v>64</v>
      </c>
      <c r="H885" t="s">
        <v>193</v>
      </c>
      <c r="I885">
        <v>8</v>
      </c>
      <c r="J885">
        <v>42046</v>
      </c>
      <c r="K885">
        <v>4.2</v>
      </c>
      <c r="L885">
        <v>91</v>
      </c>
      <c r="M885">
        <v>20</v>
      </c>
      <c r="N885">
        <v>9</v>
      </c>
      <c r="O885">
        <v>9057</v>
      </c>
      <c r="P885" t="s">
        <v>47</v>
      </c>
      <c r="Q885" t="s">
        <v>27</v>
      </c>
      <c r="R885" t="s">
        <v>58</v>
      </c>
      <c r="S885" t="s">
        <v>34</v>
      </c>
      <c r="T885" t="s">
        <v>50</v>
      </c>
      <c r="U885">
        <f t="shared" si="65"/>
        <v>51103</v>
      </c>
      <c r="V885" t="str">
        <f t="shared" si="66"/>
        <v>Needs Improvement</v>
      </c>
      <c r="W885" t="str">
        <f t="shared" si="67"/>
        <v>Normal</v>
      </c>
      <c r="X885" t="str">
        <f t="shared" si="68"/>
        <v>Senior</v>
      </c>
      <c r="Y885" t="str">
        <f t="shared" si="69"/>
        <v>25-34</v>
      </c>
    </row>
    <row r="886" spans="1:25" x14ac:dyDescent="0.3">
      <c r="A886">
        <v>1885</v>
      </c>
      <c r="B886" t="s">
        <v>75</v>
      </c>
      <c r="C886" t="s">
        <v>37</v>
      </c>
      <c r="D886">
        <v>32</v>
      </c>
      <c r="E886" t="s">
        <v>62</v>
      </c>
      <c r="F886" t="s">
        <v>97</v>
      </c>
      <c r="G886" t="s">
        <v>24</v>
      </c>
      <c r="H886" t="s">
        <v>624</v>
      </c>
      <c r="I886">
        <v>0</v>
      </c>
      <c r="J886">
        <v>75334</v>
      </c>
      <c r="K886">
        <v>3.6</v>
      </c>
      <c r="L886">
        <v>85.2</v>
      </c>
      <c r="M886">
        <v>3</v>
      </c>
      <c r="N886">
        <v>18</v>
      </c>
      <c r="O886">
        <v>11811</v>
      </c>
      <c r="P886" t="s">
        <v>41</v>
      </c>
      <c r="Q886" t="s">
        <v>48</v>
      </c>
      <c r="R886" t="s">
        <v>28</v>
      </c>
      <c r="S886" t="s">
        <v>29</v>
      </c>
      <c r="T886" t="s">
        <v>30</v>
      </c>
      <c r="U886">
        <f t="shared" si="65"/>
        <v>87145</v>
      </c>
      <c r="V886" t="str">
        <f t="shared" si="66"/>
        <v>Needs Improvement</v>
      </c>
      <c r="W886" t="str">
        <f t="shared" si="67"/>
        <v>Normal</v>
      </c>
      <c r="X886" t="str">
        <f t="shared" si="68"/>
        <v>Junior</v>
      </c>
      <c r="Y886" t="str">
        <f t="shared" si="69"/>
        <v>25-34</v>
      </c>
    </row>
    <row r="887" spans="1:25" x14ac:dyDescent="0.3">
      <c r="A887">
        <v>1886</v>
      </c>
      <c r="B887" t="s">
        <v>178</v>
      </c>
      <c r="C887" t="s">
        <v>37</v>
      </c>
      <c r="D887">
        <v>38</v>
      </c>
      <c r="E887" t="s">
        <v>38</v>
      </c>
      <c r="F887" t="s">
        <v>39</v>
      </c>
      <c r="G887" t="s">
        <v>51</v>
      </c>
      <c r="H887" t="s">
        <v>846</v>
      </c>
      <c r="I887">
        <v>8</v>
      </c>
      <c r="J887">
        <v>50966</v>
      </c>
      <c r="K887">
        <v>2.5</v>
      </c>
      <c r="L887">
        <v>97.3</v>
      </c>
      <c r="M887">
        <v>20</v>
      </c>
      <c r="N887">
        <v>5</v>
      </c>
      <c r="O887">
        <v>5726</v>
      </c>
      <c r="P887" t="s">
        <v>53</v>
      </c>
      <c r="Q887" t="s">
        <v>27</v>
      </c>
      <c r="R887" t="s">
        <v>42</v>
      </c>
      <c r="S887" t="s">
        <v>49</v>
      </c>
      <c r="T887" t="s">
        <v>50</v>
      </c>
      <c r="U887">
        <f t="shared" si="65"/>
        <v>56692</v>
      </c>
      <c r="V887" t="str">
        <f t="shared" si="66"/>
        <v>Excellent</v>
      </c>
      <c r="W887" t="str">
        <f t="shared" si="67"/>
        <v>Normal</v>
      </c>
      <c r="X887" t="str">
        <f t="shared" si="68"/>
        <v>Senior</v>
      </c>
      <c r="Y887" t="str">
        <f t="shared" si="69"/>
        <v>35-44</v>
      </c>
    </row>
    <row r="888" spans="1:25" x14ac:dyDescent="0.3">
      <c r="A888">
        <v>1887</v>
      </c>
      <c r="B888" t="s">
        <v>83</v>
      </c>
      <c r="C888" t="s">
        <v>37</v>
      </c>
      <c r="D888">
        <v>35</v>
      </c>
      <c r="E888" t="s">
        <v>91</v>
      </c>
      <c r="F888" t="s">
        <v>101</v>
      </c>
      <c r="G888" t="s">
        <v>59</v>
      </c>
      <c r="H888" t="s">
        <v>847</v>
      </c>
      <c r="I888">
        <v>6</v>
      </c>
      <c r="J888">
        <v>52179</v>
      </c>
      <c r="K888">
        <v>4.0999999999999996</v>
      </c>
      <c r="L888">
        <v>86.2</v>
      </c>
      <c r="M888">
        <v>10</v>
      </c>
      <c r="N888">
        <v>5</v>
      </c>
      <c r="O888">
        <v>6913</v>
      </c>
      <c r="P888" t="s">
        <v>47</v>
      </c>
      <c r="Q888" t="s">
        <v>27</v>
      </c>
      <c r="R888" t="s">
        <v>58</v>
      </c>
      <c r="S888" t="s">
        <v>49</v>
      </c>
      <c r="T888" t="s">
        <v>50</v>
      </c>
      <c r="U888">
        <f t="shared" si="65"/>
        <v>59092</v>
      </c>
      <c r="V888" t="str">
        <f t="shared" si="66"/>
        <v>Needs Improvement</v>
      </c>
      <c r="W888" t="str">
        <f t="shared" si="67"/>
        <v>Normal</v>
      </c>
      <c r="X888" t="str">
        <f t="shared" si="68"/>
        <v>Mid</v>
      </c>
      <c r="Y888" t="str">
        <f t="shared" si="69"/>
        <v>35-44</v>
      </c>
    </row>
    <row r="889" spans="1:25" x14ac:dyDescent="0.3">
      <c r="A889">
        <v>1888</v>
      </c>
      <c r="B889" t="s">
        <v>73</v>
      </c>
      <c r="C889" t="s">
        <v>37</v>
      </c>
      <c r="D889">
        <v>27</v>
      </c>
      <c r="E889" t="s">
        <v>38</v>
      </c>
      <c r="F889" t="s">
        <v>44</v>
      </c>
      <c r="G889" t="s">
        <v>24</v>
      </c>
      <c r="H889" t="s">
        <v>848</v>
      </c>
      <c r="I889">
        <v>2</v>
      </c>
      <c r="J889">
        <v>62898</v>
      </c>
      <c r="K889">
        <v>3</v>
      </c>
      <c r="L889">
        <v>97.6</v>
      </c>
      <c r="M889">
        <v>23</v>
      </c>
      <c r="N889">
        <v>18</v>
      </c>
      <c r="O889">
        <v>6233</v>
      </c>
      <c r="P889" t="s">
        <v>33</v>
      </c>
      <c r="Q889" t="s">
        <v>48</v>
      </c>
      <c r="R889" t="s">
        <v>28</v>
      </c>
      <c r="S889" t="s">
        <v>49</v>
      </c>
      <c r="T889" t="s">
        <v>30</v>
      </c>
      <c r="U889">
        <f t="shared" si="65"/>
        <v>69131</v>
      </c>
      <c r="V889" t="str">
        <f t="shared" si="66"/>
        <v>Excellent</v>
      </c>
      <c r="W889" t="str">
        <f t="shared" si="67"/>
        <v>High</v>
      </c>
      <c r="X889" t="str">
        <f t="shared" si="68"/>
        <v>Junior</v>
      </c>
      <c r="Y889" t="str">
        <f t="shared" si="69"/>
        <v>25-34</v>
      </c>
    </row>
    <row r="890" spans="1:25" x14ac:dyDescent="0.3">
      <c r="A890">
        <v>1889</v>
      </c>
      <c r="B890" t="s">
        <v>75</v>
      </c>
      <c r="C890" t="s">
        <v>37</v>
      </c>
      <c r="D890">
        <v>36</v>
      </c>
      <c r="E890" t="s">
        <v>91</v>
      </c>
      <c r="F890" t="s">
        <v>92</v>
      </c>
      <c r="G890" t="s">
        <v>59</v>
      </c>
      <c r="H890" t="s">
        <v>116</v>
      </c>
      <c r="I890">
        <v>8</v>
      </c>
      <c r="J890">
        <v>84703</v>
      </c>
      <c r="K890">
        <v>3.2</v>
      </c>
      <c r="L890">
        <v>86.9</v>
      </c>
      <c r="M890">
        <v>4</v>
      </c>
      <c r="N890">
        <v>52</v>
      </c>
      <c r="O890">
        <v>14583</v>
      </c>
      <c r="P890" t="s">
        <v>47</v>
      </c>
      <c r="Q890" t="s">
        <v>48</v>
      </c>
      <c r="R890" t="s">
        <v>28</v>
      </c>
      <c r="S890" t="s">
        <v>29</v>
      </c>
      <c r="T890" t="s">
        <v>50</v>
      </c>
      <c r="U890">
        <f t="shared" si="65"/>
        <v>99286</v>
      </c>
      <c r="V890" t="str">
        <f t="shared" si="66"/>
        <v>Needs Improvement</v>
      </c>
      <c r="W890" t="str">
        <f t="shared" si="67"/>
        <v>Normal</v>
      </c>
      <c r="X890" t="str">
        <f t="shared" si="68"/>
        <v>Senior</v>
      </c>
      <c r="Y890" t="str">
        <f t="shared" si="69"/>
        <v>35-44</v>
      </c>
    </row>
    <row r="891" spans="1:25" x14ac:dyDescent="0.3">
      <c r="A891">
        <v>1890</v>
      </c>
      <c r="B891" t="s">
        <v>78</v>
      </c>
      <c r="C891" t="s">
        <v>21</v>
      </c>
      <c r="D891">
        <v>24</v>
      </c>
      <c r="E891" t="s">
        <v>22</v>
      </c>
      <c r="F891" t="s">
        <v>66</v>
      </c>
      <c r="G891" t="s">
        <v>51</v>
      </c>
      <c r="H891" t="s">
        <v>849</v>
      </c>
      <c r="I891">
        <v>9</v>
      </c>
      <c r="J891">
        <v>31517</v>
      </c>
      <c r="K891">
        <v>2.7</v>
      </c>
      <c r="L891">
        <v>98.7</v>
      </c>
      <c r="M891">
        <v>14</v>
      </c>
      <c r="N891">
        <v>28</v>
      </c>
      <c r="O891">
        <v>14049</v>
      </c>
      <c r="P891" t="s">
        <v>47</v>
      </c>
      <c r="Q891" t="s">
        <v>48</v>
      </c>
      <c r="R891" t="s">
        <v>42</v>
      </c>
      <c r="S891" t="s">
        <v>34</v>
      </c>
      <c r="T891" t="s">
        <v>50</v>
      </c>
      <c r="U891">
        <f t="shared" si="65"/>
        <v>45566</v>
      </c>
      <c r="V891" t="str">
        <f t="shared" si="66"/>
        <v>Excellent</v>
      </c>
      <c r="W891" t="str">
        <f t="shared" si="67"/>
        <v>Normal</v>
      </c>
      <c r="X891" t="str">
        <f t="shared" si="68"/>
        <v>Senior</v>
      </c>
      <c r="Y891" t="str">
        <f t="shared" si="69"/>
        <v>20-24</v>
      </c>
    </row>
    <row r="892" spans="1:25" x14ac:dyDescent="0.3">
      <c r="A892">
        <v>1891</v>
      </c>
      <c r="B892" t="s">
        <v>54</v>
      </c>
      <c r="C892" t="s">
        <v>37</v>
      </c>
      <c r="D892">
        <v>34</v>
      </c>
      <c r="E892" t="s">
        <v>91</v>
      </c>
      <c r="F892" t="s">
        <v>92</v>
      </c>
      <c r="G892" t="s">
        <v>24</v>
      </c>
      <c r="H892" t="s">
        <v>468</v>
      </c>
      <c r="I892">
        <v>0</v>
      </c>
      <c r="J892">
        <v>94086</v>
      </c>
      <c r="K892">
        <v>4.4000000000000004</v>
      </c>
      <c r="L892">
        <v>89</v>
      </c>
      <c r="M892">
        <v>18</v>
      </c>
      <c r="N892">
        <v>58</v>
      </c>
      <c r="O892">
        <v>12969</v>
      </c>
      <c r="P892" t="s">
        <v>47</v>
      </c>
      <c r="Q892" t="s">
        <v>48</v>
      </c>
      <c r="R892" t="s">
        <v>58</v>
      </c>
      <c r="S892" t="s">
        <v>29</v>
      </c>
      <c r="T892" t="s">
        <v>30</v>
      </c>
      <c r="U892">
        <f t="shared" si="65"/>
        <v>107055</v>
      </c>
      <c r="V892" t="str">
        <f t="shared" si="66"/>
        <v>Needs Improvement</v>
      </c>
      <c r="W892" t="str">
        <f t="shared" si="67"/>
        <v>Normal</v>
      </c>
      <c r="X892" t="str">
        <f t="shared" si="68"/>
        <v>Junior</v>
      </c>
      <c r="Y892" t="str">
        <f t="shared" si="69"/>
        <v>25-34</v>
      </c>
    </row>
    <row r="893" spans="1:25" x14ac:dyDescent="0.3">
      <c r="A893">
        <v>1892</v>
      </c>
      <c r="B893" t="s">
        <v>178</v>
      </c>
      <c r="C893" t="s">
        <v>21</v>
      </c>
      <c r="D893">
        <v>27</v>
      </c>
      <c r="E893" t="s">
        <v>22</v>
      </c>
      <c r="F893" t="s">
        <v>66</v>
      </c>
      <c r="G893" t="s">
        <v>45</v>
      </c>
      <c r="H893" t="s">
        <v>850</v>
      </c>
      <c r="I893">
        <v>7</v>
      </c>
      <c r="J893">
        <v>48659</v>
      </c>
      <c r="K893">
        <v>3.1</v>
      </c>
      <c r="L893">
        <v>100</v>
      </c>
      <c r="M893">
        <v>8</v>
      </c>
      <c r="N893">
        <v>58</v>
      </c>
      <c r="O893">
        <v>5817</v>
      </c>
      <c r="P893" t="s">
        <v>33</v>
      </c>
      <c r="Q893" t="s">
        <v>48</v>
      </c>
      <c r="R893" t="s">
        <v>28</v>
      </c>
      <c r="S893" t="s">
        <v>34</v>
      </c>
      <c r="T893" t="s">
        <v>50</v>
      </c>
      <c r="U893">
        <f t="shared" si="65"/>
        <v>54476</v>
      </c>
      <c r="V893" t="str">
        <f t="shared" si="66"/>
        <v>Excellent</v>
      </c>
      <c r="W893" t="str">
        <f t="shared" si="67"/>
        <v>Normal</v>
      </c>
      <c r="X893" t="str">
        <f t="shared" si="68"/>
        <v>Senior</v>
      </c>
      <c r="Y893" t="str">
        <f t="shared" si="69"/>
        <v>25-34</v>
      </c>
    </row>
    <row r="894" spans="1:25" x14ac:dyDescent="0.3">
      <c r="A894">
        <v>1893</v>
      </c>
      <c r="B894" t="s">
        <v>73</v>
      </c>
      <c r="C894" t="s">
        <v>21</v>
      </c>
      <c r="D894">
        <v>41</v>
      </c>
      <c r="E894" t="s">
        <v>62</v>
      </c>
      <c r="F894" t="s">
        <v>97</v>
      </c>
      <c r="G894" t="s">
        <v>24</v>
      </c>
      <c r="H894" t="s">
        <v>851</v>
      </c>
      <c r="I894">
        <v>8</v>
      </c>
      <c r="J894">
        <v>73463</v>
      </c>
      <c r="K894">
        <v>4.9000000000000004</v>
      </c>
      <c r="L894">
        <v>87.4</v>
      </c>
      <c r="M894">
        <v>17</v>
      </c>
      <c r="N894">
        <v>37</v>
      </c>
      <c r="O894">
        <v>10132</v>
      </c>
      <c r="P894" t="s">
        <v>33</v>
      </c>
      <c r="Q894" t="s">
        <v>27</v>
      </c>
      <c r="R894" t="s">
        <v>70</v>
      </c>
      <c r="S894" t="s">
        <v>29</v>
      </c>
      <c r="T894" t="s">
        <v>50</v>
      </c>
      <c r="U894">
        <f t="shared" si="65"/>
        <v>83595</v>
      </c>
      <c r="V894" t="str">
        <f t="shared" si="66"/>
        <v>Needs Improvement</v>
      </c>
      <c r="W894" t="str">
        <f t="shared" si="67"/>
        <v>Normal</v>
      </c>
      <c r="X894" t="str">
        <f t="shared" si="68"/>
        <v>Senior</v>
      </c>
      <c r="Y894" t="str">
        <f t="shared" si="69"/>
        <v>35-44</v>
      </c>
    </row>
    <row r="895" spans="1:25" x14ac:dyDescent="0.3">
      <c r="A895">
        <v>1894</v>
      </c>
      <c r="B895" t="s">
        <v>85</v>
      </c>
      <c r="C895" t="s">
        <v>37</v>
      </c>
      <c r="D895">
        <v>35</v>
      </c>
      <c r="E895" t="s">
        <v>91</v>
      </c>
      <c r="F895" t="s">
        <v>92</v>
      </c>
      <c r="G895" t="s">
        <v>64</v>
      </c>
      <c r="H895" t="s">
        <v>852</v>
      </c>
      <c r="I895">
        <v>6</v>
      </c>
      <c r="J895">
        <v>57475</v>
      </c>
      <c r="K895">
        <v>3.1</v>
      </c>
      <c r="L895">
        <v>92.7</v>
      </c>
      <c r="M895">
        <v>20</v>
      </c>
      <c r="N895">
        <v>28</v>
      </c>
      <c r="O895">
        <v>14001</v>
      </c>
      <c r="P895" t="s">
        <v>47</v>
      </c>
      <c r="Q895" t="s">
        <v>48</v>
      </c>
      <c r="R895" t="s">
        <v>28</v>
      </c>
      <c r="S895" t="s">
        <v>49</v>
      </c>
      <c r="T895" t="s">
        <v>50</v>
      </c>
      <c r="U895">
        <f t="shared" si="65"/>
        <v>71476</v>
      </c>
      <c r="V895" t="str">
        <f t="shared" si="66"/>
        <v>Needs Improvement</v>
      </c>
      <c r="W895" t="str">
        <f t="shared" si="67"/>
        <v>Normal</v>
      </c>
      <c r="X895" t="str">
        <f t="shared" si="68"/>
        <v>Mid</v>
      </c>
      <c r="Y895" t="str">
        <f t="shared" si="69"/>
        <v>35-44</v>
      </c>
    </row>
    <row r="896" spans="1:25" x14ac:dyDescent="0.3">
      <c r="A896">
        <v>1895</v>
      </c>
      <c r="B896" t="s">
        <v>73</v>
      </c>
      <c r="C896" t="s">
        <v>21</v>
      </c>
      <c r="D896">
        <v>33</v>
      </c>
      <c r="E896" t="s">
        <v>91</v>
      </c>
      <c r="F896" t="s">
        <v>101</v>
      </c>
      <c r="G896" t="s">
        <v>24</v>
      </c>
      <c r="H896" t="s">
        <v>233</v>
      </c>
      <c r="I896">
        <v>9</v>
      </c>
      <c r="J896">
        <v>93883</v>
      </c>
      <c r="K896">
        <v>3.1</v>
      </c>
      <c r="L896">
        <v>93.9</v>
      </c>
      <c r="M896">
        <v>3</v>
      </c>
      <c r="N896">
        <v>53</v>
      </c>
      <c r="O896">
        <v>11782</v>
      </c>
      <c r="P896" t="s">
        <v>26</v>
      </c>
      <c r="Q896" t="s">
        <v>48</v>
      </c>
      <c r="R896" t="s">
        <v>28</v>
      </c>
      <c r="S896" t="s">
        <v>29</v>
      </c>
      <c r="T896" t="s">
        <v>50</v>
      </c>
      <c r="U896">
        <f t="shared" si="65"/>
        <v>105665</v>
      </c>
      <c r="V896" t="str">
        <f t="shared" si="66"/>
        <v>Needs Improvement</v>
      </c>
      <c r="W896" t="str">
        <f t="shared" si="67"/>
        <v>Normal</v>
      </c>
      <c r="X896" t="str">
        <f t="shared" si="68"/>
        <v>Senior</v>
      </c>
      <c r="Y896" t="str">
        <f t="shared" si="69"/>
        <v>25-34</v>
      </c>
    </row>
    <row r="897" spans="1:25" x14ac:dyDescent="0.3">
      <c r="A897">
        <v>1896</v>
      </c>
      <c r="B897" t="s">
        <v>78</v>
      </c>
      <c r="C897" t="s">
        <v>37</v>
      </c>
      <c r="D897">
        <v>39</v>
      </c>
      <c r="E897" t="s">
        <v>38</v>
      </c>
      <c r="F897" t="s">
        <v>39</v>
      </c>
      <c r="G897" t="s">
        <v>45</v>
      </c>
      <c r="H897" t="s">
        <v>853</v>
      </c>
      <c r="I897">
        <v>9</v>
      </c>
      <c r="J897">
        <v>62416</v>
      </c>
      <c r="K897">
        <v>4.0999999999999996</v>
      </c>
      <c r="L897">
        <v>89.5</v>
      </c>
      <c r="M897">
        <v>5</v>
      </c>
      <c r="N897">
        <v>35</v>
      </c>
      <c r="O897">
        <v>7341</v>
      </c>
      <c r="P897" t="s">
        <v>26</v>
      </c>
      <c r="Q897" t="s">
        <v>27</v>
      </c>
      <c r="R897" t="s">
        <v>58</v>
      </c>
      <c r="S897" t="s">
        <v>49</v>
      </c>
      <c r="T897" t="s">
        <v>50</v>
      </c>
      <c r="U897">
        <f t="shared" si="65"/>
        <v>69757</v>
      </c>
      <c r="V897" t="str">
        <f t="shared" si="66"/>
        <v>Needs Improvement</v>
      </c>
      <c r="W897" t="str">
        <f t="shared" si="67"/>
        <v>Normal</v>
      </c>
      <c r="X897" t="str">
        <f t="shared" si="68"/>
        <v>Senior</v>
      </c>
      <c r="Y897" t="str">
        <f t="shared" si="69"/>
        <v>35-44</v>
      </c>
    </row>
    <row r="898" spans="1:25" x14ac:dyDescent="0.3">
      <c r="A898">
        <v>1897</v>
      </c>
      <c r="B898" t="s">
        <v>43</v>
      </c>
      <c r="C898" t="s">
        <v>21</v>
      </c>
      <c r="D898">
        <v>38</v>
      </c>
      <c r="E898" t="s">
        <v>22</v>
      </c>
      <c r="F898" t="s">
        <v>66</v>
      </c>
      <c r="G898" t="s">
        <v>51</v>
      </c>
      <c r="H898" t="s">
        <v>854</v>
      </c>
      <c r="I898">
        <v>9</v>
      </c>
      <c r="J898">
        <v>76750</v>
      </c>
      <c r="K898">
        <v>4.5999999999999996</v>
      </c>
      <c r="L898">
        <v>88.9</v>
      </c>
      <c r="M898">
        <v>6</v>
      </c>
      <c r="N898">
        <v>32</v>
      </c>
      <c r="O898">
        <v>1840</v>
      </c>
      <c r="P898" t="s">
        <v>26</v>
      </c>
      <c r="Q898" t="s">
        <v>27</v>
      </c>
      <c r="R898" t="s">
        <v>70</v>
      </c>
      <c r="S898" t="s">
        <v>29</v>
      </c>
      <c r="T898" t="s">
        <v>50</v>
      </c>
      <c r="U898">
        <f t="shared" si="65"/>
        <v>78590</v>
      </c>
      <c r="V898" t="str">
        <f t="shared" si="66"/>
        <v>Needs Improvement</v>
      </c>
      <c r="W898" t="str">
        <f t="shared" si="67"/>
        <v>Normal</v>
      </c>
      <c r="X898" t="str">
        <f t="shared" si="68"/>
        <v>Senior</v>
      </c>
      <c r="Y898" t="str">
        <f t="shared" si="69"/>
        <v>35-44</v>
      </c>
    </row>
    <row r="899" spans="1:25" x14ac:dyDescent="0.3">
      <c r="A899">
        <v>1898</v>
      </c>
      <c r="B899" t="s">
        <v>85</v>
      </c>
      <c r="C899" t="s">
        <v>37</v>
      </c>
      <c r="D899">
        <v>41</v>
      </c>
      <c r="E899" t="s">
        <v>38</v>
      </c>
      <c r="F899" t="s">
        <v>44</v>
      </c>
      <c r="G899" t="s">
        <v>59</v>
      </c>
      <c r="H899" t="s">
        <v>855</v>
      </c>
      <c r="I899">
        <v>4</v>
      </c>
      <c r="J899">
        <v>90767</v>
      </c>
      <c r="K899">
        <v>2.7</v>
      </c>
      <c r="L899">
        <v>90.1</v>
      </c>
      <c r="M899">
        <v>22</v>
      </c>
      <c r="N899">
        <v>44</v>
      </c>
      <c r="O899">
        <v>6388</v>
      </c>
      <c r="P899" t="s">
        <v>33</v>
      </c>
      <c r="Q899" t="s">
        <v>48</v>
      </c>
      <c r="R899" t="s">
        <v>42</v>
      </c>
      <c r="S899" t="s">
        <v>29</v>
      </c>
      <c r="T899" t="s">
        <v>35</v>
      </c>
      <c r="U899">
        <f t="shared" ref="U899:U962" si="70">J899+O899</f>
        <v>97155</v>
      </c>
      <c r="V899" t="str">
        <f t="shared" ref="V899:V962" si="71">IF(L899&gt;=95,"Excellent","Needs Improvement")</f>
        <v>Needs Improvement</v>
      </c>
      <c r="W899" t="str">
        <f t="shared" ref="W899:W962" si="72">IF(M899&gt;20,"High","Normal")</f>
        <v>High</v>
      </c>
      <c r="X899" t="str">
        <f t="shared" ref="X899:X962" si="73">IF(I899&lt;3,"Junior",IF(I899&lt;7,"Mid","Senior"))</f>
        <v>Mid</v>
      </c>
      <c r="Y899" t="str">
        <f t="shared" ref="Y899:Y962" si="74">IF(D899&lt;25,"20-24",IF(D899&lt;35,"25-34",IF(D899&lt;45,"35-44","45+")))</f>
        <v>35-44</v>
      </c>
    </row>
    <row r="900" spans="1:25" x14ac:dyDescent="0.3">
      <c r="A900">
        <v>1899</v>
      </c>
      <c r="B900" t="s">
        <v>75</v>
      </c>
      <c r="C900" t="s">
        <v>37</v>
      </c>
      <c r="D900">
        <v>42</v>
      </c>
      <c r="E900" t="s">
        <v>62</v>
      </c>
      <c r="F900" t="s">
        <v>63</v>
      </c>
      <c r="G900" t="s">
        <v>24</v>
      </c>
      <c r="H900" t="s">
        <v>856</v>
      </c>
      <c r="I900">
        <v>3</v>
      </c>
      <c r="K900">
        <v>4.9000000000000004</v>
      </c>
      <c r="L900">
        <v>98.9</v>
      </c>
      <c r="M900">
        <v>0</v>
      </c>
      <c r="N900">
        <v>46</v>
      </c>
      <c r="O900">
        <v>2594</v>
      </c>
      <c r="P900" t="s">
        <v>53</v>
      </c>
      <c r="Q900" t="s">
        <v>27</v>
      </c>
      <c r="R900" t="s">
        <v>70</v>
      </c>
      <c r="S900" t="s">
        <v>34</v>
      </c>
      <c r="T900" t="s">
        <v>35</v>
      </c>
      <c r="U900">
        <f t="shared" si="70"/>
        <v>2594</v>
      </c>
      <c r="V900" t="str">
        <f t="shared" si="71"/>
        <v>Excellent</v>
      </c>
      <c r="W900" t="str">
        <f t="shared" si="72"/>
        <v>Normal</v>
      </c>
      <c r="X900" t="str">
        <f t="shared" si="73"/>
        <v>Mid</v>
      </c>
      <c r="Y900" t="str">
        <f t="shared" si="74"/>
        <v>35-44</v>
      </c>
    </row>
    <row r="901" spans="1:25" x14ac:dyDescent="0.3">
      <c r="A901">
        <v>1900</v>
      </c>
      <c r="B901" t="s">
        <v>111</v>
      </c>
      <c r="C901" t="s">
        <v>21</v>
      </c>
      <c r="D901">
        <v>34</v>
      </c>
      <c r="E901" t="s">
        <v>22</v>
      </c>
      <c r="F901" t="s">
        <v>23</v>
      </c>
      <c r="G901" t="s">
        <v>64</v>
      </c>
      <c r="H901" t="s">
        <v>857</v>
      </c>
      <c r="I901">
        <v>5</v>
      </c>
      <c r="J901">
        <v>48647</v>
      </c>
      <c r="K901">
        <v>2.9</v>
      </c>
      <c r="L901">
        <v>89.1</v>
      </c>
      <c r="M901">
        <v>11</v>
      </c>
      <c r="N901">
        <v>41</v>
      </c>
      <c r="O901">
        <v>4895</v>
      </c>
      <c r="P901" t="s">
        <v>53</v>
      </c>
      <c r="Q901" t="s">
        <v>27</v>
      </c>
      <c r="R901" t="s">
        <v>42</v>
      </c>
      <c r="S901" t="s">
        <v>34</v>
      </c>
      <c r="T901" t="s">
        <v>35</v>
      </c>
      <c r="U901">
        <f t="shared" si="70"/>
        <v>53542</v>
      </c>
      <c r="V901" t="str">
        <f t="shared" si="71"/>
        <v>Needs Improvement</v>
      </c>
      <c r="W901" t="str">
        <f t="shared" si="72"/>
        <v>Normal</v>
      </c>
      <c r="X901" t="str">
        <f t="shared" si="73"/>
        <v>Mid</v>
      </c>
      <c r="Y901" t="str">
        <f t="shared" si="74"/>
        <v>25-34</v>
      </c>
    </row>
    <row r="902" spans="1:25" x14ac:dyDescent="0.3">
      <c r="A902">
        <v>1901</v>
      </c>
      <c r="B902" t="s">
        <v>54</v>
      </c>
      <c r="C902" t="s">
        <v>37</v>
      </c>
      <c r="D902">
        <v>33</v>
      </c>
      <c r="E902" t="s">
        <v>91</v>
      </c>
      <c r="F902" t="s">
        <v>92</v>
      </c>
      <c r="G902" t="s">
        <v>51</v>
      </c>
      <c r="H902" t="s">
        <v>858</v>
      </c>
      <c r="I902">
        <v>2</v>
      </c>
      <c r="J902">
        <v>71210</v>
      </c>
      <c r="K902">
        <v>3.7</v>
      </c>
      <c r="L902">
        <v>86</v>
      </c>
      <c r="M902">
        <v>0</v>
      </c>
      <c r="N902">
        <v>7</v>
      </c>
      <c r="O902">
        <v>1882</v>
      </c>
      <c r="P902" t="s">
        <v>33</v>
      </c>
      <c r="Q902" t="s">
        <v>27</v>
      </c>
      <c r="R902" t="s">
        <v>28</v>
      </c>
      <c r="S902" t="s">
        <v>29</v>
      </c>
      <c r="T902" t="s">
        <v>30</v>
      </c>
      <c r="U902">
        <f t="shared" si="70"/>
        <v>73092</v>
      </c>
      <c r="V902" t="str">
        <f t="shared" si="71"/>
        <v>Needs Improvement</v>
      </c>
      <c r="W902" t="str">
        <f t="shared" si="72"/>
        <v>Normal</v>
      </c>
      <c r="X902" t="str">
        <f t="shared" si="73"/>
        <v>Junior</v>
      </c>
      <c r="Y902" t="str">
        <f t="shared" si="74"/>
        <v>25-34</v>
      </c>
    </row>
    <row r="903" spans="1:25" x14ac:dyDescent="0.3">
      <c r="A903">
        <v>1902</v>
      </c>
      <c r="B903" t="s">
        <v>148</v>
      </c>
      <c r="C903" t="s">
        <v>37</v>
      </c>
      <c r="D903">
        <v>26</v>
      </c>
      <c r="E903" t="s">
        <v>91</v>
      </c>
      <c r="F903" t="s">
        <v>92</v>
      </c>
      <c r="G903" t="s">
        <v>45</v>
      </c>
      <c r="H903" t="s">
        <v>859</v>
      </c>
      <c r="I903">
        <v>10</v>
      </c>
      <c r="J903">
        <v>76535</v>
      </c>
      <c r="K903">
        <v>4</v>
      </c>
      <c r="L903">
        <v>94.5</v>
      </c>
      <c r="M903">
        <v>21</v>
      </c>
      <c r="N903">
        <v>32</v>
      </c>
      <c r="O903">
        <v>1994</v>
      </c>
      <c r="P903" t="s">
        <v>47</v>
      </c>
      <c r="Q903" t="s">
        <v>27</v>
      </c>
      <c r="R903" t="s">
        <v>58</v>
      </c>
      <c r="S903" t="s">
        <v>29</v>
      </c>
      <c r="T903" t="s">
        <v>50</v>
      </c>
      <c r="U903">
        <f t="shared" si="70"/>
        <v>78529</v>
      </c>
      <c r="V903" t="str">
        <f t="shared" si="71"/>
        <v>Needs Improvement</v>
      </c>
      <c r="W903" t="str">
        <f t="shared" si="72"/>
        <v>High</v>
      </c>
      <c r="X903" t="str">
        <f t="shared" si="73"/>
        <v>Senior</v>
      </c>
      <c r="Y903" t="str">
        <f t="shared" si="74"/>
        <v>25-34</v>
      </c>
    </row>
    <row r="904" spans="1:25" x14ac:dyDescent="0.3">
      <c r="A904">
        <v>1903</v>
      </c>
      <c r="B904" t="s">
        <v>99</v>
      </c>
      <c r="C904" t="s">
        <v>21</v>
      </c>
      <c r="D904">
        <v>44</v>
      </c>
      <c r="E904" t="s">
        <v>38</v>
      </c>
      <c r="F904" t="s">
        <v>44</v>
      </c>
      <c r="G904" t="s">
        <v>45</v>
      </c>
      <c r="H904" t="s">
        <v>860</v>
      </c>
      <c r="I904">
        <v>2</v>
      </c>
      <c r="J904">
        <v>59585</v>
      </c>
      <c r="K904">
        <v>3.9</v>
      </c>
      <c r="L904">
        <v>95.5</v>
      </c>
      <c r="M904">
        <v>24</v>
      </c>
      <c r="N904">
        <v>24</v>
      </c>
      <c r="O904">
        <v>13067</v>
      </c>
      <c r="P904" t="s">
        <v>47</v>
      </c>
      <c r="Q904" t="s">
        <v>27</v>
      </c>
      <c r="R904" t="s">
        <v>28</v>
      </c>
      <c r="S904" t="s">
        <v>49</v>
      </c>
      <c r="T904" t="s">
        <v>30</v>
      </c>
      <c r="U904">
        <f t="shared" si="70"/>
        <v>72652</v>
      </c>
      <c r="V904" t="str">
        <f t="shared" si="71"/>
        <v>Excellent</v>
      </c>
      <c r="W904" t="str">
        <f t="shared" si="72"/>
        <v>High</v>
      </c>
      <c r="X904" t="str">
        <f t="shared" si="73"/>
        <v>Junior</v>
      </c>
      <c r="Y904" t="str">
        <f t="shared" si="74"/>
        <v>35-44</v>
      </c>
    </row>
    <row r="905" spans="1:25" x14ac:dyDescent="0.3">
      <c r="A905">
        <v>1904</v>
      </c>
      <c r="B905" t="s">
        <v>121</v>
      </c>
      <c r="C905" t="s">
        <v>21</v>
      </c>
      <c r="D905">
        <v>37</v>
      </c>
      <c r="E905" t="s">
        <v>22</v>
      </c>
      <c r="F905" t="s">
        <v>23</v>
      </c>
      <c r="G905" t="s">
        <v>24</v>
      </c>
      <c r="H905" t="s">
        <v>861</v>
      </c>
      <c r="I905">
        <v>7</v>
      </c>
      <c r="J905">
        <v>78894</v>
      </c>
      <c r="K905">
        <v>4.4000000000000004</v>
      </c>
      <c r="L905">
        <v>95.9</v>
      </c>
      <c r="M905">
        <v>6</v>
      </c>
      <c r="N905">
        <v>14</v>
      </c>
      <c r="O905">
        <v>8568</v>
      </c>
      <c r="P905" t="s">
        <v>26</v>
      </c>
      <c r="Q905" t="s">
        <v>48</v>
      </c>
      <c r="R905" t="s">
        <v>58</v>
      </c>
      <c r="S905" t="s">
        <v>29</v>
      </c>
      <c r="T905" t="s">
        <v>50</v>
      </c>
      <c r="U905">
        <f t="shared" si="70"/>
        <v>87462</v>
      </c>
      <c r="V905" t="str">
        <f t="shared" si="71"/>
        <v>Excellent</v>
      </c>
      <c r="W905" t="str">
        <f t="shared" si="72"/>
        <v>Normal</v>
      </c>
      <c r="X905" t="str">
        <f t="shared" si="73"/>
        <v>Senior</v>
      </c>
      <c r="Y905" t="str">
        <f t="shared" si="74"/>
        <v>35-44</v>
      </c>
    </row>
    <row r="906" spans="1:25" x14ac:dyDescent="0.3">
      <c r="A906">
        <v>1905</v>
      </c>
      <c r="B906" t="s">
        <v>83</v>
      </c>
      <c r="C906" t="s">
        <v>21</v>
      </c>
      <c r="D906">
        <v>31</v>
      </c>
      <c r="E906" t="s">
        <v>22</v>
      </c>
      <c r="F906" t="s">
        <v>66</v>
      </c>
      <c r="G906" t="s">
        <v>51</v>
      </c>
      <c r="H906" t="s">
        <v>612</v>
      </c>
      <c r="I906">
        <v>4</v>
      </c>
      <c r="J906">
        <v>61526</v>
      </c>
      <c r="K906">
        <v>2.9</v>
      </c>
      <c r="L906">
        <v>99.6</v>
      </c>
      <c r="M906">
        <v>20</v>
      </c>
      <c r="N906">
        <v>18</v>
      </c>
      <c r="O906">
        <v>1710</v>
      </c>
      <c r="P906" t="s">
        <v>47</v>
      </c>
      <c r="Q906" t="s">
        <v>27</v>
      </c>
      <c r="R906" t="s">
        <v>42</v>
      </c>
      <c r="S906" t="s">
        <v>49</v>
      </c>
      <c r="T906" t="s">
        <v>35</v>
      </c>
      <c r="U906">
        <f t="shared" si="70"/>
        <v>63236</v>
      </c>
      <c r="V906" t="str">
        <f t="shared" si="71"/>
        <v>Excellent</v>
      </c>
      <c r="W906" t="str">
        <f t="shared" si="72"/>
        <v>Normal</v>
      </c>
      <c r="X906" t="str">
        <f t="shared" si="73"/>
        <v>Mid</v>
      </c>
      <c r="Y906" t="str">
        <f t="shared" si="74"/>
        <v>25-34</v>
      </c>
    </row>
    <row r="907" spans="1:25" x14ac:dyDescent="0.3">
      <c r="A907">
        <v>1906</v>
      </c>
      <c r="B907" t="s">
        <v>88</v>
      </c>
      <c r="C907" t="s">
        <v>37</v>
      </c>
      <c r="D907">
        <v>39</v>
      </c>
      <c r="E907" t="s">
        <v>22</v>
      </c>
      <c r="F907" t="s">
        <v>66</v>
      </c>
      <c r="G907" t="s">
        <v>45</v>
      </c>
      <c r="H907" t="s">
        <v>862</v>
      </c>
      <c r="I907">
        <v>0</v>
      </c>
      <c r="J907">
        <v>72173</v>
      </c>
      <c r="K907">
        <v>4.5999999999999996</v>
      </c>
      <c r="L907">
        <v>82.2</v>
      </c>
      <c r="M907">
        <v>21</v>
      </c>
      <c r="N907">
        <v>22</v>
      </c>
      <c r="O907">
        <v>12450</v>
      </c>
      <c r="P907" t="s">
        <v>41</v>
      </c>
      <c r="Q907" t="s">
        <v>27</v>
      </c>
      <c r="R907" t="s">
        <v>70</v>
      </c>
      <c r="S907" t="s">
        <v>29</v>
      </c>
      <c r="T907" t="s">
        <v>30</v>
      </c>
      <c r="U907">
        <f t="shared" si="70"/>
        <v>84623</v>
      </c>
      <c r="V907" t="str">
        <f t="shared" si="71"/>
        <v>Needs Improvement</v>
      </c>
      <c r="W907" t="str">
        <f t="shared" si="72"/>
        <v>High</v>
      </c>
      <c r="X907" t="str">
        <f t="shared" si="73"/>
        <v>Junior</v>
      </c>
      <c r="Y907" t="str">
        <f t="shared" si="74"/>
        <v>35-44</v>
      </c>
    </row>
    <row r="908" spans="1:25" x14ac:dyDescent="0.3">
      <c r="A908">
        <v>1907</v>
      </c>
      <c r="B908" t="s">
        <v>71</v>
      </c>
      <c r="C908" t="s">
        <v>37</v>
      </c>
      <c r="D908">
        <v>36</v>
      </c>
      <c r="E908" t="s">
        <v>91</v>
      </c>
      <c r="F908" t="s">
        <v>92</v>
      </c>
      <c r="G908" t="s">
        <v>64</v>
      </c>
      <c r="H908" t="s">
        <v>541</v>
      </c>
      <c r="I908">
        <v>2</v>
      </c>
      <c r="J908">
        <v>35824</v>
      </c>
      <c r="K908">
        <v>3.3</v>
      </c>
      <c r="L908">
        <v>95</v>
      </c>
      <c r="M908">
        <v>2</v>
      </c>
      <c r="N908">
        <v>12</v>
      </c>
      <c r="O908">
        <v>1466</v>
      </c>
      <c r="P908" t="s">
        <v>47</v>
      </c>
      <c r="Q908" t="s">
        <v>27</v>
      </c>
      <c r="R908" t="s">
        <v>28</v>
      </c>
      <c r="S908" t="s">
        <v>34</v>
      </c>
      <c r="T908" t="s">
        <v>30</v>
      </c>
      <c r="U908">
        <f t="shared" si="70"/>
        <v>37290</v>
      </c>
      <c r="V908" t="str">
        <f t="shared" si="71"/>
        <v>Excellent</v>
      </c>
      <c r="W908" t="str">
        <f t="shared" si="72"/>
        <v>Normal</v>
      </c>
      <c r="X908" t="str">
        <f t="shared" si="73"/>
        <v>Junior</v>
      </c>
      <c r="Y908" t="str">
        <f t="shared" si="74"/>
        <v>35-44</v>
      </c>
    </row>
    <row r="909" spans="1:25" x14ac:dyDescent="0.3">
      <c r="A909">
        <v>1908</v>
      </c>
      <c r="B909" t="s">
        <v>121</v>
      </c>
      <c r="C909" t="s">
        <v>21</v>
      </c>
      <c r="D909">
        <v>26</v>
      </c>
      <c r="E909" t="s">
        <v>91</v>
      </c>
      <c r="F909" t="s">
        <v>101</v>
      </c>
      <c r="G909" t="s">
        <v>24</v>
      </c>
      <c r="H909" t="s">
        <v>863</v>
      </c>
      <c r="I909">
        <v>7</v>
      </c>
      <c r="J909">
        <v>36467</v>
      </c>
      <c r="K909">
        <v>2.8</v>
      </c>
      <c r="L909">
        <v>83.7</v>
      </c>
      <c r="M909">
        <v>9</v>
      </c>
      <c r="N909">
        <v>39</v>
      </c>
      <c r="O909">
        <v>6198</v>
      </c>
      <c r="P909" t="s">
        <v>47</v>
      </c>
      <c r="Q909" t="s">
        <v>27</v>
      </c>
      <c r="R909" t="s">
        <v>42</v>
      </c>
      <c r="S909" t="s">
        <v>34</v>
      </c>
      <c r="T909" t="s">
        <v>50</v>
      </c>
      <c r="U909">
        <f t="shared" si="70"/>
        <v>42665</v>
      </c>
      <c r="V909" t="str">
        <f t="shared" si="71"/>
        <v>Needs Improvement</v>
      </c>
      <c r="W909" t="str">
        <f t="shared" si="72"/>
        <v>Normal</v>
      </c>
      <c r="X909" t="str">
        <f t="shared" si="73"/>
        <v>Senior</v>
      </c>
      <c r="Y909" t="str">
        <f t="shared" si="74"/>
        <v>25-34</v>
      </c>
    </row>
    <row r="910" spans="1:25" x14ac:dyDescent="0.3">
      <c r="A910">
        <v>1909</v>
      </c>
      <c r="B910" t="s">
        <v>43</v>
      </c>
      <c r="C910" t="s">
        <v>37</v>
      </c>
      <c r="D910">
        <v>40</v>
      </c>
      <c r="E910" t="s">
        <v>55</v>
      </c>
      <c r="F910" t="s">
        <v>56</v>
      </c>
      <c r="G910" t="s">
        <v>24</v>
      </c>
      <c r="H910" t="s">
        <v>864</v>
      </c>
      <c r="I910">
        <v>0</v>
      </c>
      <c r="J910">
        <v>83568</v>
      </c>
      <c r="K910">
        <v>4.7</v>
      </c>
      <c r="L910">
        <v>99.8</v>
      </c>
      <c r="M910">
        <v>0</v>
      </c>
      <c r="N910">
        <v>24</v>
      </c>
      <c r="O910">
        <v>7958</v>
      </c>
      <c r="P910" t="s">
        <v>53</v>
      </c>
      <c r="Q910" t="s">
        <v>27</v>
      </c>
      <c r="R910" t="s">
        <v>70</v>
      </c>
      <c r="S910" t="s">
        <v>29</v>
      </c>
      <c r="T910" t="s">
        <v>30</v>
      </c>
      <c r="U910">
        <f t="shared" si="70"/>
        <v>91526</v>
      </c>
      <c r="V910" t="str">
        <f t="shared" si="71"/>
        <v>Excellent</v>
      </c>
      <c r="W910" t="str">
        <f t="shared" si="72"/>
        <v>Normal</v>
      </c>
      <c r="X910" t="str">
        <f t="shared" si="73"/>
        <v>Junior</v>
      </c>
      <c r="Y910" t="str">
        <f t="shared" si="74"/>
        <v>35-44</v>
      </c>
    </row>
    <row r="911" spans="1:25" x14ac:dyDescent="0.3">
      <c r="A911">
        <v>1910</v>
      </c>
      <c r="B911" t="s">
        <v>68</v>
      </c>
      <c r="C911" t="s">
        <v>21</v>
      </c>
      <c r="D911">
        <v>40</v>
      </c>
      <c r="E911" t="s">
        <v>62</v>
      </c>
      <c r="F911" t="s">
        <v>63</v>
      </c>
      <c r="G911" t="s">
        <v>51</v>
      </c>
      <c r="H911" t="s">
        <v>865</v>
      </c>
      <c r="I911">
        <v>10</v>
      </c>
      <c r="J911">
        <v>66087</v>
      </c>
      <c r="K911">
        <v>3.4</v>
      </c>
      <c r="L911">
        <v>95.4</v>
      </c>
      <c r="M911">
        <v>2</v>
      </c>
      <c r="N911">
        <v>19</v>
      </c>
      <c r="O911">
        <v>9203</v>
      </c>
      <c r="P911" t="s">
        <v>47</v>
      </c>
      <c r="Q911" t="s">
        <v>27</v>
      </c>
      <c r="R911" t="s">
        <v>28</v>
      </c>
      <c r="S911" t="s">
        <v>49</v>
      </c>
      <c r="T911" t="s">
        <v>50</v>
      </c>
      <c r="U911">
        <f t="shared" si="70"/>
        <v>75290</v>
      </c>
      <c r="V911" t="str">
        <f t="shared" si="71"/>
        <v>Excellent</v>
      </c>
      <c r="W911" t="str">
        <f t="shared" si="72"/>
        <v>Normal</v>
      </c>
      <c r="X911" t="str">
        <f t="shared" si="73"/>
        <v>Senior</v>
      </c>
      <c r="Y911" t="str">
        <f t="shared" si="74"/>
        <v>35-44</v>
      </c>
    </row>
    <row r="912" spans="1:25" x14ac:dyDescent="0.3">
      <c r="A912">
        <v>1911</v>
      </c>
      <c r="B912" t="s">
        <v>124</v>
      </c>
      <c r="C912" t="s">
        <v>37</v>
      </c>
      <c r="D912">
        <v>26</v>
      </c>
      <c r="E912" t="s">
        <v>38</v>
      </c>
      <c r="F912" t="s">
        <v>39</v>
      </c>
      <c r="G912" t="s">
        <v>24</v>
      </c>
      <c r="H912" t="s">
        <v>866</v>
      </c>
      <c r="I912">
        <v>4</v>
      </c>
      <c r="J912">
        <v>68146</v>
      </c>
      <c r="K912">
        <v>4.0999999999999996</v>
      </c>
      <c r="L912">
        <v>85.2</v>
      </c>
      <c r="M912">
        <v>0</v>
      </c>
      <c r="N912">
        <v>48</v>
      </c>
      <c r="O912">
        <v>5193</v>
      </c>
      <c r="P912" t="s">
        <v>53</v>
      </c>
      <c r="Q912" t="s">
        <v>27</v>
      </c>
      <c r="R912" t="s">
        <v>58</v>
      </c>
      <c r="S912" t="s">
        <v>49</v>
      </c>
      <c r="T912" t="s">
        <v>35</v>
      </c>
      <c r="U912">
        <f t="shared" si="70"/>
        <v>73339</v>
      </c>
      <c r="V912" t="str">
        <f t="shared" si="71"/>
        <v>Needs Improvement</v>
      </c>
      <c r="W912" t="str">
        <f t="shared" si="72"/>
        <v>Normal</v>
      </c>
      <c r="X912" t="str">
        <f t="shared" si="73"/>
        <v>Mid</v>
      </c>
      <c r="Y912" t="str">
        <f t="shared" si="74"/>
        <v>25-34</v>
      </c>
    </row>
    <row r="913" spans="1:25" x14ac:dyDescent="0.3">
      <c r="A913">
        <v>1912</v>
      </c>
      <c r="B913" t="s">
        <v>83</v>
      </c>
      <c r="C913" t="s">
        <v>21</v>
      </c>
      <c r="D913">
        <v>35</v>
      </c>
      <c r="E913" t="s">
        <v>91</v>
      </c>
      <c r="F913" t="s">
        <v>101</v>
      </c>
      <c r="G913" t="s">
        <v>24</v>
      </c>
      <c r="H913" t="s">
        <v>867</v>
      </c>
      <c r="I913">
        <v>4</v>
      </c>
      <c r="J913">
        <v>45698</v>
      </c>
      <c r="K913">
        <v>4.5</v>
      </c>
      <c r="L913">
        <v>98</v>
      </c>
      <c r="M913">
        <v>8</v>
      </c>
      <c r="N913">
        <v>58</v>
      </c>
      <c r="O913">
        <v>9476</v>
      </c>
      <c r="P913" t="s">
        <v>41</v>
      </c>
      <c r="Q913" t="s">
        <v>27</v>
      </c>
      <c r="R913" t="s">
        <v>70</v>
      </c>
      <c r="S913" t="s">
        <v>34</v>
      </c>
      <c r="T913" t="s">
        <v>35</v>
      </c>
      <c r="U913">
        <f t="shared" si="70"/>
        <v>55174</v>
      </c>
      <c r="V913" t="str">
        <f t="shared" si="71"/>
        <v>Excellent</v>
      </c>
      <c r="W913" t="str">
        <f t="shared" si="72"/>
        <v>Normal</v>
      </c>
      <c r="X913" t="str">
        <f t="shared" si="73"/>
        <v>Mid</v>
      </c>
      <c r="Y913" t="str">
        <f t="shared" si="74"/>
        <v>35-44</v>
      </c>
    </row>
    <row r="914" spans="1:25" x14ac:dyDescent="0.3">
      <c r="A914">
        <v>1913</v>
      </c>
      <c r="B914" t="s">
        <v>78</v>
      </c>
      <c r="C914" t="s">
        <v>37</v>
      </c>
      <c r="D914">
        <v>34</v>
      </c>
      <c r="E914" t="s">
        <v>62</v>
      </c>
      <c r="F914" t="s">
        <v>63</v>
      </c>
      <c r="G914" t="s">
        <v>59</v>
      </c>
      <c r="H914" t="s">
        <v>868</v>
      </c>
      <c r="I914">
        <v>0</v>
      </c>
      <c r="J914">
        <v>40317</v>
      </c>
      <c r="K914">
        <v>4.5</v>
      </c>
      <c r="L914">
        <v>89.1</v>
      </c>
      <c r="M914">
        <v>4</v>
      </c>
      <c r="N914">
        <v>5</v>
      </c>
      <c r="O914">
        <v>13363</v>
      </c>
      <c r="P914" t="s">
        <v>41</v>
      </c>
      <c r="Q914" t="s">
        <v>27</v>
      </c>
      <c r="R914" t="s">
        <v>70</v>
      </c>
      <c r="S914" t="s">
        <v>34</v>
      </c>
      <c r="T914" t="s">
        <v>30</v>
      </c>
      <c r="U914">
        <f t="shared" si="70"/>
        <v>53680</v>
      </c>
      <c r="V914" t="str">
        <f t="shared" si="71"/>
        <v>Needs Improvement</v>
      </c>
      <c r="W914" t="str">
        <f t="shared" si="72"/>
        <v>Normal</v>
      </c>
      <c r="X914" t="str">
        <f t="shared" si="73"/>
        <v>Junior</v>
      </c>
      <c r="Y914" t="str">
        <f t="shared" si="74"/>
        <v>25-34</v>
      </c>
    </row>
    <row r="915" spans="1:25" x14ac:dyDescent="0.3">
      <c r="A915">
        <v>1914</v>
      </c>
      <c r="B915" t="s">
        <v>20</v>
      </c>
      <c r="C915" t="s">
        <v>37</v>
      </c>
      <c r="D915">
        <v>35</v>
      </c>
      <c r="E915" t="s">
        <v>38</v>
      </c>
      <c r="F915" t="s">
        <v>44</v>
      </c>
      <c r="G915" t="s">
        <v>45</v>
      </c>
      <c r="H915" t="s">
        <v>113</v>
      </c>
      <c r="I915">
        <v>2</v>
      </c>
      <c r="J915">
        <v>87123</v>
      </c>
      <c r="K915">
        <v>2.9</v>
      </c>
      <c r="L915">
        <v>83.9</v>
      </c>
      <c r="M915">
        <v>12</v>
      </c>
      <c r="N915">
        <v>56</v>
      </c>
      <c r="O915">
        <v>4066</v>
      </c>
      <c r="P915" t="s">
        <v>26</v>
      </c>
      <c r="Q915" t="s">
        <v>48</v>
      </c>
      <c r="R915" t="s">
        <v>42</v>
      </c>
      <c r="S915" t="s">
        <v>29</v>
      </c>
      <c r="T915" t="s">
        <v>30</v>
      </c>
      <c r="U915">
        <f t="shared" si="70"/>
        <v>91189</v>
      </c>
      <c r="V915" t="str">
        <f t="shared" si="71"/>
        <v>Needs Improvement</v>
      </c>
      <c r="W915" t="str">
        <f t="shared" si="72"/>
        <v>Normal</v>
      </c>
      <c r="X915" t="str">
        <f t="shared" si="73"/>
        <v>Junior</v>
      </c>
      <c r="Y915" t="str">
        <f t="shared" si="74"/>
        <v>35-44</v>
      </c>
    </row>
    <row r="916" spans="1:25" x14ac:dyDescent="0.3">
      <c r="A916">
        <v>1915</v>
      </c>
      <c r="B916" t="s">
        <v>73</v>
      </c>
      <c r="C916" t="s">
        <v>21</v>
      </c>
      <c r="D916">
        <v>42</v>
      </c>
      <c r="E916" t="s">
        <v>91</v>
      </c>
      <c r="F916" t="s">
        <v>101</v>
      </c>
      <c r="G916" t="s">
        <v>24</v>
      </c>
      <c r="H916" t="s">
        <v>869</v>
      </c>
      <c r="I916">
        <v>4</v>
      </c>
      <c r="J916">
        <v>82070</v>
      </c>
      <c r="K916">
        <v>4.7</v>
      </c>
      <c r="L916">
        <v>98.2</v>
      </c>
      <c r="M916">
        <v>12</v>
      </c>
      <c r="N916">
        <v>49</v>
      </c>
      <c r="O916">
        <v>5093</v>
      </c>
      <c r="P916" t="s">
        <v>41</v>
      </c>
      <c r="Q916" t="s">
        <v>48</v>
      </c>
      <c r="R916" t="s">
        <v>70</v>
      </c>
      <c r="S916" t="s">
        <v>29</v>
      </c>
      <c r="T916" t="s">
        <v>35</v>
      </c>
      <c r="U916">
        <f t="shared" si="70"/>
        <v>87163</v>
      </c>
      <c r="V916" t="str">
        <f t="shared" si="71"/>
        <v>Excellent</v>
      </c>
      <c r="W916" t="str">
        <f t="shared" si="72"/>
        <v>Normal</v>
      </c>
      <c r="X916" t="str">
        <f t="shared" si="73"/>
        <v>Mid</v>
      </c>
      <c r="Y916" t="str">
        <f t="shared" si="74"/>
        <v>35-44</v>
      </c>
    </row>
    <row r="917" spans="1:25" x14ac:dyDescent="0.3">
      <c r="A917">
        <v>1916</v>
      </c>
      <c r="B917" t="s">
        <v>68</v>
      </c>
      <c r="C917" t="s">
        <v>21</v>
      </c>
      <c r="D917">
        <v>42</v>
      </c>
      <c r="E917" t="s">
        <v>38</v>
      </c>
      <c r="F917" t="s">
        <v>44</v>
      </c>
      <c r="G917" t="s">
        <v>59</v>
      </c>
      <c r="H917" t="s">
        <v>870</v>
      </c>
      <c r="I917">
        <v>7</v>
      </c>
      <c r="J917">
        <v>51899</v>
      </c>
      <c r="K917">
        <v>2.7</v>
      </c>
      <c r="L917">
        <v>95.4</v>
      </c>
      <c r="M917">
        <v>0</v>
      </c>
      <c r="N917">
        <v>42</v>
      </c>
      <c r="O917">
        <v>11369</v>
      </c>
      <c r="P917" t="s">
        <v>41</v>
      </c>
      <c r="Q917" t="s">
        <v>27</v>
      </c>
      <c r="R917" t="s">
        <v>42</v>
      </c>
      <c r="S917" t="s">
        <v>49</v>
      </c>
      <c r="T917" t="s">
        <v>50</v>
      </c>
      <c r="U917">
        <f t="shared" si="70"/>
        <v>63268</v>
      </c>
      <c r="V917" t="str">
        <f t="shared" si="71"/>
        <v>Excellent</v>
      </c>
      <c r="W917" t="str">
        <f t="shared" si="72"/>
        <v>Normal</v>
      </c>
      <c r="X917" t="str">
        <f t="shared" si="73"/>
        <v>Senior</v>
      </c>
      <c r="Y917" t="str">
        <f t="shared" si="74"/>
        <v>35-44</v>
      </c>
    </row>
    <row r="918" spans="1:25" x14ac:dyDescent="0.3">
      <c r="A918">
        <v>1917</v>
      </c>
      <c r="B918" t="s">
        <v>75</v>
      </c>
      <c r="C918" t="s">
        <v>21</v>
      </c>
      <c r="D918">
        <v>33</v>
      </c>
      <c r="E918" t="s">
        <v>55</v>
      </c>
      <c r="F918" t="s">
        <v>79</v>
      </c>
      <c r="G918" t="s">
        <v>45</v>
      </c>
      <c r="H918" t="s">
        <v>871</v>
      </c>
      <c r="I918">
        <v>0</v>
      </c>
      <c r="J918">
        <v>55531</v>
      </c>
      <c r="K918">
        <v>3.1</v>
      </c>
      <c r="L918">
        <v>83.9</v>
      </c>
      <c r="M918">
        <v>15</v>
      </c>
      <c r="N918">
        <v>16</v>
      </c>
      <c r="O918">
        <v>7185</v>
      </c>
      <c r="P918" t="s">
        <v>47</v>
      </c>
      <c r="Q918" t="s">
        <v>48</v>
      </c>
      <c r="R918" t="s">
        <v>28</v>
      </c>
      <c r="S918" t="s">
        <v>49</v>
      </c>
      <c r="T918" t="s">
        <v>30</v>
      </c>
      <c r="U918">
        <f t="shared" si="70"/>
        <v>62716</v>
      </c>
      <c r="V918" t="str">
        <f t="shared" si="71"/>
        <v>Needs Improvement</v>
      </c>
      <c r="W918" t="str">
        <f t="shared" si="72"/>
        <v>Normal</v>
      </c>
      <c r="X918" t="str">
        <f t="shared" si="73"/>
        <v>Junior</v>
      </c>
      <c r="Y918" t="str">
        <f t="shared" si="74"/>
        <v>25-34</v>
      </c>
    </row>
    <row r="919" spans="1:25" x14ac:dyDescent="0.3">
      <c r="A919">
        <v>1918</v>
      </c>
      <c r="B919" t="s">
        <v>61</v>
      </c>
      <c r="C919" t="s">
        <v>21</v>
      </c>
      <c r="D919">
        <v>30</v>
      </c>
      <c r="E919" t="s">
        <v>22</v>
      </c>
      <c r="F919" t="s">
        <v>66</v>
      </c>
      <c r="G919" t="s">
        <v>64</v>
      </c>
      <c r="H919" t="s">
        <v>872</v>
      </c>
      <c r="I919">
        <v>8</v>
      </c>
      <c r="J919">
        <v>44894</v>
      </c>
      <c r="K919">
        <v>4.8</v>
      </c>
      <c r="L919">
        <v>82.1</v>
      </c>
      <c r="M919">
        <v>13</v>
      </c>
      <c r="N919">
        <v>20</v>
      </c>
      <c r="O919">
        <v>4392</v>
      </c>
      <c r="P919" t="s">
        <v>47</v>
      </c>
      <c r="Q919" t="s">
        <v>27</v>
      </c>
      <c r="R919" t="s">
        <v>70</v>
      </c>
      <c r="S919" t="s">
        <v>34</v>
      </c>
      <c r="T919" t="s">
        <v>50</v>
      </c>
      <c r="U919">
        <f t="shared" si="70"/>
        <v>49286</v>
      </c>
      <c r="V919" t="str">
        <f t="shared" si="71"/>
        <v>Needs Improvement</v>
      </c>
      <c r="W919" t="str">
        <f t="shared" si="72"/>
        <v>Normal</v>
      </c>
      <c r="X919" t="str">
        <f t="shared" si="73"/>
        <v>Senior</v>
      </c>
      <c r="Y919" t="str">
        <f t="shared" si="74"/>
        <v>25-34</v>
      </c>
    </row>
    <row r="920" spans="1:25" x14ac:dyDescent="0.3">
      <c r="A920">
        <v>1919</v>
      </c>
      <c r="B920" t="s">
        <v>71</v>
      </c>
      <c r="C920" t="s">
        <v>37</v>
      </c>
      <c r="D920">
        <v>36</v>
      </c>
      <c r="E920" t="s">
        <v>62</v>
      </c>
      <c r="F920" t="s">
        <v>97</v>
      </c>
      <c r="G920" t="s">
        <v>51</v>
      </c>
      <c r="H920" t="s">
        <v>873</v>
      </c>
      <c r="I920">
        <v>10</v>
      </c>
      <c r="J920">
        <v>36194</v>
      </c>
      <c r="K920">
        <v>3.8</v>
      </c>
      <c r="L920">
        <v>89.4</v>
      </c>
      <c r="M920">
        <v>13</v>
      </c>
      <c r="N920">
        <v>21</v>
      </c>
      <c r="O920">
        <v>14296</v>
      </c>
      <c r="P920" t="s">
        <v>47</v>
      </c>
      <c r="Q920" t="s">
        <v>27</v>
      </c>
      <c r="R920" t="s">
        <v>28</v>
      </c>
      <c r="S920" t="s">
        <v>34</v>
      </c>
      <c r="T920" t="s">
        <v>50</v>
      </c>
      <c r="U920">
        <f t="shared" si="70"/>
        <v>50490</v>
      </c>
      <c r="V920" t="str">
        <f t="shared" si="71"/>
        <v>Needs Improvement</v>
      </c>
      <c r="W920" t="str">
        <f t="shared" si="72"/>
        <v>Normal</v>
      </c>
      <c r="X920" t="str">
        <f t="shared" si="73"/>
        <v>Senior</v>
      </c>
      <c r="Y920" t="str">
        <f t="shared" si="74"/>
        <v>35-44</v>
      </c>
    </row>
    <row r="921" spans="1:25" x14ac:dyDescent="0.3">
      <c r="A921">
        <v>1920</v>
      </c>
      <c r="B921" t="s">
        <v>85</v>
      </c>
      <c r="C921" t="s">
        <v>21</v>
      </c>
      <c r="D921">
        <v>32</v>
      </c>
      <c r="E921" t="s">
        <v>55</v>
      </c>
      <c r="F921" t="s">
        <v>143</v>
      </c>
      <c r="G921" t="s">
        <v>64</v>
      </c>
      <c r="H921" t="s">
        <v>253</v>
      </c>
      <c r="I921">
        <v>2</v>
      </c>
      <c r="J921">
        <v>40941</v>
      </c>
      <c r="K921">
        <v>3.1</v>
      </c>
      <c r="L921">
        <v>95.8</v>
      </c>
      <c r="M921">
        <v>0</v>
      </c>
      <c r="N921">
        <v>24</v>
      </c>
      <c r="O921">
        <v>1823</v>
      </c>
      <c r="P921" t="s">
        <v>26</v>
      </c>
      <c r="Q921" t="s">
        <v>48</v>
      </c>
      <c r="R921" t="s">
        <v>28</v>
      </c>
      <c r="S921" t="s">
        <v>34</v>
      </c>
      <c r="T921" t="s">
        <v>30</v>
      </c>
      <c r="U921">
        <f t="shared" si="70"/>
        <v>42764</v>
      </c>
      <c r="V921" t="str">
        <f t="shared" si="71"/>
        <v>Excellent</v>
      </c>
      <c r="W921" t="str">
        <f t="shared" si="72"/>
        <v>Normal</v>
      </c>
      <c r="X921" t="str">
        <f t="shared" si="73"/>
        <v>Junior</v>
      </c>
      <c r="Y921" t="str">
        <f t="shared" si="74"/>
        <v>25-34</v>
      </c>
    </row>
    <row r="922" spans="1:25" x14ac:dyDescent="0.3">
      <c r="A922">
        <v>1921</v>
      </c>
      <c r="B922" t="s">
        <v>43</v>
      </c>
      <c r="C922" t="s">
        <v>37</v>
      </c>
      <c r="D922">
        <v>31</v>
      </c>
      <c r="E922" t="s">
        <v>38</v>
      </c>
      <c r="F922" t="s">
        <v>39</v>
      </c>
      <c r="G922" t="s">
        <v>59</v>
      </c>
      <c r="H922" t="s">
        <v>874</v>
      </c>
      <c r="I922">
        <v>10</v>
      </c>
      <c r="J922">
        <v>87764</v>
      </c>
      <c r="K922">
        <v>2.7</v>
      </c>
      <c r="L922">
        <v>88.2</v>
      </c>
      <c r="M922">
        <v>2</v>
      </c>
      <c r="N922">
        <v>55</v>
      </c>
      <c r="O922">
        <v>9217</v>
      </c>
      <c r="P922" t="s">
        <v>26</v>
      </c>
      <c r="Q922" t="s">
        <v>48</v>
      </c>
      <c r="R922" t="s">
        <v>42</v>
      </c>
      <c r="S922" t="s">
        <v>29</v>
      </c>
      <c r="T922" t="s">
        <v>50</v>
      </c>
      <c r="U922">
        <f t="shared" si="70"/>
        <v>96981</v>
      </c>
      <c r="V922" t="str">
        <f t="shared" si="71"/>
        <v>Needs Improvement</v>
      </c>
      <c r="W922" t="str">
        <f t="shared" si="72"/>
        <v>Normal</v>
      </c>
      <c r="X922" t="str">
        <f t="shared" si="73"/>
        <v>Senior</v>
      </c>
      <c r="Y922" t="str">
        <f t="shared" si="74"/>
        <v>25-34</v>
      </c>
    </row>
    <row r="923" spans="1:25" x14ac:dyDescent="0.3">
      <c r="A923">
        <v>1922</v>
      </c>
      <c r="B923" t="s">
        <v>31</v>
      </c>
      <c r="C923" t="s">
        <v>37</v>
      </c>
      <c r="D923">
        <v>23</v>
      </c>
      <c r="E923" t="s">
        <v>91</v>
      </c>
      <c r="F923" t="s">
        <v>101</v>
      </c>
      <c r="G923" t="s">
        <v>51</v>
      </c>
      <c r="H923" t="s">
        <v>524</v>
      </c>
      <c r="I923">
        <v>4</v>
      </c>
      <c r="J923">
        <v>89022</v>
      </c>
      <c r="K923">
        <v>4.0999999999999996</v>
      </c>
      <c r="L923">
        <v>83.1</v>
      </c>
      <c r="M923">
        <v>9</v>
      </c>
      <c r="N923">
        <v>46</v>
      </c>
      <c r="O923">
        <v>9423</v>
      </c>
      <c r="P923" t="s">
        <v>41</v>
      </c>
      <c r="Q923" t="s">
        <v>27</v>
      </c>
      <c r="R923" t="s">
        <v>58</v>
      </c>
      <c r="S923" t="s">
        <v>29</v>
      </c>
      <c r="T923" t="s">
        <v>35</v>
      </c>
      <c r="U923">
        <f t="shared" si="70"/>
        <v>98445</v>
      </c>
      <c r="V923" t="str">
        <f t="shared" si="71"/>
        <v>Needs Improvement</v>
      </c>
      <c r="W923" t="str">
        <f t="shared" si="72"/>
        <v>Normal</v>
      </c>
      <c r="X923" t="str">
        <f t="shared" si="73"/>
        <v>Mid</v>
      </c>
      <c r="Y923" t="str">
        <f t="shared" si="74"/>
        <v>20-24</v>
      </c>
    </row>
    <row r="924" spans="1:25" x14ac:dyDescent="0.3">
      <c r="A924">
        <v>1923</v>
      </c>
      <c r="B924" t="s">
        <v>36</v>
      </c>
      <c r="C924" t="s">
        <v>37</v>
      </c>
      <c r="D924">
        <v>28</v>
      </c>
      <c r="E924" t="s">
        <v>38</v>
      </c>
      <c r="F924" t="s">
        <v>39</v>
      </c>
      <c r="G924" t="s">
        <v>45</v>
      </c>
      <c r="H924" t="s">
        <v>875</v>
      </c>
      <c r="I924">
        <v>7</v>
      </c>
      <c r="J924">
        <v>68114</v>
      </c>
      <c r="K924">
        <v>2.6</v>
      </c>
      <c r="L924">
        <v>87.1</v>
      </c>
      <c r="M924">
        <v>23</v>
      </c>
      <c r="N924">
        <v>44</v>
      </c>
      <c r="O924">
        <v>12693</v>
      </c>
      <c r="P924" t="s">
        <v>26</v>
      </c>
      <c r="Q924" t="s">
        <v>27</v>
      </c>
      <c r="R924" t="s">
        <v>42</v>
      </c>
      <c r="S924" t="s">
        <v>49</v>
      </c>
      <c r="T924" t="s">
        <v>50</v>
      </c>
      <c r="U924">
        <f t="shared" si="70"/>
        <v>80807</v>
      </c>
      <c r="V924" t="str">
        <f t="shared" si="71"/>
        <v>Needs Improvement</v>
      </c>
      <c r="W924" t="str">
        <f t="shared" si="72"/>
        <v>High</v>
      </c>
      <c r="X924" t="str">
        <f t="shared" si="73"/>
        <v>Senior</v>
      </c>
      <c r="Y924" t="str">
        <f t="shared" si="74"/>
        <v>25-34</v>
      </c>
    </row>
    <row r="925" spans="1:25" x14ac:dyDescent="0.3">
      <c r="A925">
        <v>1924</v>
      </c>
      <c r="B925" t="s">
        <v>99</v>
      </c>
      <c r="C925" t="s">
        <v>21</v>
      </c>
      <c r="D925">
        <v>44</v>
      </c>
      <c r="E925" t="s">
        <v>91</v>
      </c>
      <c r="F925" t="s">
        <v>101</v>
      </c>
      <c r="G925" t="s">
        <v>59</v>
      </c>
      <c r="H925" t="s">
        <v>876</v>
      </c>
      <c r="I925">
        <v>4</v>
      </c>
      <c r="J925">
        <v>34434</v>
      </c>
      <c r="K925">
        <v>3.9</v>
      </c>
      <c r="L925">
        <v>99.6</v>
      </c>
      <c r="M925">
        <v>5</v>
      </c>
      <c r="N925">
        <v>36</v>
      </c>
      <c r="O925">
        <v>9654</v>
      </c>
      <c r="P925" t="s">
        <v>47</v>
      </c>
      <c r="Q925" t="s">
        <v>27</v>
      </c>
      <c r="R925" t="s">
        <v>28</v>
      </c>
      <c r="S925" t="s">
        <v>34</v>
      </c>
      <c r="T925" t="s">
        <v>35</v>
      </c>
      <c r="U925">
        <f t="shared" si="70"/>
        <v>44088</v>
      </c>
      <c r="V925" t="str">
        <f t="shared" si="71"/>
        <v>Excellent</v>
      </c>
      <c r="W925" t="str">
        <f t="shared" si="72"/>
        <v>Normal</v>
      </c>
      <c r="X925" t="str">
        <f t="shared" si="73"/>
        <v>Mid</v>
      </c>
      <c r="Y925" t="str">
        <f t="shared" si="74"/>
        <v>35-44</v>
      </c>
    </row>
    <row r="926" spans="1:25" x14ac:dyDescent="0.3">
      <c r="A926">
        <v>1925</v>
      </c>
      <c r="B926" t="s">
        <v>43</v>
      </c>
      <c r="C926" t="s">
        <v>21</v>
      </c>
      <c r="D926">
        <v>42</v>
      </c>
      <c r="E926" t="s">
        <v>38</v>
      </c>
      <c r="F926" t="s">
        <v>44</v>
      </c>
      <c r="G926" t="s">
        <v>51</v>
      </c>
      <c r="H926" t="s">
        <v>877</v>
      </c>
      <c r="I926">
        <v>2</v>
      </c>
      <c r="J926">
        <v>67653</v>
      </c>
      <c r="K926">
        <v>4.5999999999999996</v>
      </c>
      <c r="L926">
        <v>83.8</v>
      </c>
      <c r="M926">
        <v>11</v>
      </c>
      <c r="N926">
        <v>35</v>
      </c>
      <c r="O926">
        <v>2659</v>
      </c>
      <c r="P926" t="s">
        <v>53</v>
      </c>
      <c r="Q926" t="s">
        <v>48</v>
      </c>
      <c r="R926" t="s">
        <v>70</v>
      </c>
      <c r="S926" t="s">
        <v>49</v>
      </c>
      <c r="T926" t="s">
        <v>30</v>
      </c>
      <c r="U926">
        <f t="shared" si="70"/>
        <v>70312</v>
      </c>
      <c r="V926" t="str">
        <f t="shared" si="71"/>
        <v>Needs Improvement</v>
      </c>
      <c r="W926" t="str">
        <f t="shared" si="72"/>
        <v>Normal</v>
      </c>
      <c r="X926" t="str">
        <f t="shared" si="73"/>
        <v>Junior</v>
      </c>
      <c r="Y926" t="str">
        <f t="shared" si="74"/>
        <v>35-44</v>
      </c>
    </row>
    <row r="927" spans="1:25" x14ac:dyDescent="0.3">
      <c r="A927">
        <v>1926</v>
      </c>
      <c r="B927" t="s">
        <v>43</v>
      </c>
      <c r="C927" t="s">
        <v>37</v>
      </c>
      <c r="D927">
        <v>26</v>
      </c>
      <c r="E927" t="s">
        <v>38</v>
      </c>
      <c r="F927" t="s">
        <v>44</v>
      </c>
      <c r="G927" t="s">
        <v>45</v>
      </c>
      <c r="H927" t="s">
        <v>82</v>
      </c>
      <c r="I927">
        <v>6</v>
      </c>
      <c r="J927">
        <v>60272</v>
      </c>
      <c r="K927">
        <v>3.8</v>
      </c>
      <c r="L927">
        <v>94.1</v>
      </c>
      <c r="M927">
        <v>17</v>
      </c>
      <c r="N927">
        <v>46</v>
      </c>
      <c r="O927">
        <v>8886</v>
      </c>
      <c r="P927" t="s">
        <v>41</v>
      </c>
      <c r="Q927" t="s">
        <v>27</v>
      </c>
      <c r="R927" t="s">
        <v>28</v>
      </c>
      <c r="S927" t="s">
        <v>49</v>
      </c>
      <c r="T927" t="s">
        <v>50</v>
      </c>
      <c r="U927">
        <f t="shared" si="70"/>
        <v>69158</v>
      </c>
      <c r="V927" t="str">
        <f t="shared" si="71"/>
        <v>Needs Improvement</v>
      </c>
      <c r="W927" t="str">
        <f t="shared" si="72"/>
        <v>Normal</v>
      </c>
      <c r="X927" t="str">
        <f t="shared" si="73"/>
        <v>Mid</v>
      </c>
      <c r="Y927" t="str">
        <f t="shared" si="74"/>
        <v>25-34</v>
      </c>
    </row>
    <row r="928" spans="1:25" x14ac:dyDescent="0.3">
      <c r="A928">
        <v>1927</v>
      </c>
      <c r="B928" t="s">
        <v>124</v>
      </c>
      <c r="C928" t="s">
        <v>37</v>
      </c>
      <c r="D928">
        <v>23</v>
      </c>
      <c r="E928" t="s">
        <v>22</v>
      </c>
      <c r="F928" t="s">
        <v>66</v>
      </c>
      <c r="G928" t="s">
        <v>45</v>
      </c>
      <c r="H928" t="s">
        <v>52</v>
      </c>
      <c r="I928">
        <v>6</v>
      </c>
      <c r="J928">
        <v>69831</v>
      </c>
      <c r="K928">
        <v>4.8</v>
      </c>
      <c r="L928">
        <v>86.9</v>
      </c>
      <c r="M928">
        <v>11</v>
      </c>
      <c r="N928">
        <v>31</v>
      </c>
      <c r="O928">
        <v>3194</v>
      </c>
      <c r="P928" t="s">
        <v>33</v>
      </c>
      <c r="Q928" t="s">
        <v>48</v>
      </c>
      <c r="R928" t="s">
        <v>70</v>
      </c>
      <c r="S928" t="s">
        <v>49</v>
      </c>
      <c r="T928" t="s">
        <v>50</v>
      </c>
      <c r="U928">
        <f t="shared" si="70"/>
        <v>73025</v>
      </c>
      <c r="V928" t="str">
        <f t="shared" si="71"/>
        <v>Needs Improvement</v>
      </c>
      <c r="W928" t="str">
        <f t="shared" si="72"/>
        <v>Normal</v>
      </c>
      <c r="X928" t="str">
        <f t="shared" si="73"/>
        <v>Mid</v>
      </c>
      <c r="Y928" t="str">
        <f t="shared" si="74"/>
        <v>20-24</v>
      </c>
    </row>
    <row r="929" spans="1:25" x14ac:dyDescent="0.3">
      <c r="A929">
        <v>1928</v>
      </c>
      <c r="B929" t="s">
        <v>20</v>
      </c>
      <c r="C929" t="s">
        <v>37</v>
      </c>
      <c r="D929">
        <v>43</v>
      </c>
      <c r="E929" t="s">
        <v>62</v>
      </c>
      <c r="F929" t="s">
        <v>97</v>
      </c>
      <c r="G929" t="s">
        <v>59</v>
      </c>
      <c r="H929" t="s">
        <v>878</v>
      </c>
      <c r="I929">
        <v>6</v>
      </c>
      <c r="J929">
        <v>58607</v>
      </c>
      <c r="K929">
        <v>2.9</v>
      </c>
      <c r="L929">
        <v>97.5</v>
      </c>
      <c r="M929">
        <v>14</v>
      </c>
      <c r="N929">
        <v>50</v>
      </c>
      <c r="O929">
        <v>10288</v>
      </c>
      <c r="P929" t="s">
        <v>47</v>
      </c>
      <c r="Q929" t="s">
        <v>27</v>
      </c>
      <c r="R929" t="s">
        <v>42</v>
      </c>
      <c r="S929" t="s">
        <v>49</v>
      </c>
      <c r="T929" t="s">
        <v>50</v>
      </c>
      <c r="U929">
        <f t="shared" si="70"/>
        <v>68895</v>
      </c>
      <c r="V929" t="str">
        <f t="shared" si="71"/>
        <v>Excellent</v>
      </c>
      <c r="W929" t="str">
        <f t="shared" si="72"/>
        <v>Normal</v>
      </c>
      <c r="X929" t="str">
        <f t="shared" si="73"/>
        <v>Mid</v>
      </c>
      <c r="Y929" t="str">
        <f t="shared" si="74"/>
        <v>35-44</v>
      </c>
    </row>
    <row r="930" spans="1:25" x14ac:dyDescent="0.3">
      <c r="A930">
        <v>1929</v>
      </c>
      <c r="B930" t="s">
        <v>124</v>
      </c>
      <c r="C930" t="s">
        <v>21</v>
      </c>
      <c r="D930">
        <v>32</v>
      </c>
      <c r="E930" t="s">
        <v>22</v>
      </c>
      <c r="F930" t="s">
        <v>66</v>
      </c>
      <c r="G930" t="s">
        <v>51</v>
      </c>
      <c r="H930" t="s">
        <v>879</v>
      </c>
      <c r="I930">
        <v>0</v>
      </c>
      <c r="J930">
        <v>38632</v>
      </c>
      <c r="K930">
        <v>3.2</v>
      </c>
      <c r="L930">
        <v>83</v>
      </c>
      <c r="M930">
        <v>5</v>
      </c>
      <c r="N930">
        <v>37</v>
      </c>
      <c r="O930">
        <v>14434</v>
      </c>
      <c r="P930" t="s">
        <v>53</v>
      </c>
      <c r="Q930" t="s">
        <v>48</v>
      </c>
      <c r="R930" t="s">
        <v>28</v>
      </c>
      <c r="S930" t="s">
        <v>34</v>
      </c>
      <c r="T930" t="s">
        <v>30</v>
      </c>
      <c r="U930">
        <f t="shared" si="70"/>
        <v>53066</v>
      </c>
      <c r="V930" t="str">
        <f t="shared" si="71"/>
        <v>Needs Improvement</v>
      </c>
      <c r="W930" t="str">
        <f t="shared" si="72"/>
        <v>Normal</v>
      </c>
      <c r="X930" t="str">
        <f t="shared" si="73"/>
        <v>Junior</v>
      </c>
      <c r="Y930" t="str">
        <f t="shared" si="74"/>
        <v>25-34</v>
      </c>
    </row>
    <row r="931" spans="1:25" x14ac:dyDescent="0.3">
      <c r="A931">
        <v>1930</v>
      </c>
      <c r="B931" t="s">
        <v>88</v>
      </c>
      <c r="C931" t="s">
        <v>21</v>
      </c>
      <c r="D931">
        <v>40</v>
      </c>
      <c r="E931" t="s">
        <v>62</v>
      </c>
      <c r="F931" t="s">
        <v>63</v>
      </c>
      <c r="G931" t="s">
        <v>64</v>
      </c>
      <c r="H931" t="s">
        <v>765</v>
      </c>
      <c r="I931">
        <v>0</v>
      </c>
      <c r="J931">
        <v>56756</v>
      </c>
      <c r="K931">
        <v>2.8</v>
      </c>
      <c r="L931">
        <v>97.2</v>
      </c>
      <c r="M931">
        <v>4</v>
      </c>
      <c r="N931">
        <v>37</v>
      </c>
      <c r="O931">
        <v>10852</v>
      </c>
      <c r="P931" t="s">
        <v>41</v>
      </c>
      <c r="Q931" t="s">
        <v>48</v>
      </c>
      <c r="R931" t="s">
        <v>42</v>
      </c>
      <c r="S931" t="s">
        <v>49</v>
      </c>
      <c r="T931" t="s">
        <v>30</v>
      </c>
      <c r="U931">
        <f t="shared" si="70"/>
        <v>67608</v>
      </c>
      <c r="V931" t="str">
        <f t="shared" si="71"/>
        <v>Excellent</v>
      </c>
      <c r="W931" t="str">
        <f t="shared" si="72"/>
        <v>Normal</v>
      </c>
      <c r="X931" t="str">
        <f t="shared" si="73"/>
        <v>Junior</v>
      </c>
      <c r="Y931" t="str">
        <f t="shared" si="74"/>
        <v>35-44</v>
      </c>
    </row>
    <row r="932" spans="1:25" x14ac:dyDescent="0.3">
      <c r="A932">
        <v>1931</v>
      </c>
      <c r="B932" t="s">
        <v>178</v>
      </c>
      <c r="C932" t="s">
        <v>37</v>
      </c>
      <c r="D932">
        <v>35</v>
      </c>
      <c r="E932" t="s">
        <v>22</v>
      </c>
      <c r="F932" t="s">
        <v>23</v>
      </c>
      <c r="G932" t="s">
        <v>59</v>
      </c>
      <c r="H932" t="s">
        <v>517</v>
      </c>
      <c r="I932">
        <v>2</v>
      </c>
      <c r="J932">
        <v>54920</v>
      </c>
      <c r="K932">
        <v>3.7</v>
      </c>
      <c r="L932">
        <v>95.4</v>
      </c>
      <c r="M932">
        <v>15</v>
      </c>
      <c r="N932">
        <v>32</v>
      </c>
      <c r="O932">
        <v>9049</v>
      </c>
      <c r="P932" t="s">
        <v>53</v>
      </c>
      <c r="Q932" t="s">
        <v>27</v>
      </c>
      <c r="R932" t="s">
        <v>28</v>
      </c>
      <c r="S932" t="s">
        <v>49</v>
      </c>
      <c r="T932" t="s">
        <v>30</v>
      </c>
      <c r="U932">
        <f t="shared" si="70"/>
        <v>63969</v>
      </c>
      <c r="V932" t="str">
        <f t="shared" si="71"/>
        <v>Excellent</v>
      </c>
      <c r="W932" t="str">
        <f t="shared" si="72"/>
        <v>Normal</v>
      </c>
      <c r="X932" t="str">
        <f t="shared" si="73"/>
        <v>Junior</v>
      </c>
      <c r="Y932" t="str">
        <f t="shared" si="74"/>
        <v>35-44</v>
      </c>
    </row>
    <row r="933" spans="1:25" x14ac:dyDescent="0.3">
      <c r="A933">
        <v>1932</v>
      </c>
      <c r="B933" t="s">
        <v>83</v>
      </c>
      <c r="C933" t="s">
        <v>21</v>
      </c>
      <c r="D933">
        <v>39</v>
      </c>
      <c r="E933" t="s">
        <v>91</v>
      </c>
      <c r="F933" t="s">
        <v>101</v>
      </c>
      <c r="G933" t="s">
        <v>45</v>
      </c>
      <c r="H933" t="s">
        <v>164</v>
      </c>
      <c r="I933">
        <v>2</v>
      </c>
      <c r="J933">
        <v>87229</v>
      </c>
      <c r="K933">
        <v>2.8</v>
      </c>
      <c r="L933">
        <v>82.9</v>
      </c>
      <c r="M933">
        <v>6</v>
      </c>
      <c r="N933">
        <v>38</v>
      </c>
      <c r="O933">
        <v>8438</v>
      </c>
      <c r="P933" t="s">
        <v>33</v>
      </c>
      <c r="Q933" t="s">
        <v>27</v>
      </c>
      <c r="R933" t="s">
        <v>42</v>
      </c>
      <c r="S933" t="s">
        <v>29</v>
      </c>
      <c r="T933" t="s">
        <v>30</v>
      </c>
      <c r="U933">
        <f t="shared" si="70"/>
        <v>95667</v>
      </c>
      <c r="V933" t="str">
        <f t="shared" si="71"/>
        <v>Needs Improvement</v>
      </c>
      <c r="W933" t="str">
        <f t="shared" si="72"/>
        <v>Normal</v>
      </c>
      <c r="X933" t="str">
        <f t="shared" si="73"/>
        <v>Junior</v>
      </c>
      <c r="Y933" t="str">
        <f t="shared" si="74"/>
        <v>35-44</v>
      </c>
    </row>
    <row r="934" spans="1:25" x14ac:dyDescent="0.3">
      <c r="A934">
        <v>1933</v>
      </c>
      <c r="B934" t="s">
        <v>68</v>
      </c>
      <c r="C934" t="s">
        <v>21</v>
      </c>
      <c r="D934">
        <v>43</v>
      </c>
      <c r="E934" t="s">
        <v>62</v>
      </c>
      <c r="F934" t="s">
        <v>97</v>
      </c>
      <c r="G934" t="s">
        <v>51</v>
      </c>
      <c r="H934" t="s">
        <v>228</v>
      </c>
      <c r="I934">
        <v>2</v>
      </c>
      <c r="J934">
        <v>73985</v>
      </c>
      <c r="K934">
        <v>3.9</v>
      </c>
      <c r="L934">
        <v>99.3</v>
      </c>
      <c r="M934">
        <v>20</v>
      </c>
      <c r="N934">
        <v>56</v>
      </c>
      <c r="O934">
        <v>1087</v>
      </c>
      <c r="P934" t="s">
        <v>53</v>
      </c>
      <c r="Q934" t="s">
        <v>48</v>
      </c>
      <c r="R934" t="s">
        <v>28</v>
      </c>
      <c r="S934" t="s">
        <v>29</v>
      </c>
      <c r="T934" t="s">
        <v>30</v>
      </c>
      <c r="U934">
        <f t="shared" si="70"/>
        <v>75072</v>
      </c>
      <c r="V934" t="str">
        <f t="shared" si="71"/>
        <v>Excellent</v>
      </c>
      <c r="W934" t="str">
        <f t="shared" si="72"/>
        <v>Normal</v>
      </c>
      <c r="X934" t="str">
        <f t="shared" si="73"/>
        <v>Junior</v>
      </c>
      <c r="Y934" t="str">
        <f t="shared" si="74"/>
        <v>35-44</v>
      </c>
    </row>
    <row r="935" spans="1:25" x14ac:dyDescent="0.3">
      <c r="A935">
        <v>1934</v>
      </c>
      <c r="B935" t="s">
        <v>178</v>
      </c>
      <c r="C935" t="s">
        <v>37</v>
      </c>
      <c r="D935">
        <v>26</v>
      </c>
      <c r="E935" t="s">
        <v>55</v>
      </c>
      <c r="F935" t="s">
        <v>79</v>
      </c>
      <c r="G935" t="s">
        <v>24</v>
      </c>
      <c r="H935" t="s">
        <v>880</v>
      </c>
      <c r="I935">
        <v>2</v>
      </c>
      <c r="J935">
        <v>89483</v>
      </c>
      <c r="K935">
        <v>3.8</v>
      </c>
      <c r="L935">
        <v>95.8</v>
      </c>
      <c r="M935">
        <v>8</v>
      </c>
      <c r="N935">
        <v>44</v>
      </c>
      <c r="O935">
        <v>1814</v>
      </c>
      <c r="P935" t="s">
        <v>33</v>
      </c>
      <c r="Q935" t="s">
        <v>27</v>
      </c>
      <c r="R935" t="s">
        <v>28</v>
      </c>
      <c r="S935" t="s">
        <v>29</v>
      </c>
      <c r="T935" t="s">
        <v>30</v>
      </c>
      <c r="U935">
        <f t="shared" si="70"/>
        <v>91297</v>
      </c>
      <c r="V935" t="str">
        <f t="shared" si="71"/>
        <v>Excellent</v>
      </c>
      <c r="W935" t="str">
        <f t="shared" si="72"/>
        <v>Normal</v>
      </c>
      <c r="X935" t="str">
        <f t="shared" si="73"/>
        <v>Junior</v>
      </c>
      <c r="Y935" t="str">
        <f t="shared" si="74"/>
        <v>25-34</v>
      </c>
    </row>
    <row r="936" spans="1:25" x14ac:dyDescent="0.3">
      <c r="A936">
        <v>1935</v>
      </c>
      <c r="B936" t="s">
        <v>85</v>
      </c>
      <c r="C936" t="s">
        <v>37</v>
      </c>
      <c r="D936">
        <v>38</v>
      </c>
      <c r="E936" t="s">
        <v>55</v>
      </c>
      <c r="F936" t="s">
        <v>79</v>
      </c>
      <c r="G936" t="s">
        <v>64</v>
      </c>
      <c r="H936" t="s">
        <v>881</v>
      </c>
      <c r="I936">
        <v>6</v>
      </c>
      <c r="J936">
        <v>67395</v>
      </c>
      <c r="K936">
        <v>4</v>
      </c>
      <c r="L936">
        <v>87.1</v>
      </c>
      <c r="M936">
        <v>13</v>
      </c>
      <c r="N936">
        <v>6</v>
      </c>
      <c r="O936">
        <v>9660</v>
      </c>
      <c r="P936" t="s">
        <v>47</v>
      </c>
      <c r="Q936" t="s">
        <v>48</v>
      </c>
      <c r="R936" t="s">
        <v>58</v>
      </c>
      <c r="S936" t="s">
        <v>49</v>
      </c>
      <c r="T936" t="s">
        <v>50</v>
      </c>
      <c r="U936">
        <f t="shared" si="70"/>
        <v>77055</v>
      </c>
      <c r="V936" t="str">
        <f t="shared" si="71"/>
        <v>Needs Improvement</v>
      </c>
      <c r="W936" t="str">
        <f t="shared" si="72"/>
        <v>Normal</v>
      </c>
      <c r="X936" t="str">
        <f t="shared" si="73"/>
        <v>Mid</v>
      </c>
      <c r="Y936" t="str">
        <f t="shared" si="74"/>
        <v>35-44</v>
      </c>
    </row>
    <row r="937" spans="1:25" x14ac:dyDescent="0.3">
      <c r="A937">
        <v>1936</v>
      </c>
      <c r="B937" t="s">
        <v>111</v>
      </c>
      <c r="C937" t="s">
        <v>21</v>
      </c>
      <c r="D937">
        <v>24</v>
      </c>
      <c r="E937" t="s">
        <v>22</v>
      </c>
      <c r="F937" t="s">
        <v>66</v>
      </c>
      <c r="G937" t="s">
        <v>45</v>
      </c>
      <c r="H937" t="s">
        <v>296</v>
      </c>
      <c r="I937">
        <v>9</v>
      </c>
      <c r="J937">
        <v>51346</v>
      </c>
      <c r="K937">
        <v>3.7</v>
      </c>
      <c r="L937">
        <v>85.1</v>
      </c>
      <c r="M937">
        <v>24</v>
      </c>
      <c r="N937">
        <v>55</v>
      </c>
      <c r="O937">
        <v>2664</v>
      </c>
      <c r="P937" t="s">
        <v>41</v>
      </c>
      <c r="Q937" t="s">
        <v>48</v>
      </c>
      <c r="R937" t="s">
        <v>28</v>
      </c>
      <c r="S937" t="s">
        <v>49</v>
      </c>
      <c r="T937" t="s">
        <v>50</v>
      </c>
      <c r="U937">
        <f t="shared" si="70"/>
        <v>54010</v>
      </c>
      <c r="V937" t="str">
        <f t="shared" si="71"/>
        <v>Needs Improvement</v>
      </c>
      <c r="W937" t="str">
        <f t="shared" si="72"/>
        <v>High</v>
      </c>
      <c r="X937" t="str">
        <f t="shared" si="73"/>
        <v>Senior</v>
      </c>
      <c r="Y937" t="str">
        <f t="shared" si="74"/>
        <v>20-24</v>
      </c>
    </row>
    <row r="938" spans="1:25" x14ac:dyDescent="0.3">
      <c r="A938">
        <v>1937</v>
      </c>
      <c r="B938" t="s">
        <v>178</v>
      </c>
      <c r="C938" t="s">
        <v>21</v>
      </c>
      <c r="D938">
        <v>24</v>
      </c>
      <c r="E938" t="s">
        <v>62</v>
      </c>
      <c r="F938" t="s">
        <v>63</v>
      </c>
      <c r="G938" t="s">
        <v>24</v>
      </c>
      <c r="H938" t="s">
        <v>882</v>
      </c>
      <c r="I938">
        <v>4</v>
      </c>
      <c r="J938">
        <v>47810</v>
      </c>
      <c r="K938">
        <v>2.8</v>
      </c>
      <c r="L938">
        <v>94.1</v>
      </c>
      <c r="M938">
        <v>19</v>
      </c>
      <c r="N938">
        <v>30</v>
      </c>
      <c r="O938">
        <v>9437</v>
      </c>
      <c r="P938" t="s">
        <v>26</v>
      </c>
      <c r="Q938" t="s">
        <v>27</v>
      </c>
      <c r="R938" t="s">
        <v>42</v>
      </c>
      <c r="S938" t="s">
        <v>34</v>
      </c>
      <c r="T938" t="s">
        <v>35</v>
      </c>
      <c r="U938">
        <f t="shared" si="70"/>
        <v>57247</v>
      </c>
      <c r="V938" t="str">
        <f t="shared" si="71"/>
        <v>Needs Improvement</v>
      </c>
      <c r="W938" t="str">
        <f t="shared" si="72"/>
        <v>Normal</v>
      </c>
      <c r="X938" t="str">
        <f t="shared" si="73"/>
        <v>Mid</v>
      </c>
      <c r="Y938" t="str">
        <f t="shared" si="74"/>
        <v>20-24</v>
      </c>
    </row>
    <row r="939" spans="1:25" x14ac:dyDescent="0.3">
      <c r="A939">
        <v>1938</v>
      </c>
      <c r="B939" t="s">
        <v>178</v>
      </c>
      <c r="C939" t="s">
        <v>37</v>
      </c>
      <c r="D939">
        <v>34</v>
      </c>
      <c r="E939" t="s">
        <v>91</v>
      </c>
      <c r="F939" t="s">
        <v>92</v>
      </c>
      <c r="G939" t="s">
        <v>51</v>
      </c>
      <c r="H939" t="s">
        <v>883</v>
      </c>
      <c r="I939">
        <v>10</v>
      </c>
      <c r="J939">
        <v>30531</v>
      </c>
      <c r="K939">
        <v>3.8</v>
      </c>
      <c r="L939">
        <v>89.8</v>
      </c>
      <c r="M939">
        <v>12</v>
      </c>
      <c r="N939">
        <v>58</v>
      </c>
      <c r="O939">
        <v>13390</v>
      </c>
      <c r="P939" t="s">
        <v>26</v>
      </c>
      <c r="Q939" t="s">
        <v>27</v>
      </c>
      <c r="R939" t="s">
        <v>28</v>
      </c>
      <c r="S939" t="s">
        <v>34</v>
      </c>
      <c r="T939" t="s">
        <v>50</v>
      </c>
      <c r="U939">
        <f t="shared" si="70"/>
        <v>43921</v>
      </c>
      <c r="V939" t="str">
        <f t="shared" si="71"/>
        <v>Needs Improvement</v>
      </c>
      <c r="W939" t="str">
        <f t="shared" si="72"/>
        <v>Normal</v>
      </c>
      <c r="X939" t="str">
        <f t="shared" si="73"/>
        <v>Senior</v>
      </c>
      <c r="Y939" t="str">
        <f t="shared" si="74"/>
        <v>25-34</v>
      </c>
    </row>
    <row r="940" spans="1:25" x14ac:dyDescent="0.3">
      <c r="A940">
        <v>1939</v>
      </c>
      <c r="B940" t="s">
        <v>75</v>
      </c>
      <c r="C940" t="s">
        <v>21</v>
      </c>
      <c r="D940">
        <v>40</v>
      </c>
      <c r="E940" t="s">
        <v>22</v>
      </c>
      <c r="F940" t="s">
        <v>23</v>
      </c>
      <c r="G940" t="s">
        <v>51</v>
      </c>
      <c r="H940" t="s">
        <v>655</v>
      </c>
      <c r="I940">
        <v>7</v>
      </c>
      <c r="J940">
        <v>60087</v>
      </c>
      <c r="K940">
        <v>3.1</v>
      </c>
      <c r="L940">
        <v>97.5</v>
      </c>
      <c r="M940">
        <v>17</v>
      </c>
      <c r="N940">
        <v>49</v>
      </c>
      <c r="O940">
        <v>11884</v>
      </c>
      <c r="P940" t="s">
        <v>53</v>
      </c>
      <c r="Q940" t="s">
        <v>27</v>
      </c>
      <c r="R940" t="s">
        <v>28</v>
      </c>
      <c r="S940" t="s">
        <v>49</v>
      </c>
      <c r="T940" t="s">
        <v>50</v>
      </c>
      <c r="U940">
        <f t="shared" si="70"/>
        <v>71971</v>
      </c>
      <c r="V940" t="str">
        <f t="shared" si="71"/>
        <v>Excellent</v>
      </c>
      <c r="W940" t="str">
        <f t="shared" si="72"/>
        <v>Normal</v>
      </c>
      <c r="X940" t="str">
        <f t="shared" si="73"/>
        <v>Senior</v>
      </c>
      <c r="Y940" t="str">
        <f t="shared" si="74"/>
        <v>35-44</v>
      </c>
    </row>
    <row r="941" spans="1:25" x14ac:dyDescent="0.3">
      <c r="A941">
        <v>1940</v>
      </c>
      <c r="B941" t="s">
        <v>99</v>
      </c>
      <c r="C941" t="s">
        <v>21</v>
      </c>
      <c r="D941">
        <v>35</v>
      </c>
      <c r="E941" t="s">
        <v>55</v>
      </c>
      <c r="F941" t="s">
        <v>143</v>
      </c>
      <c r="G941" t="s">
        <v>64</v>
      </c>
      <c r="H941" t="s">
        <v>884</v>
      </c>
      <c r="I941">
        <v>1</v>
      </c>
      <c r="J941">
        <v>51061</v>
      </c>
      <c r="K941">
        <v>4.5</v>
      </c>
      <c r="L941">
        <v>87.5</v>
      </c>
      <c r="M941">
        <v>23</v>
      </c>
      <c r="N941">
        <v>21</v>
      </c>
      <c r="O941">
        <v>8684</v>
      </c>
      <c r="P941" t="s">
        <v>41</v>
      </c>
      <c r="Q941" t="s">
        <v>27</v>
      </c>
      <c r="R941" t="s">
        <v>70</v>
      </c>
      <c r="S941" t="s">
        <v>49</v>
      </c>
      <c r="T941" t="s">
        <v>30</v>
      </c>
      <c r="U941">
        <f t="shared" si="70"/>
        <v>59745</v>
      </c>
      <c r="V941" t="str">
        <f t="shared" si="71"/>
        <v>Needs Improvement</v>
      </c>
      <c r="W941" t="str">
        <f t="shared" si="72"/>
        <v>High</v>
      </c>
      <c r="X941" t="str">
        <f t="shared" si="73"/>
        <v>Junior</v>
      </c>
      <c r="Y941" t="str">
        <f t="shared" si="74"/>
        <v>35-44</v>
      </c>
    </row>
    <row r="942" spans="1:25" x14ac:dyDescent="0.3">
      <c r="A942">
        <v>1941</v>
      </c>
      <c r="B942" t="s">
        <v>54</v>
      </c>
      <c r="C942" t="s">
        <v>37</v>
      </c>
      <c r="D942">
        <v>24</v>
      </c>
      <c r="E942" t="s">
        <v>38</v>
      </c>
      <c r="F942" t="s">
        <v>44</v>
      </c>
      <c r="G942" t="s">
        <v>64</v>
      </c>
      <c r="H942" t="s">
        <v>232</v>
      </c>
      <c r="I942">
        <v>10</v>
      </c>
      <c r="J942">
        <v>76990</v>
      </c>
      <c r="K942">
        <v>2.8</v>
      </c>
      <c r="L942">
        <v>92</v>
      </c>
      <c r="M942">
        <v>23</v>
      </c>
      <c r="N942">
        <v>5</v>
      </c>
      <c r="O942">
        <v>7373</v>
      </c>
      <c r="P942" t="s">
        <v>53</v>
      </c>
      <c r="Q942" t="s">
        <v>48</v>
      </c>
      <c r="R942" t="s">
        <v>42</v>
      </c>
      <c r="S942" t="s">
        <v>29</v>
      </c>
      <c r="T942" t="s">
        <v>50</v>
      </c>
      <c r="U942">
        <f t="shared" si="70"/>
        <v>84363</v>
      </c>
      <c r="V942" t="str">
        <f t="shared" si="71"/>
        <v>Needs Improvement</v>
      </c>
      <c r="W942" t="str">
        <f t="shared" si="72"/>
        <v>High</v>
      </c>
      <c r="X942" t="str">
        <f t="shared" si="73"/>
        <v>Senior</v>
      </c>
      <c r="Y942" t="str">
        <f t="shared" si="74"/>
        <v>20-24</v>
      </c>
    </row>
    <row r="943" spans="1:25" x14ac:dyDescent="0.3">
      <c r="A943">
        <v>1942</v>
      </c>
      <c r="B943" t="s">
        <v>85</v>
      </c>
      <c r="C943" t="s">
        <v>37</v>
      </c>
      <c r="D943">
        <v>27</v>
      </c>
      <c r="E943" t="s">
        <v>62</v>
      </c>
      <c r="F943" t="s">
        <v>97</v>
      </c>
      <c r="G943" t="s">
        <v>59</v>
      </c>
      <c r="H943" t="s">
        <v>885</v>
      </c>
      <c r="I943">
        <v>2</v>
      </c>
      <c r="J943">
        <v>61249</v>
      </c>
      <c r="K943">
        <v>4.0999999999999996</v>
      </c>
      <c r="L943">
        <v>93.3</v>
      </c>
      <c r="M943">
        <v>9</v>
      </c>
      <c r="N943">
        <v>27</v>
      </c>
      <c r="O943">
        <v>1457</v>
      </c>
      <c r="P943" t="s">
        <v>41</v>
      </c>
      <c r="Q943" t="s">
        <v>27</v>
      </c>
      <c r="R943" t="s">
        <v>58</v>
      </c>
      <c r="S943" t="s">
        <v>49</v>
      </c>
      <c r="T943" t="s">
        <v>30</v>
      </c>
      <c r="U943">
        <f t="shared" si="70"/>
        <v>62706</v>
      </c>
      <c r="V943" t="str">
        <f t="shared" si="71"/>
        <v>Needs Improvement</v>
      </c>
      <c r="W943" t="str">
        <f t="shared" si="72"/>
        <v>Normal</v>
      </c>
      <c r="X943" t="str">
        <f t="shared" si="73"/>
        <v>Junior</v>
      </c>
      <c r="Y943" t="str">
        <f t="shared" si="74"/>
        <v>25-34</v>
      </c>
    </row>
    <row r="944" spans="1:25" x14ac:dyDescent="0.3">
      <c r="A944">
        <v>1943</v>
      </c>
      <c r="B944" t="s">
        <v>78</v>
      </c>
      <c r="C944" t="s">
        <v>21</v>
      </c>
      <c r="D944">
        <v>41</v>
      </c>
      <c r="E944" t="s">
        <v>38</v>
      </c>
      <c r="F944" t="s">
        <v>44</v>
      </c>
      <c r="G944" t="s">
        <v>59</v>
      </c>
      <c r="H944" t="s">
        <v>886</v>
      </c>
      <c r="I944">
        <v>9</v>
      </c>
      <c r="J944">
        <v>84048</v>
      </c>
      <c r="K944">
        <v>3</v>
      </c>
      <c r="L944">
        <v>88.6</v>
      </c>
      <c r="M944">
        <v>6</v>
      </c>
      <c r="N944">
        <v>26</v>
      </c>
      <c r="O944">
        <v>5066</v>
      </c>
      <c r="P944" t="s">
        <v>26</v>
      </c>
      <c r="Q944" t="s">
        <v>27</v>
      </c>
      <c r="R944" t="s">
        <v>28</v>
      </c>
      <c r="S944" t="s">
        <v>29</v>
      </c>
      <c r="T944" t="s">
        <v>50</v>
      </c>
      <c r="U944">
        <f t="shared" si="70"/>
        <v>89114</v>
      </c>
      <c r="V944" t="str">
        <f t="shared" si="71"/>
        <v>Needs Improvement</v>
      </c>
      <c r="W944" t="str">
        <f t="shared" si="72"/>
        <v>Normal</v>
      </c>
      <c r="X944" t="str">
        <f t="shared" si="73"/>
        <v>Senior</v>
      </c>
      <c r="Y944" t="str">
        <f t="shared" si="74"/>
        <v>35-44</v>
      </c>
    </row>
    <row r="945" spans="1:25" x14ac:dyDescent="0.3">
      <c r="A945">
        <v>1944</v>
      </c>
      <c r="B945" t="s">
        <v>88</v>
      </c>
      <c r="C945" t="s">
        <v>21</v>
      </c>
      <c r="D945">
        <v>33</v>
      </c>
      <c r="E945" t="s">
        <v>22</v>
      </c>
      <c r="F945" t="s">
        <v>66</v>
      </c>
      <c r="G945" t="s">
        <v>64</v>
      </c>
      <c r="H945" t="s">
        <v>887</v>
      </c>
      <c r="I945">
        <v>1</v>
      </c>
      <c r="J945">
        <v>93144</v>
      </c>
      <c r="K945">
        <v>2.5</v>
      </c>
      <c r="L945">
        <v>90.3</v>
      </c>
      <c r="M945">
        <v>4</v>
      </c>
      <c r="N945">
        <v>37</v>
      </c>
      <c r="O945">
        <v>8247</v>
      </c>
      <c r="P945" t="s">
        <v>41</v>
      </c>
      <c r="Q945" t="s">
        <v>48</v>
      </c>
      <c r="R945" t="s">
        <v>42</v>
      </c>
      <c r="S945" t="s">
        <v>29</v>
      </c>
      <c r="T945" t="s">
        <v>30</v>
      </c>
      <c r="U945">
        <f t="shared" si="70"/>
        <v>101391</v>
      </c>
      <c r="V945" t="str">
        <f t="shared" si="71"/>
        <v>Needs Improvement</v>
      </c>
      <c r="W945" t="str">
        <f t="shared" si="72"/>
        <v>Normal</v>
      </c>
      <c r="X945" t="str">
        <f t="shared" si="73"/>
        <v>Junior</v>
      </c>
      <c r="Y945" t="str">
        <f t="shared" si="74"/>
        <v>25-34</v>
      </c>
    </row>
    <row r="946" spans="1:25" x14ac:dyDescent="0.3">
      <c r="A946">
        <v>1945</v>
      </c>
      <c r="B946" t="s">
        <v>178</v>
      </c>
      <c r="C946" t="s">
        <v>21</v>
      </c>
      <c r="D946">
        <v>29</v>
      </c>
      <c r="E946" t="s">
        <v>22</v>
      </c>
      <c r="F946" t="s">
        <v>66</v>
      </c>
      <c r="G946" t="s">
        <v>24</v>
      </c>
      <c r="H946" t="s">
        <v>888</v>
      </c>
      <c r="I946">
        <v>2</v>
      </c>
      <c r="J946">
        <v>40643</v>
      </c>
      <c r="K946">
        <v>2.8</v>
      </c>
      <c r="L946">
        <v>89</v>
      </c>
      <c r="M946">
        <v>11</v>
      </c>
      <c r="N946">
        <v>10</v>
      </c>
      <c r="O946">
        <v>1146</v>
      </c>
      <c r="P946" t="s">
        <v>53</v>
      </c>
      <c r="Q946" t="s">
        <v>48</v>
      </c>
      <c r="R946" t="s">
        <v>42</v>
      </c>
      <c r="S946" t="s">
        <v>34</v>
      </c>
      <c r="T946" t="s">
        <v>30</v>
      </c>
      <c r="U946">
        <f t="shared" si="70"/>
        <v>41789</v>
      </c>
      <c r="V946" t="str">
        <f t="shared" si="71"/>
        <v>Needs Improvement</v>
      </c>
      <c r="W946" t="str">
        <f t="shared" si="72"/>
        <v>Normal</v>
      </c>
      <c r="X946" t="str">
        <f t="shared" si="73"/>
        <v>Junior</v>
      </c>
      <c r="Y946" t="str">
        <f t="shared" si="74"/>
        <v>25-34</v>
      </c>
    </row>
    <row r="947" spans="1:25" x14ac:dyDescent="0.3">
      <c r="A947">
        <v>1946</v>
      </c>
      <c r="B947" t="s">
        <v>36</v>
      </c>
      <c r="C947" t="s">
        <v>37</v>
      </c>
      <c r="D947">
        <v>29</v>
      </c>
      <c r="E947" t="s">
        <v>62</v>
      </c>
      <c r="F947" t="s">
        <v>97</v>
      </c>
      <c r="G947" t="s">
        <v>64</v>
      </c>
      <c r="H947" t="s">
        <v>889</v>
      </c>
      <c r="I947">
        <v>2</v>
      </c>
      <c r="J947">
        <v>53500</v>
      </c>
      <c r="K947">
        <v>4.9000000000000004</v>
      </c>
      <c r="L947">
        <v>90.5</v>
      </c>
      <c r="M947">
        <v>18</v>
      </c>
      <c r="N947">
        <v>9</v>
      </c>
      <c r="O947">
        <v>4063</v>
      </c>
      <c r="P947" t="s">
        <v>26</v>
      </c>
      <c r="Q947" t="s">
        <v>27</v>
      </c>
      <c r="R947" t="s">
        <v>70</v>
      </c>
      <c r="S947" t="s">
        <v>49</v>
      </c>
      <c r="T947" t="s">
        <v>30</v>
      </c>
      <c r="U947">
        <f t="shared" si="70"/>
        <v>57563</v>
      </c>
      <c r="V947" t="str">
        <f t="shared" si="71"/>
        <v>Needs Improvement</v>
      </c>
      <c r="W947" t="str">
        <f t="shared" si="72"/>
        <v>Normal</v>
      </c>
      <c r="X947" t="str">
        <f t="shared" si="73"/>
        <v>Junior</v>
      </c>
      <c r="Y947" t="str">
        <f t="shared" si="74"/>
        <v>25-34</v>
      </c>
    </row>
    <row r="948" spans="1:25" x14ac:dyDescent="0.3">
      <c r="A948">
        <v>1947</v>
      </c>
      <c r="B948" t="s">
        <v>71</v>
      </c>
      <c r="C948" t="s">
        <v>21</v>
      </c>
      <c r="D948">
        <v>34</v>
      </c>
      <c r="E948" t="s">
        <v>55</v>
      </c>
      <c r="F948" t="s">
        <v>79</v>
      </c>
      <c r="G948" t="s">
        <v>45</v>
      </c>
      <c r="H948" t="s">
        <v>890</v>
      </c>
      <c r="I948">
        <v>1</v>
      </c>
      <c r="J948">
        <v>55662</v>
      </c>
      <c r="K948">
        <v>2.8</v>
      </c>
      <c r="L948">
        <v>92.7</v>
      </c>
      <c r="M948">
        <v>3</v>
      </c>
      <c r="N948">
        <v>47</v>
      </c>
      <c r="O948">
        <v>9846</v>
      </c>
      <c r="P948" t="s">
        <v>26</v>
      </c>
      <c r="Q948" t="s">
        <v>48</v>
      </c>
      <c r="R948" t="s">
        <v>42</v>
      </c>
      <c r="S948" t="s">
        <v>49</v>
      </c>
      <c r="T948" t="s">
        <v>30</v>
      </c>
      <c r="U948">
        <f t="shared" si="70"/>
        <v>65508</v>
      </c>
      <c r="V948" t="str">
        <f t="shared" si="71"/>
        <v>Needs Improvement</v>
      </c>
      <c r="W948" t="str">
        <f t="shared" si="72"/>
        <v>Normal</v>
      </c>
      <c r="X948" t="str">
        <f t="shared" si="73"/>
        <v>Junior</v>
      </c>
      <c r="Y948" t="str">
        <f t="shared" si="74"/>
        <v>25-34</v>
      </c>
    </row>
    <row r="949" spans="1:25" x14ac:dyDescent="0.3">
      <c r="A949">
        <v>1948</v>
      </c>
      <c r="B949" t="s">
        <v>99</v>
      </c>
      <c r="C949" t="s">
        <v>37</v>
      </c>
      <c r="D949">
        <v>36</v>
      </c>
      <c r="E949" t="s">
        <v>38</v>
      </c>
      <c r="F949" t="s">
        <v>44</v>
      </c>
      <c r="G949" t="s">
        <v>24</v>
      </c>
      <c r="H949" t="s">
        <v>782</v>
      </c>
      <c r="I949">
        <v>10</v>
      </c>
      <c r="J949">
        <v>36733</v>
      </c>
      <c r="K949">
        <v>3.4</v>
      </c>
      <c r="L949">
        <v>90.9</v>
      </c>
      <c r="M949">
        <v>20</v>
      </c>
      <c r="N949">
        <v>31</v>
      </c>
      <c r="O949">
        <v>3948</v>
      </c>
      <c r="P949" t="s">
        <v>53</v>
      </c>
      <c r="Q949" t="s">
        <v>48</v>
      </c>
      <c r="R949" t="s">
        <v>28</v>
      </c>
      <c r="S949" t="s">
        <v>34</v>
      </c>
      <c r="T949" t="s">
        <v>50</v>
      </c>
      <c r="U949">
        <f t="shared" si="70"/>
        <v>40681</v>
      </c>
      <c r="V949" t="str">
        <f t="shared" si="71"/>
        <v>Needs Improvement</v>
      </c>
      <c r="W949" t="str">
        <f t="shared" si="72"/>
        <v>Normal</v>
      </c>
      <c r="X949" t="str">
        <f t="shared" si="73"/>
        <v>Senior</v>
      </c>
      <c r="Y949" t="str">
        <f t="shared" si="74"/>
        <v>35-44</v>
      </c>
    </row>
    <row r="950" spans="1:25" x14ac:dyDescent="0.3">
      <c r="A950">
        <v>1949</v>
      </c>
      <c r="B950" t="s">
        <v>75</v>
      </c>
      <c r="C950" t="s">
        <v>21</v>
      </c>
      <c r="D950">
        <v>45</v>
      </c>
      <c r="E950" t="s">
        <v>91</v>
      </c>
      <c r="F950" t="s">
        <v>92</v>
      </c>
      <c r="G950" t="s">
        <v>51</v>
      </c>
      <c r="H950" t="s">
        <v>239</v>
      </c>
      <c r="I950">
        <v>5</v>
      </c>
      <c r="J950">
        <v>41446</v>
      </c>
      <c r="K950">
        <v>3.1</v>
      </c>
      <c r="L950">
        <v>95.4</v>
      </c>
      <c r="M950">
        <v>21</v>
      </c>
      <c r="N950">
        <v>52</v>
      </c>
      <c r="O950">
        <v>10216</v>
      </c>
      <c r="P950" t="s">
        <v>41</v>
      </c>
      <c r="Q950" t="s">
        <v>27</v>
      </c>
      <c r="R950" t="s">
        <v>28</v>
      </c>
      <c r="S950" t="s">
        <v>34</v>
      </c>
      <c r="T950" t="s">
        <v>35</v>
      </c>
      <c r="U950">
        <f t="shared" si="70"/>
        <v>51662</v>
      </c>
      <c r="V950" t="str">
        <f t="shared" si="71"/>
        <v>Excellent</v>
      </c>
      <c r="W950" t="str">
        <f t="shared" si="72"/>
        <v>High</v>
      </c>
      <c r="X950" t="str">
        <f t="shared" si="73"/>
        <v>Mid</v>
      </c>
      <c r="Y950" t="str">
        <f t="shared" si="74"/>
        <v>45+</v>
      </c>
    </row>
    <row r="951" spans="1:25" x14ac:dyDescent="0.3">
      <c r="A951">
        <v>1950</v>
      </c>
      <c r="B951" t="s">
        <v>178</v>
      </c>
      <c r="C951" t="s">
        <v>37</v>
      </c>
      <c r="D951">
        <v>26</v>
      </c>
      <c r="E951" t="s">
        <v>55</v>
      </c>
      <c r="F951" t="s">
        <v>56</v>
      </c>
      <c r="G951" t="s">
        <v>59</v>
      </c>
      <c r="H951" t="s">
        <v>891</v>
      </c>
      <c r="I951">
        <v>2</v>
      </c>
      <c r="J951">
        <v>42737</v>
      </c>
      <c r="K951">
        <v>3.9</v>
      </c>
      <c r="L951">
        <v>99.1</v>
      </c>
      <c r="M951">
        <v>24</v>
      </c>
      <c r="N951">
        <v>21</v>
      </c>
      <c r="O951">
        <v>3664</v>
      </c>
      <c r="P951" t="s">
        <v>26</v>
      </c>
      <c r="Q951" t="s">
        <v>27</v>
      </c>
      <c r="R951" t="s">
        <v>28</v>
      </c>
      <c r="S951" t="s">
        <v>34</v>
      </c>
      <c r="T951" t="s">
        <v>30</v>
      </c>
      <c r="U951">
        <f t="shared" si="70"/>
        <v>46401</v>
      </c>
      <c r="V951" t="str">
        <f t="shared" si="71"/>
        <v>Excellent</v>
      </c>
      <c r="W951" t="str">
        <f t="shared" si="72"/>
        <v>High</v>
      </c>
      <c r="X951" t="str">
        <f t="shared" si="73"/>
        <v>Junior</v>
      </c>
      <c r="Y951" t="str">
        <f t="shared" si="74"/>
        <v>25-34</v>
      </c>
    </row>
    <row r="952" spans="1:25" x14ac:dyDescent="0.3">
      <c r="A952">
        <v>1951</v>
      </c>
      <c r="B952" t="s">
        <v>20</v>
      </c>
      <c r="C952" t="s">
        <v>37</v>
      </c>
      <c r="D952">
        <v>22</v>
      </c>
      <c r="E952" t="s">
        <v>38</v>
      </c>
      <c r="F952" t="s">
        <v>39</v>
      </c>
      <c r="G952" t="s">
        <v>59</v>
      </c>
      <c r="H952" t="s">
        <v>892</v>
      </c>
      <c r="I952">
        <v>1</v>
      </c>
      <c r="J952">
        <v>25511</v>
      </c>
      <c r="K952">
        <v>2.6</v>
      </c>
      <c r="L952">
        <v>96.4</v>
      </c>
      <c r="M952">
        <v>0</v>
      </c>
      <c r="N952">
        <v>38</v>
      </c>
      <c r="O952">
        <v>10264</v>
      </c>
      <c r="P952" t="s">
        <v>53</v>
      </c>
      <c r="Q952" t="s">
        <v>48</v>
      </c>
      <c r="R952" t="s">
        <v>42</v>
      </c>
      <c r="S952" t="s">
        <v>34</v>
      </c>
      <c r="T952" t="s">
        <v>30</v>
      </c>
      <c r="U952">
        <f t="shared" si="70"/>
        <v>35775</v>
      </c>
      <c r="V952" t="str">
        <f t="shared" si="71"/>
        <v>Excellent</v>
      </c>
      <c r="W952" t="str">
        <f t="shared" si="72"/>
        <v>Normal</v>
      </c>
      <c r="X952" t="str">
        <f t="shared" si="73"/>
        <v>Junior</v>
      </c>
      <c r="Y952" t="str">
        <f t="shared" si="74"/>
        <v>20-24</v>
      </c>
    </row>
    <row r="953" spans="1:25" x14ac:dyDescent="0.3">
      <c r="A953">
        <v>1952</v>
      </c>
      <c r="B953" t="s">
        <v>71</v>
      </c>
      <c r="C953" t="s">
        <v>37</v>
      </c>
      <c r="D953">
        <v>43</v>
      </c>
      <c r="E953" t="s">
        <v>55</v>
      </c>
      <c r="F953" t="s">
        <v>143</v>
      </c>
      <c r="G953" t="s">
        <v>59</v>
      </c>
      <c r="H953" t="s">
        <v>893</v>
      </c>
      <c r="I953">
        <v>0</v>
      </c>
      <c r="J953">
        <v>53955</v>
      </c>
      <c r="K953">
        <v>2.8</v>
      </c>
      <c r="L953">
        <v>92.9</v>
      </c>
      <c r="M953">
        <v>21</v>
      </c>
      <c r="N953">
        <v>27</v>
      </c>
      <c r="O953">
        <v>10284</v>
      </c>
      <c r="P953" t="s">
        <v>26</v>
      </c>
      <c r="Q953" t="s">
        <v>48</v>
      </c>
      <c r="R953" t="s">
        <v>42</v>
      </c>
      <c r="S953" t="s">
        <v>49</v>
      </c>
      <c r="T953" t="s">
        <v>30</v>
      </c>
      <c r="U953">
        <f t="shared" si="70"/>
        <v>64239</v>
      </c>
      <c r="V953" t="str">
        <f t="shared" si="71"/>
        <v>Needs Improvement</v>
      </c>
      <c r="W953" t="str">
        <f t="shared" si="72"/>
        <v>High</v>
      </c>
      <c r="X953" t="str">
        <f t="shared" si="73"/>
        <v>Junior</v>
      </c>
      <c r="Y953" t="str">
        <f t="shared" si="74"/>
        <v>35-44</v>
      </c>
    </row>
    <row r="954" spans="1:25" x14ac:dyDescent="0.3">
      <c r="A954">
        <v>1953</v>
      </c>
      <c r="B954" t="s">
        <v>124</v>
      </c>
      <c r="C954" t="s">
        <v>37</v>
      </c>
      <c r="D954">
        <v>28</v>
      </c>
      <c r="E954" t="s">
        <v>55</v>
      </c>
      <c r="F954" t="s">
        <v>56</v>
      </c>
      <c r="G954" t="s">
        <v>24</v>
      </c>
      <c r="H954" t="s">
        <v>894</v>
      </c>
      <c r="I954">
        <v>5</v>
      </c>
      <c r="J954">
        <v>46607</v>
      </c>
      <c r="K954">
        <v>3</v>
      </c>
      <c r="L954">
        <v>95.8</v>
      </c>
      <c r="M954">
        <v>3</v>
      </c>
      <c r="N954">
        <v>41</v>
      </c>
      <c r="O954">
        <v>3976</v>
      </c>
      <c r="P954" t="s">
        <v>26</v>
      </c>
      <c r="Q954" t="s">
        <v>48</v>
      </c>
      <c r="R954" t="s">
        <v>28</v>
      </c>
      <c r="S954" t="s">
        <v>34</v>
      </c>
      <c r="T954" t="s">
        <v>35</v>
      </c>
      <c r="U954">
        <f t="shared" si="70"/>
        <v>50583</v>
      </c>
      <c r="V954" t="str">
        <f t="shared" si="71"/>
        <v>Excellent</v>
      </c>
      <c r="W954" t="str">
        <f t="shared" si="72"/>
        <v>Normal</v>
      </c>
      <c r="X954" t="str">
        <f t="shared" si="73"/>
        <v>Mid</v>
      </c>
      <c r="Y954" t="str">
        <f t="shared" si="74"/>
        <v>25-34</v>
      </c>
    </row>
    <row r="955" spans="1:25" x14ac:dyDescent="0.3">
      <c r="A955">
        <v>1954</v>
      </c>
      <c r="B955" t="s">
        <v>148</v>
      </c>
      <c r="C955" t="s">
        <v>37</v>
      </c>
      <c r="D955">
        <v>25</v>
      </c>
      <c r="E955" t="s">
        <v>91</v>
      </c>
      <c r="F955" t="s">
        <v>92</v>
      </c>
      <c r="G955" t="s">
        <v>24</v>
      </c>
      <c r="H955" t="s">
        <v>354</v>
      </c>
      <c r="I955">
        <v>2</v>
      </c>
      <c r="J955">
        <v>42198</v>
      </c>
      <c r="K955">
        <v>4.5</v>
      </c>
      <c r="L955">
        <v>94.2</v>
      </c>
      <c r="M955">
        <v>14</v>
      </c>
      <c r="N955">
        <v>19</v>
      </c>
      <c r="O955">
        <v>10316</v>
      </c>
      <c r="P955" t="s">
        <v>33</v>
      </c>
      <c r="Q955" t="s">
        <v>48</v>
      </c>
      <c r="R955" t="s">
        <v>70</v>
      </c>
      <c r="S955" t="s">
        <v>34</v>
      </c>
      <c r="T955" t="s">
        <v>30</v>
      </c>
      <c r="U955">
        <f t="shared" si="70"/>
        <v>52514</v>
      </c>
      <c r="V955" t="str">
        <f t="shared" si="71"/>
        <v>Needs Improvement</v>
      </c>
      <c r="W955" t="str">
        <f t="shared" si="72"/>
        <v>Normal</v>
      </c>
      <c r="X955" t="str">
        <f t="shared" si="73"/>
        <v>Junior</v>
      </c>
      <c r="Y955" t="str">
        <f t="shared" si="74"/>
        <v>25-34</v>
      </c>
    </row>
    <row r="956" spans="1:25" x14ac:dyDescent="0.3">
      <c r="A956">
        <v>1955</v>
      </c>
      <c r="B956" t="s">
        <v>43</v>
      </c>
      <c r="C956" t="s">
        <v>21</v>
      </c>
      <c r="D956">
        <v>34</v>
      </c>
      <c r="E956" t="s">
        <v>91</v>
      </c>
      <c r="F956" t="s">
        <v>101</v>
      </c>
      <c r="G956" t="s">
        <v>51</v>
      </c>
      <c r="H956" t="s">
        <v>895</v>
      </c>
      <c r="I956">
        <v>5</v>
      </c>
      <c r="J956">
        <v>52286</v>
      </c>
      <c r="K956">
        <v>3</v>
      </c>
      <c r="L956">
        <v>95.6</v>
      </c>
      <c r="M956">
        <v>15</v>
      </c>
      <c r="N956">
        <v>24</v>
      </c>
      <c r="O956">
        <v>6895</v>
      </c>
      <c r="P956" t="s">
        <v>26</v>
      </c>
      <c r="Q956" t="s">
        <v>27</v>
      </c>
      <c r="R956" t="s">
        <v>28</v>
      </c>
      <c r="S956" t="s">
        <v>49</v>
      </c>
      <c r="T956" t="s">
        <v>35</v>
      </c>
      <c r="U956">
        <f t="shared" si="70"/>
        <v>59181</v>
      </c>
      <c r="V956" t="str">
        <f t="shared" si="71"/>
        <v>Excellent</v>
      </c>
      <c r="W956" t="str">
        <f t="shared" si="72"/>
        <v>Normal</v>
      </c>
      <c r="X956" t="str">
        <f t="shared" si="73"/>
        <v>Mid</v>
      </c>
      <c r="Y956" t="str">
        <f t="shared" si="74"/>
        <v>25-34</v>
      </c>
    </row>
    <row r="957" spans="1:25" x14ac:dyDescent="0.3">
      <c r="A957">
        <v>1956</v>
      </c>
      <c r="B957" t="s">
        <v>43</v>
      </c>
      <c r="C957" t="s">
        <v>37</v>
      </c>
      <c r="D957">
        <v>42</v>
      </c>
      <c r="E957" t="s">
        <v>38</v>
      </c>
      <c r="F957" t="s">
        <v>44</v>
      </c>
      <c r="G957" t="s">
        <v>51</v>
      </c>
      <c r="H957" t="s">
        <v>896</v>
      </c>
      <c r="I957">
        <v>8</v>
      </c>
      <c r="J957">
        <v>37444</v>
      </c>
      <c r="K957">
        <v>4.0999999999999996</v>
      </c>
      <c r="L957">
        <v>90.9</v>
      </c>
      <c r="M957">
        <v>14</v>
      </c>
      <c r="N957">
        <v>53</v>
      </c>
      <c r="O957">
        <v>4682</v>
      </c>
      <c r="P957" t="s">
        <v>33</v>
      </c>
      <c r="Q957" t="s">
        <v>27</v>
      </c>
      <c r="R957" t="s">
        <v>58</v>
      </c>
      <c r="S957" t="s">
        <v>34</v>
      </c>
      <c r="T957" t="s">
        <v>50</v>
      </c>
      <c r="U957">
        <f t="shared" si="70"/>
        <v>42126</v>
      </c>
      <c r="V957" t="str">
        <f t="shared" si="71"/>
        <v>Needs Improvement</v>
      </c>
      <c r="W957" t="str">
        <f t="shared" si="72"/>
        <v>Normal</v>
      </c>
      <c r="X957" t="str">
        <f t="shared" si="73"/>
        <v>Senior</v>
      </c>
      <c r="Y957" t="str">
        <f t="shared" si="74"/>
        <v>35-44</v>
      </c>
    </row>
    <row r="958" spans="1:25" x14ac:dyDescent="0.3">
      <c r="A958">
        <v>1957</v>
      </c>
      <c r="B958" t="s">
        <v>78</v>
      </c>
      <c r="C958" t="s">
        <v>37</v>
      </c>
      <c r="D958">
        <v>22</v>
      </c>
      <c r="E958" t="s">
        <v>62</v>
      </c>
      <c r="F958" t="s">
        <v>63</v>
      </c>
      <c r="G958" t="s">
        <v>51</v>
      </c>
      <c r="H958" t="s">
        <v>460</v>
      </c>
      <c r="I958">
        <v>9</v>
      </c>
      <c r="J958">
        <v>78981</v>
      </c>
      <c r="K958">
        <v>4.9000000000000004</v>
      </c>
      <c r="L958">
        <v>85.3</v>
      </c>
      <c r="M958">
        <v>22</v>
      </c>
      <c r="N958">
        <v>11</v>
      </c>
      <c r="O958">
        <v>4020</v>
      </c>
      <c r="P958" t="s">
        <v>53</v>
      </c>
      <c r="Q958" t="s">
        <v>48</v>
      </c>
      <c r="R958" t="s">
        <v>70</v>
      </c>
      <c r="S958" t="s">
        <v>29</v>
      </c>
      <c r="T958" t="s">
        <v>50</v>
      </c>
      <c r="U958">
        <f t="shared" si="70"/>
        <v>83001</v>
      </c>
      <c r="V958" t="str">
        <f t="shared" si="71"/>
        <v>Needs Improvement</v>
      </c>
      <c r="W958" t="str">
        <f t="shared" si="72"/>
        <v>High</v>
      </c>
      <c r="X958" t="str">
        <f t="shared" si="73"/>
        <v>Senior</v>
      </c>
      <c r="Y958" t="str">
        <f t="shared" si="74"/>
        <v>20-24</v>
      </c>
    </row>
    <row r="959" spans="1:25" x14ac:dyDescent="0.3">
      <c r="A959">
        <v>1958</v>
      </c>
      <c r="B959" t="s">
        <v>43</v>
      </c>
      <c r="C959" t="s">
        <v>21</v>
      </c>
      <c r="D959">
        <v>33</v>
      </c>
      <c r="E959" t="s">
        <v>55</v>
      </c>
      <c r="F959" t="s">
        <v>79</v>
      </c>
      <c r="G959" t="s">
        <v>24</v>
      </c>
      <c r="H959" t="s">
        <v>897</v>
      </c>
      <c r="I959">
        <v>7</v>
      </c>
      <c r="J959">
        <v>74813</v>
      </c>
      <c r="K959">
        <v>4</v>
      </c>
      <c r="L959">
        <v>89.3</v>
      </c>
      <c r="M959">
        <v>11</v>
      </c>
      <c r="N959">
        <v>58</v>
      </c>
      <c r="O959">
        <v>8124</v>
      </c>
      <c r="P959" t="s">
        <v>41</v>
      </c>
      <c r="Q959" t="s">
        <v>48</v>
      </c>
      <c r="R959" t="s">
        <v>58</v>
      </c>
      <c r="S959" t="s">
        <v>29</v>
      </c>
      <c r="T959" t="s">
        <v>50</v>
      </c>
      <c r="U959">
        <f t="shared" si="70"/>
        <v>82937</v>
      </c>
      <c r="V959" t="str">
        <f t="shared" si="71"/>
        <v>Needs Improvement</v>
      </c>
      <c r="W959" t="str">
        <f t="shared" si="72"/>
        <v>Normal</v>
      </c>
      <c r="X959" t="str">
        <f t="shared" si="73"/>
        <v>Senior</v>
      </c>
      <c r="Y959" t="str">
        <f t="shared" si="74"/>
        <v>25-34</v>
      </c>
    </row>
    <row r="960" spans="1:25" x14ac:dyDescent="0.3">
      <c r="A960">
        <v>1959</v>
      </c>
      <c r="B960" t="s">
        <v>83</v>
      </c>
      <c r="C960" t="s">
        <v>37</v>
      </c>
      <c r="D960">
        <v>33</v>
      </c>
      <c r="E960" t="s">
        <v>22</v>
      </c>
      <c r="F960" t="s">
        <v>23</v>
      </c>
      <c r="G960" t="s">
        <v>51</v>
      </c>
      <c r="H960" t="s">
        <v>898</v>
      </c>
      <c r="I960">
        <v>9</v>
      </c>
      <c r="J960">
        <v>53661</v>
      </c>
      <c r="K960">
        <v>4.0999999999999996</v>
      </c>
      <c r="L960">
        <v>99.4</v>
      </c>
      <c r="M960">
        <v>25</v>
      </c>
      <c r="N960">
        <v>28</v>
      </c>
      <c r="O960">
        <v>5622</v>
      </c>
      <c r="P960" t="s">
        <v>33</v>
      </c>
      <c r="Q960" t="s">
        <v>48</v>
      </c>
      <c r="R960" t="s">
        <v>58</v>
      </c>
      <c r="S960" t="s">
        <v>49</v>
      </c>
      <c r="T960" t="s">
        <v>50</v>
      </c>
      <c r="U960">
        <f t="shared" si="70"/>
        <v>59283</v>
      </c>
      <c r="V960" t="str">
        <f t="shared" si="71"/>
        <v>Excellent</v>
      </c>
      <c r="W960" t="str">
        <f t="shared" si="72"/>
        <v>High</v>
      </c>
      <c r="X960" t="str">
        <f t="shared" si="73"/>
        <v>Senior</v>
      </c>
      <c r="Y960" t="str">
        <f t="shared" si="74"/>
        <v>25-34</v>
      </c>
    </row>
    <row r="961" spans="1:25" x14ac:dyDescent="0.3">
      <c r="A961">
        <v>1960</v>
      </c>
      <c r="B961" t="s">
        <v>20</v>
      </c>
      <c r="C961" t="s">
        <v>37</v>
      </c>
      <c r="D961">
        <v>42</v>
      </c>
      <c r="E961" t="s">
        <v>91</v>
      </c>
      <c r="F961" t="s">
        <v>92</v>
      </c>
      <c r="G961" t="s">
        <v>51</v>
      </c>
      <c r="H961" t="s">
        <v>899</v>
      </c>
      <c r="I961">
        <v>0</v>
      </c>
      <c r="J961">
        <v>42515</v>
      </c>
      <c r="K961">
        <v>3.1</v>
      </c>
      <c r="L961">
        <v>97.1</v>
      </c>
      <c r="M961">
        <v>23</v>
      </c>
      <c r="N961">
        <v>8</v>
      </c>
      <c r="O961">
        <v>6843</v>
      </c>
      <c r="P961" t="s">
        <v>41</v>
      </c>
      <c r="Q961" t="s">
        <v>27</v>
      </c>
      <c r="R961" t="s">
        <v>28</v>
      </c>
      <c r="S961" t="s">
        <v>34</v>
      </c>
      <c r="T961" t="s">
        <v>30</v>
      </c>
      <c r="U961">
        <f t="shared" si="70"/>
        <v>49358</v>
      </c>
      <c r="V961" t="str">
        <f t="shared" si="71"/>
        <v>Excellent</v>
      </c>
      <c r="W961" t="str">
        <f t="shared" si="72"/>
        <v>High</v>
      </c>
      <c r="X961" t="str">
        <f t="shared" si="73"/>
        <v>Junior</v>
      </c>
      <c r="Y961" t="str">
        <f t="shared" si="74"/>
        <v>35-44</v>
      </c>
    </row>
    <row r="962" spans="1:25" x14ac:dyDescent="0.3">
      <c r="A962">
        <v>1961</v>
      </c>
      <c r="B962" t="s">
        <v>99</v>
      </c>
      <c r="C962" t="s">
        <v>21</v>
      </c>
      <c r="D962">
        <v>29</v>
      </c>
      <c r="E962" t="s">
        <v>91</v>
      </c>
      <c r="F962" t="s">
        <v>101</v>
      </c>
      <c r="G962" t="s">
        <v>45</v>
      </c>
      <c r="H962" t="s">
        <v>900</v>
      </c>
      <c r="I962">
        <v>6</v>
      </c>
      <c r="J962">
        <v>56313</v>
      </c>
      <c r="K962">
        <v>2.5</v>
      </c>
      <c r="L962">
        <v>90.8</v>
      </c>
      <c r="M962">
        <v>4</v>
      </c>
      <c r="N962">
        <v>56</v>
      </c>
      <c r="O962">
        <v>11785</v>
      </c>
      <c r="P962" t="s">
        <v>26</v>
      </c>
      <c r="Q962" t="s">
        <v>27</v>
      </c>
      <c r="R962" t="s">
        <v>42</v>
      </c>
      <c r="S962" t="s">
        <v>49</v>
      </c>
      <c r="T962" t="s">
        <v>50</v>
      </c>
      <c r="U962">
        <f t="shared" si="70"/>
        <v>68098</v>
      </c>
      <c r="V962" t="str">
        <f t="shared" si="71"/>
        <v>Needs Improvement</v>
      </c>
      <c r="W962" t="str">
        <f t="shared" si="72"/>
        <v>Normal</v>
      </c>
      <c r="X962" t="str">
        <f t="shared" si="73"/>
        <v>Mid</v>
      </c>
      <c r="Y962" t="str">
        <f t="shared" si="74"/>
        <v>25-34</v>
      </c>
    </row>
    <row r="963" spans="1:25" x14ac:dyDescent="0.3">
      <c r="A963">
        <v>1962</v>
      </c>
      <c r="B963" t="s">
        <v>20</v>
      </c>
      <c r="C963" t="s">
        <v>37</v>
      </c>
      <c r="D963">
        <v>33</v>
      </c>
      <c r="E963" t="s">
        <v>38</v>
      </c>
      <c r="F963" t="s">
        <v>44</v>
      </c>
      <c r="G963" t="s">
        <v>24</v>
      </c>
      <c r="H963" t="s">
        <v>848</v>
      </c>
      <c r="I963">
        <v>4</v>
      </c>
      <c r="J963">
        <v>61615</v>
      </c>
      <c r="K963">
        <v>3</v>
      </c>
      <c r="L963">
        <v>87.5</v>
      </c>
      <c r="M963">
        <v>20</v>
      </c>
      <c r="N963">
        <v>43</v>
      </c>
      <c r="O963">
        <v>13774</v>
      </c>
      <c r="P963" t="s">
        <v>33</v>
      </c>
      <c r="Q963" t="s">
        <v>27</v>
      </c>
      <c r="R963" t="s">
        <v>28</v>
      </c>
      <c r="S963" t="s">
        <v>49</v>
      </c>
      <c r="T963" t="s">
        <v>35</v>
      </c>
      <c r="U963">
        <f t="shared" ref="U963:U1001" si="75">J963+O963</f>
        <v>75389</v>
      </c>
      <c r="V963" t="str">
        <f t="shared" ref="V963:V1001" si="76">IF(L963&gt;=95,"Excellent","Needs Improvement")</f>
        <v>Needs Improvement</v>
      </c>
      <c r="W963" t="str">
        <f t="shared" ref="W963:W1001" si="77">IF(M963&gt;20,"High","Normal")</f>
        <v>Normal</v>
      </c>
      <c r="X963" t="str">
        <f t="shared" ref="X963:X1001" si="78">IF(I963&lt;3,"Junior",IF(I963&lt;7,"Mid","Senior"))</f>
        <v>Mid</v>
      </c>
      <c r="Y963" t="str">
        <f t="shared" ref="Y963:Y1001" si="79">IF(D963&lt;25,"20-24",IF(D963&lt;35,"25-34",IF(D963&lt;45,"35-44","45+")))</f>
        <v>25-34</v>
      </c>
    </row>
    <row r="964" spans="1:25" x14ac:dyDescent="0.3">
      <c r="A964">
        <v>1963</v>
      </c>
      <c r="B964" t="s">
        <v>124</v>
      </c>
      <c r="C964" t="s">
        <v>21</v>
      </c>
      <c r="D964">
        <v>45</v>
      </c>
      <c r="E964" t="s">
        <v>55</v>
      </c>
      <c r="F964" t="s">
        <v>56</v>
      </c>
      <c r="G964" t="s">
        <v>51</v>
      </c>
      <c r="H964" t="s">
        <v>522</v>
      </c>
      <c r="I964">
        <v>9</v>
      </c>
      <c r="J964">
        <v>61385</v>
      </c>
      <c r="K964">
        <v>2.7</v>
      </c>
      <c r="L964">
        <v>95.5</v>
      </c>
      <c r="M964">
        <v>3</v>
      </c>
      <c r="N964">
        <v>35</v>
      </c>
      <c r="O964">
        <v>10734</v>
      </c>
      <c r="P964" t="s">
        <v>26</v>
      </c>
      <c r="Q964" t="s">
        <v>27</v>
      </c>
      <c r="R964" t="s">
        <v>42</v>
      </c>
      <c r="S964" t="s">
        <v>49</v>
      </c>
      <c r="T964" t="s">
        <v>50</v>
      </c>
      <c r="U964">
        <f t="shared" si="75"/>
        <v>72119</v>
      </c>
      <c r="V964" t="str">
        <f t="shared" si="76"/>
        <v>Excellent</v>
      </c>
      <c r="W964" t="str">
        <f t="shared" si="77"/>
        <v>Normal</v>
      </c>
      <c r="X964" t="str">
        <f t="shared" si="78"/>
        <v>Senior</v>
      </c>
      <c r="Y964" t="str">
        <f t="shared" si="79"/>
        <v>45+</v>
      </c>
    </row>
    <row r="965" spans="1:25" x14ac:dyDescent="0.3">
      <c r="A965">
        <v>1964</v>
      </c>
      <c r="B965" t="s">
        <v>43</v>
      </c>
      <c r="C965" t="s">
        <v>37</v>
      </c>
      <c r="D965">
        <v>25</v>
      </c>
      <c r="E965" t="s">
        <v>55</v>
      </c>
      <c r="F965" t="s">
        <v>143</v>
      </c>
      <c r="G965" t="s">
        <v>64</v>
      </c>
      <c r="H965" t="s">
        <v>901</v>
      </c>
      <c r="I965">
        <v>8</v>
      </c>
      <c r="J965">
        <v>48470</v>
      </c>
      <c r="K965">
        <v>3.5</v>
      </c>
      <c r="L965">
        <v>85</v>
      </c>
      <c r="M965">
        <v>3</v>
      </c>
      <c r="N965">
        <v>46</v>
      </c>
      <c r="O965">
        <v>2844</v>
      </c>
      <c r="P965" t="s">
        <v>47</v>
      </c>
      <c r="Q965" t="s">
        <v>48</v>
      </c>
      <c r="R965" t="s">
        <v>28</v>
      </c>
      <c r="S965" t="s">
        <v>34</v>
      </c>
      <c r="T965" t="s">
        <v>50</v>
      </c>
      <c r="U965">
        <f t="shared" si="75"/>
        <v>51314</v>
      </c>
      <c r="V965" t="str">
        <f t="shared" si="76"/>
        <v>Needs Improvement</v>
      </c>
      <c r="W965" t="str">
        <f t="shared" si="77"/>
        <v>Normal</v>
      </c>
      <c r="X965" t="str">
        <f t="shared" si="78"/>
        <v>Senior</v>
      </c>
      <c r="Y965" t="str">
        <f t="shared" si="79"/>
        <v>25-34</v>
      </c>
    </row>
    <row r="966" spans="1:25" x14ac:dyDescent="0.3">
      <c r="A966">
        <v>1965</v>
      </c>
      <c r="B966" t="s">
        <v>88</v>
      </c>
      <c r="C966" t="s">
        <v>37</v>
      </c>
      <c r="D966">
        <v>43</v>
      </c>
      <c r="E966" t="s">
        <v>62</v>
      </c>
      <c r="F966" t="s">
        <v>63</v>
      </c>
      <c r="G966" t="s">
        <v>59</v>
      </c>
      <c r="H966" t="s">
        <v>902</v>
      </c>
      <c r="I966">
        <v>6</v>
      </c>
      <c r="J966">
        <v>34616</v>
      </c>
      <c r="K966">
        <v>3.5</v>
      </c>
      <c r="L966">
        <v>91.2</v>
      </c>
      <c r="M966">
        <v>21</v>
      </c>
      <c r="N966">
        <v>47</v>
      </c>
      <c r="O966">
        <v>10281</v>
      </c>
      <c r="P966" t="s">
        <v>53</v>
      </c>
      <c r="Q966" t="s">
        <v>48</v>
      </c>
      <c r="R966" t="s">
        <v>28</v>
      </c>
      <c r="S966" t="s">
        <v>34</v>
      </c>
      <c r="T966" t="s">
        <v>50</v>
      </c>
      <c r="U966">
        <f t="shared" si="75"/>
        <v>44897</v>
      </c>
      <c r="V966" t="str">
        <f t="shared" si="76"/>
        <v>Needs Improvement</v>
      </c>
      <c r="W966" t="str">
        <f t="shared" si="77"/>
        <v>High</v>
      </c>
      <c r="X966" t="str">
        <f t="shared" si="78"/>
        <v>Mid</v>
      </c>
      <c r="Y966" t="str">
        <f t="shared" si="79"/>
        <v>35-44</v>
      </c>
    </row>
    <row r="967" spans="1:25" x14ac:dyDescent="0.3">
      <c r="A967">
        <v>1966</v>
      </c>
      <c r="B967" t="s">
        <v>111</v>
      </c>
      <c r="C967" t="s">
        <v>37</v>
      </c>
      <c r="D967">
        <v>22</v>
      </c>
      <c r="E967" t="s">
        <v>62</v>
      </c>
      <c r="F967" t="s">
        <v>97</v>
      </c>
      <c r="G967" t="s">
        <v>59</v>
      </c>
      <c r="H967" t="s">
        <v>903</v>
      </c>
      <c r="I967">
        <v>10</v>
      </c>
      <c r="J967">
        <v>67353</v>
      </c>
      <c r="K967">
        <v>3.2</v>
      </c>
      <c r="L967">
        <v>98.6</v>
      </c>
      <c r="M967">
        <v>18</v>
      </c>
      <c r="N967">
        <v>48</v>
      </c>
      <c r="O967">
        <v>14607</v>
      </c>
      <c r="P967" t="s">
        <v>47</v>
      </c>
      <c r="Q967" t="s">
        <v>48</v>
      </c>
      <c r="R967" t="s">
        <v>28</v>
      </c>
      <c r="S967" t="s">
        <v>49</v>
      </c>
      <c r="T967" t="s">
        <v>50</v>
      </c>
      <c r="U967">
        <f t="shared" si="75"/>
        <v>81960</v>
      </c>
      <c r="V967" t="str">
        <f t="shared" si="76"/>
        <v>Excellent</v>
      </c>
      <c r="W967" t="str">
        <f t="shared" si="77"/>
        <v>Normal</v>
      </c>
      <c r="X967" t="str">
        <f t="shared" si="78"/>
        <v>Senior</v>
      </c>
      <c r="Y967" t="str">
        <f t="shared" si="79"/>
        <v>20-24</v>
      </c>
    </row>
    <row r="968" spans="1:25" x14ac:dyDescent="0.3">
      <c r="A968">
        <v>1967</v>
      </c>
      <c r="B968" t="s">
        <v>71</v>
      </c>
      <c r="C968" t="s">
        <v>37</v>
      </c>
      <c r="D968">
        <v>35</v>
      </c>
      <c r="E968" t="s">
        <v>62</v>
      </c>
      <c r="F968" t="s">
        <v>97</v>
      </c>
      <c r="G968" t="s">
        <v>64</v>
      </c>
      <c r="H968" t="s">
        <v>904</v>
      </c>
      <c r="I968">
        <v>0</v>
      </c>
      <c r="J968">
        <v>94324</v>
      </c>
      <c r="K968">
        <v>4.0999999999999996</v>
      </c>
      <c r="L968">
        <v>99.5</v>
      </c>
      <c r="M968">
        <v>22</v>
      </c>
      <c r="N968">
        <v>52</v>
      </c>
      <c r="O968">
        <v>6598</v>
      </c>
      <c r="P968" t="s">
        <v>47</v>
      </c>
      <c r="Q968" t="s">
        <v>48</v>
      </c>
      <c r="R968" t="s">
        <v>58</v>
      </c>
      <c r="S968" t="s">
        <v>29</v>
      </c>
      <c r="T968" t="s">
        <v>30</v>
      </c>
      <c r="U968">
        <f t="shared" si="75"/>
        <v>100922</v>
      </c>
      <c r="V968" t="str">
        <f t="shared" si="76"/>
        <v>Excellent</v>
      </c>
      <c r="W968" t="str">
        <f t="shared" si="77"/>
        <v>High</v>
      </c>
      <c r="X968" t="str">
        <f t="shared" si="78"/>
        <v>Junior</v>
      </c>
      <c r="Y968" t="str">
        <f t="shared" si="79"/>
        <v>35-44</v>
      </c>
    </row>
    <row r="969" spans="1:25" x14ac:dyDescent="0.3">
      <c r="A969">
        <v>1968</v>
      </c>
      <c r="B969" t="s">
        <v>75</v>
      </c>
      <c r="C969" t="s">
        <v>37</v>
      </c>
      <c r="D969">
        <v>41</v>
      </c>
      <c r="E969" t="s">
        <v>38</v>
      </c>
      <c r="F969" t="s">
        <v>39</v>
      </c>
      <c r="G969" t="s">
        <v>64</v>
      </c>
      <c r="H969" t="s">
        <v>905</v>
      </c>
      <c r="I969">
        <v>6</v>
      </c>
      <c r="J969">
        <v>56303</v>
      </c>
      <c r="K969">
        <v>3</v>
      </c>
      <c r="L969">
        <v>96.7</v>
      </c>
      <c r="M969">
        <v>15</v>
      </c>
      <c r="N969">
        <v>25</v>
      </c>
      <c r="O969">
        <v>13542</v>
      </c>
      <c r="P969" t="s">
        <v>33</v>
      </c>
      <c r="Q969" t="s">
        <v>48</v>
      </c>
      <c r="R969" t="s">
        <v>28</v>
      </c>
      <c r="S969" t="s">
        <v>49</v>
      </c>
      <c r="T969" t="s">
        <v>50</v>
      </c>
      <c r="U969">
        <f t="shared" si="75"/>
        <v>69845</v>
      </c>
      <c r="V969" t="str">
        <f t="shared" si="76"/>
        <v>Excellent</v>
      </c>
      <c r="W969" t="str">
        <f t="shared" si="77"/>
        <v>Normal</v>
      </c>
      <c r="X969" t="str">
        <f t="shared" si="78"/>
        <v>Mid</v>
      </c>
      <c r="Y969" t="str">
        <f t="shared" si="79"/>
        <v>35-44</v>
      </c>
    </row>
    <row r="970" spans="1:25" x14ac:dyDescent="0.3">
      <c r="A970">
        <v>1969</v>
      </c>
      <c r="B970" t="s">
        <v>43</v>
      </c>
      <c r="C970" t="s">
        <v>21</v>
      </c>
      <c r="D970">
        <v>28</v>
      </c>
      <c r="E970" t="s">
        <v>62</v>
      </c>
      <c r="F970" t="s">
        <v>97</v>
      </c>
      <c r="G970" t="s">
        <v>45</v>
      </c>
      <c r="H970" t="s">
        <v>906</v>
      </c>
      <c r="I970">
        <v>10</v>
      </c>
      <c r="J970">
        <v>74746</v>
      </c>
      <c r="K970">
        <v>2.9</v>
      </c>
      <c r="L970">
        <v>97.2</v>
      </c>
      <c r="M970">
        <v>24</v>
      </c>
      <c r="N970">
        <v>10</v>
      </c>
      <c r="O970">
        <v>7112</v>
      </c>
      <c r="P970" t="s">
        <v>33</v>
      </c>
      <c r="Q970" t="s">
        <v>27</v>
      </c>
      <c r="R970" t="s">
        <v>42</v>
      </c>
      <c r="S970" t="s">
        <v>29</v>
      </c>
      <c r="T970" t="s">
        <v>50</v>
      </c>
      <c r="U970">
        <f t="shared" si="75"/>
        <v>81858</v>
      </c>
      <c r="V970" t="str">
        <f t="shared" si="76"/>
        <v>Excellent</v>
      </c>
      <c r="W970" t="str">
        <f t="shared" si="77"/>
        <v>High</v>
      </c>
      <c r="X970" t="str">
        <f t="shared" si="78"/>
        <v>Senior</v>
      </c>
      <c r="Y970" t="str">
        <f t="shared" si="79"/>
        <v>25-34</v>
      </c>
    </row>
    <row r="971" spans="1:25" x14ac:dyDescent="0.3">
      <c r="A971">
        <v>1970</v>
      </c>
      <c r="B971" t="s">
        <v>71</v>
      </c>
      <c r="C971" t="s">
        <v>21</v>
      </c>
      <c r="D971">
        <v>36</v>
      </c>
      <c r="E971" t="s">
        <v>62</v>
      </c>
      <c r="F971" t="s">
        <v>63</v>
      </c>
      <c r="G971" t="s">
        <v>45</v>
      </c>
      <c r="H971" t="s">
        <v>476</v>
      </c>
      <c r="I971">
        <v>0</v>
      </c>
      <c r="J971">
        <v>51006</v>
      </c>
      <c r="K971">
        <v>2.6</v>
      </c>
      <c r="L971">
        <v>83.8</v>
      </c>
      <c r="M971">
        <v>5</v>
      </c>
      <c r="N971">
        <v>37</v>
      </c>
      <c r="O971">
        <v>4446</v>
      </c>
      <c r="P971" t="s">
        <v>53</v>
      </c>
      <c r="Q971" t="s">
        <v>48</v>
      </c>
      <c r="R971" t="s">
        <v>42</v>
      </c>
      <c r="S971" t="s">
        <v>49</v>
      </c>
      <c r="T971" t="s">
        <v>30</v>
      </c>
      <c r="U971">
        <f t="shared" si="75"/>
        <v>55452</v>
      </c>
      <c r="V971" t="str">
        <f t="shared" si="76"/>
        <v>Needs Improvement</v>
      </c>
      <c r="W971" t="str">
        <f t="shared" si="77"/>
        <v>Normal</v>
      </c>
      <c r="X971" t="str">
        <f t="shared" si="78"/>
        <v>Junior</v>
      </c>
      <c r="Y971" t="str">
        <f t="shared" si="79"/>
        <v>35-44</v>
      </c>
    </row>
    <row r="972" spans="1:25" x14ac:dyDescent="0.3">
      <c r="A972">
        <v>1971</v>
      </c>
      <c r="B972" t="s">
        <v>54</v>
      </c>
      <c r="C972" t="s">
        <v>37</v>
      </c>
      <c r="D972">
        <v>43</v>
      </c>
      <c r="E972" t="s">
        <v>62</v>
      </c>
      <c r="F972" t="s">
        <v>97</v>
      </c>
      <c r="G972" t="s">
        <v>51</v>
      </c>
      <c r="H972" t="s">
        <v>907</v>
      </c>
      <c r="I972">
        <v>8</v>
      </c>
      <c r="J972">
        <v>82112</v>
      </c>
      <c r="K972">
        <v>3.5</v>
      </c>
      <c r="L972">
        <v>97.6</v>
      </c>
      <c r="M972">
        <v>22</v>
      </c>
      <c r="N972">
        <v>58</v>
      </c>
      <c r="O972">
        <v>9600</v>
      </c>
      <c r="P972" t="s">
        <v>53</v>
      </c>
      <c r="Q972" t="s">
        <v>27</v>
      </c>
      <c r="R972" t="s">
        <v>28</v>
      </c>
      <c r="S972" t="s">
        <v>29</v>
      </c>
      <c r="T972" t="s">
        <v>50</v>
      </c>
      <c r="U972">
        <f t="shared" si="75"/>
        <v>91712</v>
      </c>
      <c r="V972" t="str">
        <f t="shared" si="76"/>
        <v>Excellent</v>
      </c>
      <c r="W972" t="str">
        <f t="shared" si="77"/>
        <v>High</v>
      </c>
      <c r="X972" t="str">
        <f t="shared" si="78"/>
        <v>Senior</v>
      </c>
      <c r="Y972" t="str">
        <f t="shared" si="79"/>
        <v>35-44</v>
      </c>
    </row>
    <row r="973" spans="1:25" x14ac:dyDescent="0.3">
      <c r="A973">
        <v>1972</v>
      </c>
      <c r="B973" t="s">
        <v>71</v>
      </c>
      <c r="C973" t="s">
        <v>37</v>
      </c>
      <c r="D973">
        <v>45</v>
      </c>
      <c r="E973" t="s">
        <v>62</v>
      </c>
      <c r="F973" t="s">
        <v>97</v>
      </c>
      <c r="G973" t="s">
        <v>64</v>
      </c>
      <c r="H973" t="s">
        <v>908</v>
      </c>
      <c r="I973">
        <v>1</v>
      </c>
      <c r="J973">
        <v>66743</v>
      </c>
      <c r="K973">
        <v>2.8</v>
      </c>
      <c r="L973">
        <v>99</v>
      </c>
      <c r="M973">
        <v>19</v>
      </c>
      <c r="N973">
        <v>58</v>
      </c>
      <c r="O973">
        <v>1411</v>
      </c>
      <c r="P973" t="s">
        <v>47</v>
      </c>
      <c r="Q973" t="s">
        <v>48</v>
      </c>
      <c r="R973" t="s">
        <v>42</v>
      </c>
      <c r="S973" t="s">
        <v>49</v>
      </c>
      <c r="T973" t="s">
        <v>30</v>
      </c>
      <c r="U973">
        <f t="shared" si="75"/>
        <v>68154</v>
      </c>
      <c r="V973" t="str">
        <f t="shared" si="76"/>
        <v>Excellent</v>
      </c>
      <c r="W973" t="str">
        <f t="shared" si="77"/>
        <v>Normal</v>
      </c>
      <c r="X973" t="str">
        <f t="shared" si="78"/>
        <v>Junior</v>
      </c>
      <c r="Y973" t="str">
        <f t="shared" si="79"/>
        <v>45+</v>
      </c>
    </row>
    <row r="974" spans="1:25" x14ac:dyDescent="0.3">
      <c r="A974">
        <v>1973</v>
      </c>
      <c r="B974" t="s">
        <v>83</v>
      </c>
      <c r="C974" t="s">
        <v>37</v>
      </c>
      <c r="D974">
        <v>32</v>
      </c>
      <c r="E974" t="s">
        <v>38</v>
      </c>
      <c r="F974" t="s">
        <v>39</v>
      </c>
      <c r="G974" t="s">
        <v>64</v>
      </c>
      <c r="H974" t="s">
        <v>909</v>
      </c>
      <c r="I974">
        <v>0</v>
      </c>
      <c r="J974">
        <v>52303</v>
      </c>
      <c r="K974">
        <v>3.4</v>
      </c>
      <c r="L974">
        <v>99.6</v>
      </c>
      <c r="M974">
        <v>20</v>
      </c>
      <c r="N974">
        <v>51</v>
      </c>
      <c r="O974">
        <v>13260</v>
      </c>
      <c r="P974" t="s">
        <v>47</v>
      </c>
      <c r="Q974" t="s">
        <v>27</v>
      </c>
      <c r="R974" t="s">
        <v>28</v>
      </c>
      <c r="S974" t="s">
        <v>49</v>
      </c>
      <c r="T974" t="s">
        <v>30</v>
      </c>
      <c r="U974">
        <f t="shared" si="75"/>
        <v>65563</v>
      </c>
      <c r="V974" t="str">
        <f t="shared" si="76"/>
        <v>Excellent</v>
      </c>
      <c r="W974" t="str">
        <f t="shared" si="77"/>
        <v>Normal</v>
      </c>
      <c r="X974" t="str">
        <f t="shared" si="78"/>
        <v>Junior</v>
      </c>
      <c r="Y974" t="str">
        <f t="shared" si="79"/>
        <v>25-34</v>
      </c>
    </row>
    <row r="975" spans="1:25" x14ac:dyDescent="0.3">
      <c r="A975">
        <v>1974</v>
      </c>
      <c r="B975" t="s">
        <v>178</v>
      </c>
      <c r="C975" t="s">
        <v>21</v>
      </c>
      <c r="D975">
        <v>42</v>
      </c>
      <c r="E975" t="s">
        <v>62</v>
      </c>
      <c r="F975" t="s">
        <v>63</v>
      </c>
      <c r="G975" t="s">
        <v>51</v>
      </c>
      <c r="H975" t="s">
        <v>910</v>
      </c>
      <c r="I975">
        <v>5</v>
      </c>
      <c r="J975">
        <v>88240</v>
      </c>
      <c r="K975">
        <v>2.7</v>
      </c>
      <c r="L975">
        <v>83</v>
      </c>
      <c r="M975">
        <v>3</v>
      </c>
      <c r="N975">
        <v>49</v>
      </c>
      <c r="O975">
        <v>13340</v>
      </c>
      <c r="P975" t="s">
        <v>47</v>
      </c>
      <c r="Q975" t="s">
        <v>27</v>
      </c>
      <c r="R975" t="s">
        <v>42</v>
      </c>
      <c r="S975" t="s">
        <v>29</v>
      </c>
      <c r="T975" t="s">
        <v>35</v>
      </c>
      <c r="U975">
        <f t="shared" si="75"/>
        <v>101580</v>
      </c>
      <c r="V975" t="str">
        <f t="shared" si="76"/>
        <v>Needs Improvement</v>
      </c>
      <c r="W975" t="str">
        <f t="shared" si="77"/>
        <v>Normal</v>
      </c>
      <c r="X975" t="str">
        <f t="shared" si="78"/>
        <v>Mid</v>
      </c>
      <c r="Y975" t="str">
        <f t="shared" si="79"/>
        <v>35-44</v>
      </c>
    </row>
    <row r="976" spans="1:25" x14ac:dyDescent="0.3">
      <c r="A976">
        <v>1975</v>
      </c>
      <c r="B976" t="s">
        <v>99</v>
      </c>
      <c r="C976" t="s">
        <v>37</v>
      </c>
      <c r="D976">
        <v>31</v>
      </c>
      <c r="E976" t="s">
        <v>55</v>
      </c>
      <c r="F976" t="s">
        <v>143</v>
      </c>
      <c r="G976" t="s">
        <v>59</v>
      </c>
      <c r="H976" t="s">
        <v>911</v>
      </c>
      <c r="I976">
        <v>5</v>
      </c>
      <c r="J976">
        <v>37540</v>
      </c>
      <c r="K976">
        <v>5</v>
      </c>
      <c r="L976">
        <v>99.3</v>
      </c>
      <c r="M976">
        <v>14</v>
      </c>
      <c r="N976">
        <v>38</v>
      </c>
      <c r="O976">
        <v>12648</v>
      </c>
      <c r="P976" t="s">
        <v>53</v>
      </c>
      <c r="Q976" t="s">
        <v>48</v>
      </c>
      <c r="R976" t="s">
        <v>70</v>
      </c>
      <c r="S976" t="s">
        <v>34</v>
      </c>
      <c r="T976" t="s">
        <v>35</v>
      </c>
      <c r="U976">
        <f t="shared" si="75"/>
        <v>50188</v>
      </c>
      <c r="V976" t="str">
        <f t="shared" si="76"/>
        <v>Excellent</v>
      </c>
      <c r="W976" t="str">
        <f t="shared" si="77"/>
        <v>Normal</v>
      </c>
      <c r="X976" t="str">
        <f t="shared" si="78"/>
        <v>Mid</v>
      </c>
      <c r="Y976" t="str">
        <f t="shared" si="79"/>
        <v>25-34</v>
      </c>
    </row>
    <row r="977" spans="1:25" x14ac:dyDescent="0.3">
      <c r="A977">
        <v>1976</v>
      </c>
      <c r="B977" t="s">
        <v>83</v>
      </c>
      <c r="C977" t="s">
        <v>21</v>
      </c>
      <c r="D977">
        <v>29</v>
      </c>
      <c r="E977" t="s">
        <v>62</v>
      </c>
      <c r="F977" t="s">
        <v>97</v>
      </c>
      <c r="G977" t="s">
        <v>45</v>
      </c>
      <c r="H977" t="s">
        <v>912</v>
      </c>
      <c r="I977">
        <v>8</v>
      </c>
      <c r="J977">
        <v>33061</v>
      </c>
      <c r="K977">
        <v>4.5999999999999996</v>
      </c>
      <c r="L977">
        <v>86.6</v>
      </c>
      <c r="M977">
        <v>8</v>
      </c>
      <c r="N977">
        <v>48</v>
      </c>
      <c r="O977">
        <v>2682</v>
      </c>
      <c r="P977" t="s">
        <v>41</v>
      </c>
      <c r="Q977" t="s">
        <v>27</v>
      </c>
      <c r="R977" t="s">
        <v>70</v>
      </c>
      <c r="S977" t="s">
        <v>34</v>
      </c>
      <c r="T977" t="s">
        <v>50</v>
      </c>
      <c r="U977">
        <f t="shared" si="75"/>
        <v>35743</v>
      </c>
      <c r="V977" t="str">
        <f t="shared" si="76"/>
        <v>Needs Improvement</v>
      </c>
      <c r="W977" t="str">
        <f t="shared" si="77"/>
        <v>Normal</v>
      </c>
      <c r="X977" t="str">
        <f t="shared" si="78"/>
        <v>Senior</v>
      </c>
      <c r="Y977" t="str">
        <f t="shared" si="79"/>
        <v>25-34</v>
      </c>
    </row>
    <row r="978" spans="1:25" x14ac:dyDescent="0.3">
      <c r="A978">
        <v>1977</v>
      </c>
      <c r="B978" t="s">
        <v>68</v>
      </c>
      <c r="C978" t="s">
        <v>37</v>
      </c>
      <c r="D978">
        <v>35</v>
      </c>
      <c r="E978" t="s">
        <v>38</v>
      </c>
      <c r="F978" t="s">
        <v>39</v>
      </c>
      <c r="G978" t="s">
        <v>59</v>
      </c>
      <c r="H978" t="s">
        <v>913</v>
      </c>
      <c r="I978">
        <v>2</v>
      </c>
      <c r="J978">
        <v>34565</v>
      </c>
      <c r="K978">
        <v>4.0999999999999996</v>
      </c>
      <c r="L978">
        <v>89.2</v>
      </c>
      <c r="M978">
        <v>24</v>
      </c>
      <c r="N978">
        <v>42</v>
      </c>
      <c r="O978">
        <v>5111</v>
      </c>
      <c r="P978" t="s">
        <v>47</v>
      </c>
      <c r="Q978" t="s">
        <v>27</v>
      </c>
      <c r="R978" t="s">
        <v>58</v>
      </c>
      <c r="S978" t="s">
        <v>34</v>
      </c>
      <c r="T978" t="s">
        <v>30</v>
      </c>
      <c r="U978">
        <f t="shared" si="75"/>
        <v>39676</v>
      </c>
      <c r="V978" t="str">
        <f t="shared" si="76"/>
        <v>Needs Improvement</v>
      </c>
      <c r="W978" t="str">
        <f t="shared" si="77"/>
        <v>High</v>
      </c>
      <c r="X978" t="str">
        <f t="shared" si="78"/>
        <v>Junior</v>
      </c>
      <c r="Y978" t="str">
        <f t="shared" si="79"/>
        <v>35-44</v>
      </c>
    </row>
    <row r="979" spans="1:25" x14ac:dyDescent="0.3">
      <c r="A979">
        <v>1978</v>
      </c>
      <c r="B979" t="s">
        <v>111</v>
      </c>
      <c r="C979" t="s">
        <v>37</v>
      </c>
      <c r="D979">
        <v>38</v>
      </c>
      <c r="E979" t="s">
        <v>22</v>
      </c>
      <c r="F979" t="s">
        <v>66</v>
      </c>
      <c r="G979" t="s">
        <v>24</v>
      </c>
      <c r="H979" t="s">
        <v>914</v>
      </c>
      <c r="I979">
        <v>10</v>
      </c>
      <c r="J979">
        <v>91191</v>
      </c>
      <c r="K979">
        <v>4</v>
      </c>
      <c r="L979">
        <v>93.3</v>
      </c>
      <c r="M979">
        <v>24</v>
      </c>
      <c r="N979">
        <v>50</v>
      </c>
      <c r="O979">
        <v>8080</v>
      </c>
      <c r="P979" t="s">
        <v>53</v>
      </c>
      <c r="Q979" t="s">
        <v>48</v>
      </c>
      <c r="R979" t="s">
        <v>58</v>
      </c>
      <c r="S979" t="s">
        <v>29</v>
      </c>
      <c r="T979" t="s">
        <v>50</v>
      </c>
      <c r="U979">
        <f t="shared" si="75"/>
        <v>99271</v>
      </c>
      <c r="V979" t="str">
        <f t="shared" si="76"/>
        <v>Needs Improvement</v>
      </c>
      <c r="W979" t="str">
        <f t="shared" si="77"/>
        <v>High</v>
      </c>
      <c r="X979" t="str">
        <f t="shared" si="78"/>
        <v>Senior</v>
      </c>
      <c r="Y979" t="str">
        <f t="shared" si="79"/>
        <v>35-44</v>
      </c>
    </row>
    <row r="980" spans="1:25" x14ac:dyDescent="0.3">
      <c r="A980">
        <v>1979</v>
      </c>
      <c r="B980" t="s">
        <v>61</v>
      </c>
      <c r="C980" t="s">
        <v>37</v>
      </c>
      <c r="D980">
        <v>44</v>
      </c>
      <c r="E980" t="s">
        <v>62</v>
      </c>
      <c r="F980" t="s">
        <v>63</v>
      </c>
      <c r="G980" t="s">
        <v>24</v>
      </c>
      <c r="H980" t="s">
        <v>566</v>
      </c>
      <c r="I980">
        <v>6</v>
      </c>
      <c r="J980">
        <v>51048</v>
      </c>
      <c r="K980">
        <v>4.4000000000000004</v>
      </c>
      <c r="L980">
        <v>96</v>
      </c>
      <c r="M980">
        <v>20</v>
      </c>
      <c r="N980">
        <v>14</v>
      </c>
      <c r="O980">
        <v>1275</v>
      </c>
      <c r="P980" t="s">
        <v>53</v>
      </c>
      <c r="Q980" t="s">
        <v>27</v>
      </c>
      <c r="R980" t="s">
        <v>58</v>
      </c>
      <c r="S980" t="s">
        <v>49</v>
      </c>
      <c r="T980" t="s">
        <v>50</v>
      </c>
      <c r="U980">
        <f t="shared" si="75"/>
        <v>52323</v>
      </c>
      <c r="V980" t="str">
        <f t="shared" si="76"/>
        <v>Excellent</v>
      </c>
      <c r="W980" t="str">
        <f t="shared" si="77"/>
        <v>Normal</v>
      </c>
      <c r="X980" t="str">
        <f t="shared" si="78"/>
        <v>Mid</v>
      </c>
      <c r="Y980" t="str">
        <f t="shared" si="79"/>
        <v>35-44</v>
      </c>
    </row>
    <row r="981" spans="1:25" x14ac:dyDescent="0.3">
      <c r="A981">
        <v>1980</v>
      </c>
      <c r="B981" t="s">
        <v>121</v>
      </c>
      <c r="C981" t="s">
        <v>37</v>
      </c>
      <c r="D981">
        <v>34</v>
      </c>
      <c r="E981" t="s">
        <v>55</v>
      </c>
      <c r="F981" t="s">
        <v>56</v>
      </c>
      <c r="G981" t="s">
        <v>24</v>
      </c>
      <c r="H981" t="s">
        <v>915</v>
      </c>
      <c r="I981">
        <v>10</v>
      </c>
      <c r="J981">
        <v>83653</v>
      </c>
      <c r="K981">
        <v>2.7</v>
      </c>
      <c r="L981">
        <v>91.8</v>
      </c>
      <c r="M981">
        <v>0</v>
      </c>
      <c r="N981">
        <v>35</v>
      </c>
      <c r="O981">
        <v>10325</v>
      </c>
      <c r="P981" t="s">
        <v>47</v>
      </c>
      <c r="Q981" t="s">
        <v>48</v>
      </c>
      <c r="R981" t="s">
        <v>42</v>
      </c>
      <c r="S981" t="s">
        <v>29</v>
      </c>
      <c r="T981" t="s">
        <v>50</v>
      </c>
      <c r="U981">
        <f t="shared" si="75"/>
        <v>93978</v>
      </c>
      <c r="V981" t="str">
        <f t="shared" si="76"/>
        <v>Needs Improvement</v>
      </c>
      <c r="W981" t="str">
        <f t="shared" si="77"/>
        <v>Normal</v>
      </c>
      <c r="X981" t="str">
        <f t="shared" si="78"/>
        <v>Senior</v>
      </c>
      <c r="Y981" t="str">
        <f t="shared" si="79"/>
        <v>25-34</v>
      </c>
    </row>
    <row r="982" spans="1:25" x14ac:dyDescent="0.3">
      <c r="A982">
        <v>1981</v>
      </c>
      <c r="B982" t="s">
        <v>73</v>
      </c>
      <c r="C982" t="s">
        <v>21</v>
      </c>
      <c r="D982">
        <v>43</v>
      </c>
      <c r="E982" t="s">
        <v>38</v>
      </c>
      <c r="F982" t="s">
        <v>44</v>
      </c>
      <c r="G982" t="s">
        <v>64</v>
      </c>
      <c r="H982" t="s">
        <v>671</v>
      </c>
      <c r="I982">
        <v>1</v>
      </c>
      <c r="J982">
        <v>70508</v>
      </c>
      <c r="K982">
        <v>3.7</v>
      </c>
      <c r="L982">
        <v>92.9</v>
      </c>
      <c r="M982">
        <v>6</v>
      </c>
      <c r="N982">
        <v>47</v>
      </c>
      <c r="O982">
        <v>12394</v>
      </c>
      <c r="P982" t="s">
        <v>41</v>
      </c>
      <c r="Q982" t="s">
        <v>27</v>
      </c>
      <c r="R982" t="s">
        <v>28</v>
      </c>
      <c r="S982" t="s">
        <v>29</v>
      </c>
      <c r="T982" t="s">
        <v>30</v>
      </c>
      <c r="U982">
        <f t="shared" si="75"/>
        <v>82902</v>
      </c>
      <c r="V982" t="str">
        <f t="shared" si="76"/>
        <v>Needs Improvement</v>
      </c>
      <c r="W982" t="str">
        <f t="shared" si="77"/>
        <v>Normal</v>
      </c>
      <c r="X982" t="str">
        <f t="shared" si="78"/>
        <v>Junior</v>
      </c>
      <c r="Y982" t="str">
        <f t="shared" si="79"/>
        <v>35-44</v>
      </c>
    </row>
    <row r="983" spans="1:25" x14ac:dyDescent="0.3">
      <c r="A983">
        <v>1982</v>
      </c>
      <c r="B983" t="s">
        <v>75</v>
      </c>
      <c r="C983" t="s">
        <v>21</v>
      </c>
      <c r="D983">
        <v>23</v>
      </c>
      <c r="E983" t="s">
        <v>22</v>
      </c>
      <c r="F983" t="s">
        <v>23</v>
      </c>
      <c r="G983" t="s">
        <v>59</v>
      </c>
      <c r="H983" t="s">
        <v>916</v>
      </c>
      <c r="I983">
        <v>2</v>
      </c>
      <c r="J983">
        <v>54393</v>
      </c>
      <c r="K983">
        <v>4.4000000000000004</v>
      </c>
      <c r="L983">
        <v>88.4</v>
      </c>
      <c r="M983">
        <v>20</v>
      </c>
      <c r="N983">
        <v>47</v>
      </c>
      <c r="O983">
        <v>11914</v>
      </c>
      <c r="P983" t="s">
        <v>26</v>
      </c>
      <c r="Q983" t="s">
        <v>27</v>
      </c>
      <c r="R983" t="s">
        <v>58</v>
      </c>
      <c r="S983" t="s">
        <v>49</v>
      </c>
      <c r="T983" t="s">
        <v>30</v>
      </c>
      <c r="U983">
        <f t="shared" si="75"/>
        <v>66307</v>
      </c>
      <c r="V983" t="str">
        <f t="shared" si="76"/>
        <v>Needs Improvement</v>
      </c>
      <c r="W983" t="str">
        <f t="shared" si="77"/>
        <v>Normal</v>
      </c>
      <c r="X983" t="str">
        <f t="shared" si="78"/>
        <v>Junior</v>
      </c>
      <c r="Y983" t="str">
        <f t="shared" si="79"/>
        <v>20-24</v>
      </c>
    </row>
    <row r="984" spans="1:25" x14ac:dyDescent="0.3">
      <c r="A984">
        <v>1983</v>
      </c>
      <c r="B984" t="s">
        <v>73</v>
      </c>
      <c r="C984" t="s">
        <v>37</v>
      </c>
      <c r="D984">
        <v>29</v>
      </c>
      <c r="E984" t="s">
        <v>62</v>
      </c>
      <c r="F984" t="s">
        <v>97</v>
      </c>
      <c r="G984" t="s">
        <v>45</v>
      </c>
      <c r="H984" t="s">
        <v>917</v>
      </c>
      <c r="I984">
        <v>3</v>
      </c>
      <c r="J984">
        <v>90723</v>
      </c>
      <c r="K984">
        <v>3.3</v>
      </c>
      <c r="L984">
        <v>97.4</v>
      </c>
      <c r="M984">
        <v>3</v>
      </c>
      <c r="N984">
        <v>29</v>
      </c>
      <c r="O984">
        <v>6747</v>
      </c>
      <c r="P984" t="s">
        <v>53</v>
      </c>
      <c r="Q984" t="s">
        <v>27</v>
      </c>
      <c r="R984" t="s">
        <v>28</v>
      </c>
      <c r="S984" t="s">
        <v>29</v>
      </c>
      <c r="T984" t="s">
        <v>35</v>
      </c>
      <c r="U984">
        <f t="shared" si="75"/>
        <v>97470</v>
      </c>
      <c r="V984" t="str">
        <f t="shared" si="76"/>
        <v>Excellent</v>
      </c>
      <c r="W984" t="str">
        <f t="shared" si="77"/>
        <v>Normal</v>
      </c>
      <c r="X984" t="str">
        <f t="shared" si="78"/>
        <v>Mid</v>
      </c>
      <c r="Y984" t="str">
        <f t="shared" si="79"/>
        <v>25-34</v>
      </c>
    </row>
    <row r="985" spans="1:25" x14ac:dyDescent="0.3">
      <c r="A985">
        <v>1984</v>
      </c>
      <c r="B985" t="s">
        <v>61</v>
      </c>
      <c r="C985" t="s">
        <v>37</v>
      </c>
      <c r="D985">
        <v>36</v>
      </c>
      <c r="E985" t="s">
        <v>22</v>
      </c>
      <c r="F985" t="s">
        <v>66</v>
      </c>
      <c r="G985" t="s">
        <v>64</v>
      </c>
      <c r="H985" t="s">
        <v>918</v>
      </c>
      <c r="I985">
        <v>0</v>
      </c>
      <c r="J985">
        <v>61918</v>
      </c>
      <c r="K985">
        <v>3.8</v>
      </c>
      <c r="L985">
        <v>89.3</v>
      </c>
      <c r="M985">
        <v>2</v>
      </c>
      <c r="N985">
        <v>42</v>
      </c>
      <c r="O985">
        <v>10222</v>
      </c>
      <c r="P985" t="s">
        <v>41</v>
      </c>
      <c r="Q985" t="s">
        <v>48</v>
      </c>
      <c r="R985" t="s">
        <v>28</v>
      </c>
      <c r="S985" t="s">
        <v>49</v>
      </c>
      <c r="T985" t="s">
        <v>30</v>
      </c>
      <c r="U985">
        <f t="shared" si="75"/>
        <v>72140</v>
      </c>
      <c r="V985" t="str">
        <f t="shared" si="76"/>
        <v>Needs Improvement</v>
      </c>
      <c r="W985" t="str">
        <f t="shared" si="77"/>
        <v>Normal</v>
      </c>
      <c r="X985" t="str">
        <f t="shared" si="78"/>
        <v>Junior</v>
      </c>
      <c r="Y985" t="str">
        <f t="shared" si="79"/>
        <v>35-44</v>
      </c>
    </row>
    <row r="986" spans="1:25" x14ac:dyDescent="0.3">
      <c r="A986">
        <v>1985</v>
      </c>
      <c r="B986" t="s">
        <v>85</v>
      </c>
      <c r="C986" t="s">
        <v>21</v>
      </c>
      <c r="D986">
        <v>39</v>
      </c>
      <c r="E986" t="s">
        <v>22</v>
      </c>
      <c r="F986" t="s">
        <v>66</v>
      </c>
      <c r="G986" t="s">
        <v>24</v>
      </c>
      <c r="H986" t="s">
        <v>919</v>
      </c>
      <c r="I986">
        <v>8</v>
      </c>
      <c r="J986">
        <v>25641</v>
      </c>
      <c r="K986">
        <v>3.4</v>
      </c>
      <c r="L986">
        <v>89.4</v>
      </c>
      <c r="M986">
        <v>0</v>
      </c>
      <c r="N986">
        <v>17</v>
      </c>
      <c r="O986">
        <v>9393</v>
      </c>
      <c r="P986" t="s">
        <v>53</v>
      </c>
      <c r="Q986" t="s">
        <v>48</v>
      </c>
      <c r="R986" t="s">
        <v>28</v>
      </c>
      <c r="S986" t="s">
        <v>34</v>
      </c>
      <c r="T986" t="s">
        <v>50</v>
      </c>
      <c r="U986">
        <f t="shared" si="75"/>
        <v>35034</v>
      </c>
      <c r="V986" t="str">
        <f t="shared" si="76"/>
        <v>Needs Improvement</v>
      </c>
      <c r="W986" t="str">
        <f t="shared" si="77"/>
        <v>Normal</v>
      </c>
      <c r="X986" t="str">
        <f t="shared" si="78"/>
        <v>Senior</v>
      </c>
      <c r="Y986" t="str">
        <f t="shared" si="79"/>
        <v>35-44</v>
      </c>
    </row>
    <row r="987" spans="1:25" x14ac:dyDescent="0.3">
      <c r="A987">
        <v>1986</v>
      </c>
      <c r="B987" t="s">
        <v>124</v>
      </c>
      <c r="C987" t="s">
        <v>37</v>
      </c>
      <c r="D987">
        <v>24</v>
      </c>
      <c r="E987" t="s">
        <v>62</v>
      </c>
      <c r="F987" t="s">
        <v>63</v>
      </c>
      <c r="G987" t="s">
        <v>59</v>
      </c>
      <c r="H987" t="s">
        <v>920</v>
      </c>
      <c r="I987">
        <v>0</v>
      </c>
      <c r="J987">
        <v>80640</v>
      </c>
      <c r="K987">
        <v>2.8</v>
      </c>
      <c r="L987">
        <v>94.9</v>
      </c>
      <c r="M987">
        <v>6</v>
      </c>
      <c r="N987">
        <v>43</v>
      </c>
      <c r="O987">
        <v>7765</v>
      </c>
      <c r="P987" t="s">
        <v>47</v>
      </c>
      <c r="Q987" t="s">
        <v>48</v>
      </c>
      <c r="R987" t="s">
        <v>42</v>
      </c>
      <c r="S987" t="s">
        <v>29</v>
      </c>
      <c r="T987" t="s">
        <v>30</v>
      </c>
      <c r="U987">
        <f t="shared" si="75"/>
        <v>88405</v>
      </c>
      <c r="V987" t="str">
        <f t="shared" si="76"/>
        <v>Needs Improvement</v>
      </c>
      <c r="W987" t="str">
        <f t="shared" si="77"/>
        <v>Normal</v>
      </c>
      <c r="X987" t="str">
        <f t="shared" si="78"/>
        <v>Junior</v>
      </c>
      <c r="Y987" t="str">
        <f t="shared" si="79"/>
        <v>20-24</v>
      </c>
    </row>
    <row r="988" spans="1:25" x14ac:dyDescent="0.3">
      <c r="A988">
        <v>1987</v>
      </c>
      <c r="B988" t="s">
        <v>36</v>
      </c>
      <c r="C988" t="s">
        <v>21</v>
      </c>
      <c r="D988">
        <v>39</v>
      </c>
      <c r="E988" t="s">
        <v>22</v>
      </c>
      <c r="F988" t="s">
        <v>66</v>
      </c>
      <c r="G988" t="s">
        <v>59</v>
      </c>
      <c r="H988" t="s">
        <v>207</v>
      </c>
      <c r="I988">
        <v>7</v>
      </c>
      <c r="J988">
        <v>46873</v>
      </c>
      <c r="K988">
        <v>4.4000000000000004</v>
      </c>
      <c r="L988">
        <v>85.5</v>
      </c>
      <c r="M988">
        <v>7</v>
      </c>
      <c r="N988">
        <v>25</v>
      </c>
      <c r="O988">
        <v>4683</v>
      </c>
      <c r="P988" t="s">
        <v>26</v>
      </c>
      <c r="Q988" t="s">
        <v>27</v>
      </c>
      <c r="R988" t="s">
        <v>58</v>
      </c>
      <c r="S988" t="s">
        <v>34</v>
      </c>
      <c r="T988" t="s">
        <v>50</v>
      </c>
      <c r="U988">
        <f t="shared" si="75"/>
        <v>51556</v>
      </c>
      <c r="V988" t="str">
        <f t="shared" si="76"/>
        <v>Needs Improvement</v>
      </c>
      <c r="W988" t="str">
        <f t="shared" si="77"/>
        <v>Normal</v>
      </c>
      <c r="X988" t="str">
        <f t="shared" si="78"/>
        <v>Senior</v>
      </c>
      <c r="Y988" t="str">
        <f t="shared" si="79"/>
        <v>35-44</v>
      </c>
    </row>
    <row r="989" spans="1:25" x14ac:dyDescent="0.3">
      <c r="A989">
        <v>1988</v>
      </c>
      <c r="B989" t="s">
        <v>73</v>
      </c>
      <c r="C989" t="s">
        <v>21</v>
      </c>
      <c r="D989">
        <v>38</v>
      </c>
      <c r="E989" t="s">
        <v>38</v>
      </c>
      <c r="F989" t="s">
        <v>44</v>
      </c>
      <c r="G989" t="s">
        <v>59</v>
      </c>
      <c r="H989" t="s">
        <v>921</v>
      </c>
      <c r="I989">
        <v>1</v>
      </c>
      <c r="J989">
        <v>33778</v>
      </c>
      <c r="K989">
        <v>3.1</v>
      </c>
      <c r="L989">
        <v>84.6</v>
      </c>
      <c r="M989">
        <v>8</v>
      </c>
      <c r="N989">
        <v>23</v>
      </c>
      <c r="O989">
        <v>10531</v>
      </c>
      <c r="P989" t="s">
        <v>41</v>
      </c>
      <c r="Q989" t="s">
        <v>48</v>
      </c>
      <c r="R989" t="s">
        <v>28</v>
      </c>
      <c r="S989" t="s">
        <v>34</v>
      </c>
      <c r="T989" t="s">
        <v>30</v>
      </c>
      <c r="U989">
        <f t="shared" si="75"/>
        <v>44309</v>
      </c>
      <c r="V989" t="str">
        <f t="shared" si="76"/>
        <v>Needs Improvement</v>
      </c>
      <c r="W989" t="str">
        <f t="shared" si="77"/>
        <v>Normal</v>
      </c>
      <c r="X989" t="str">
        <f t="shared" si="78"/>
        <v>Junior</v>
      </c>
      <c r="Y989" t="str">
        <f t="shared" si="79"/>
        <v>35-44</v>
      </c>
    </row>
    <row r="990" spans="1:25" x14ac:dyDescent="0.3">
      <c r="A990">
        <v>1989</v>
      </c>
      <c r="B990" t="s">
        <v>124</v>
      </c>
      <c r="C990" t="s">
        <v>21</v>
      </c>
      <c r="D990">
        <v>29</v>
      </c>
      <c r="E990" t="s">
        <v>62</v>
      </c>
      <c r="F990" t="s">
        <v>97</v>
      </c>
      <c r="G990" t="s">
        <v>51</v>
      </c>
      <c r="H990" t="s">
        <v>922</v>
      </c>
      <c r="I990">
        <v>4</v>
      </c>
      <c r="J990">
        <v>52235</v>
      </c>
      <c r="K990">
        <v>2.6</v>
      </c>
      <c r="L990">
        <v>92.4</v>
      </c>
      <c r="M990">
        <v>15</v>
      </c>
      <c r="N990">
        <v>23</v>
      </c>
      <c r="O990">
        <v>3361</v>
      </c>
      <c r="P990" t="s">
        <v>41</v>
      </c>
      <c r="Q990" t="s">
        <v>48</v>
      </c>
      <c r="R990" t="s">
        <v>42</v>
      </c>
      <c r="S990" t="s">
        <v>49</v>
      </c>
      <c r="T990" t="s">
        <v>35</v>
      </c>
      <c r="U990">
        <f t="shared" si="75"/>
        <v>55596</v>
      </c>
      <c r="V990" t="str">
        <f t="shared" si="76"/>
        <v>Needs Improvement</v>
      </c>
      <c r="W990" t="str">
        <f t="shared" si="77"/>
        <v>Normal</v>
      </c>
      <c r="X990" t="str">
        <f t="shared" si="78"/>
        <v>Mid</v>
      </c>
      <c r="Y990" t="str">
        <f t="shared" si="79"/>
        <v>25-34</v>
      </c>
    </row>
    <row r="991" spans="1:25" x14ac:dyDescent="0.3">
      <c r="A991">
        <v>1990</v>
      </c>
      <c r="B991" t="s">
        <v>73</v>
      </c>
      <c r="C991" t="s">
        <v>21</v>
      </c>
      <c r="D991">
        <v>32</v>
      </c>
      <c r="E991" t="s">
        <v>91</v>
      </c>
      <c r="F991" t="s">
        <v>101</v>
      </c>
      <c r="G991" t="s">
        <v>45</v>
      </c>
      <c r="H991" t="s">
        <v>923</v>
      </c>
      <c r="I991">
        <v>2</v>
      </c>
      <c r="J991">
        <v>87051</v>
      </c>
      <c r="K991">
        <v>2.6</v>
      </c>
      <c r="L991">
        <v>91.2</v>
      </c>
      <c r="M991">
        <v>15</v>
      </c>
      <c r="N991">
        <v>48</v>
      </c>
      <c r="O991">
        <v>14838</v>
      </c>
      <c r="P991" t="s">
        <v>47</v>
      </c>
      <c r="Q991" t="s">
        <v>27</v>
      </c>
      <c r="R991" t="s">
        <v>42</v>
      </c>
      <c r="S991" t="s">
        <v>29</v>
      </c>
      <c r="T991" t="s">
        <v>30</v>
      </c>
      <c r="U991">
        <f t="shared" si="75"/>
        <v>101889</v>
      </c>
      <c r="V991" t="str">
        <f t="shared" si="76"/>
        <v>Needs Improvement</v>
      </c>
      <c r="W991" t="str">
        <f t="shared" si="77"/>
        <v>Normal</v>
      </c>
      <c r="X991" t="str">
        <f t="shared" si="78"/>
        <v>Junior</v>
      </c>
      <c r="Y991" t="str">
        <f t="shared" si="79"/>
        <v>25-34</v>
      </c>
    </row>
    <row r="992" spans="1:25" x14ac:dyDescent="0.3">
      <c r="A992">
        <v>1991</v>
      </c>
      <c r="B992" t="s">
        <v>121</v>
      </c>
      <c r="C992" t="s">
        <v>37</v>
      </c>
      <c r="D992">
        <v>36</v>
      </c>
      <c r="E992" t="s">
        <v>62</v>
      </c>
      <c r="F992" t="s">
        <v>97</v>
      </c>
      <c r="G992" t="s">
        <v>64</v>
      </c>
      <c r="H992" t="s">
        <v>924</v>
      </c>
      <c r="I992">
        <v>9</v>
      </c>
      <c r="J992">
        <v>47894</v>
      </c>
      <c r="K992">
        <v>3.2</v>
      </c>
      <c r="L992">
        <v>84.8</v>
      </c>
      <c r="M992">
        <v>5</v>
      </c>
      <c r="N992">
        <v>16</v>
      </c>
      <c r="O992">
        <v>1958</v>
      </c>
      <c r="P992" t="s">
        <v>41</v>
      </c>
      <c r="Q992" t="s">
        <v>48</v>
      </c>
      <c r="R992" t="s">
        <v>28</v>
      </c>
      <c r="S992" t="s">
        <v>34</v>
      </c>
      <c r="T992" t="s">
        <v>50</v>
      </c>
      <c r="U992">
        <f t="shared" si="75"/>
        <v>49852</v>
      </c>
      <c r="V992" t="str">
        <f t="shared" si="76"/>
        <v>Needs Improvement</v>
      </c>
      <c r="W992" t="str">
        <f t="shared" si="77"/>
        <v>Normal</v>
      </c>
      <c r="X992" t="str">
        <f t="shared" si="78"/>
        <v>Senior</v>
      </c>
      <c r="Y992" t="str">
        <f t="shared" si="79"/>
        <v>35-44</v>
      </c>
    </row>
    <row r="993" spans="1:25" x14ac:dyDescent="0.3">
      <c r="A993">
        <v>1992</v>
      </c>
      <c r="B993" t="s">
        <v>83</v>
      </c>
      <c r="C993" t="s">
        <v>21</v>
      </c>
      <c r="D993">
        <v>43</v>
      </c>
      <c r="E993" t="s">
        <v>38</v>
      </c>
      <c r="F993" t="s">
        <v>44</v>
      </c>
      <c r="G993" t="s">
        <v>64</v>
      </c>
      <c r="H993" t="s">
        <v>925</v>
      </c>
      <c r="I993">
        <v>4</v>
      </c>
      <c r="J993">
        <v>42665</v>
      </c>
      <c r="K993">
        <v>3.3</v>
      </c>
      <c r="L993">
        <v>92.3</v>
      </c>
      <c r="M993">
        <v>0</v>
      </c>
      <c r="N993">
        <v>13</v>
      </c>
      <c r="O993">
        <v>4629</v>
      </c>
      <c r="P993" t="s">
        <v>47</v>
      </c>
      <c r="Q993" t="s">
        <v>27</v>
      </c>
      <c r="R993" t="s">
        <v>28</v>
      </c>
      <c r="S993" t="s">
        <v>34</v>
      </c>
      <c r="T993" t="s">
        <v>35</v>
      </c>
      <c r="U993">
        <f t="shared" si="75"/>
        <v>47294</v>
      </c>
      <c r="V993" t="str">
        <f t="shared" si="76"/>
        <v>Needs Improvement</v>
      </c>
      <c r="W993" t="str">
        <f t="shared" si="77"/>
        <v>Normal</v>
      </c>
      <c r="X993" t="str">
        <f t="shared" si="78"/>
        <v>Mid</v>
      </c>
      <c r="Y993" t="str">
        <f t="shared" si="79"/>
        <v>35-44</v>
      </c>
    </row>
    <row r="994" spans="1:25" x14ac:dyDescent="0.3">
      <c r="A994">
        <v>1993</v>
      </c>
      <c r="B994" t="s">
        <v>83</v>
      </c>
      <c r="C994" t="s">
        <v>21</v>
      </c>
      <c r="D994">
        <v>24</v>
      </c>
      <c r="E994" t="s">
        <v>22</v>
      </c>
      <c r="F994" t="s">
        <v>66</v>
      </c>
      <c r="G994" t="s">
        <v>59</v>
      </c>
      <c r="H994" t="s">
        <v>926</v>
      </c>
      <c r="I994">
        <v>4</v>
      </c>
      <c r="J994">
        <v>36419</v>
      </c>
      <c r="K994">
        <v>3.3</v>
      </c>
      <c r="L994">
        <v>97.8</v>
      </c>
      <c r="M994">
        <v>14</v>
      </c>
      <c r="N994">
        <v>46</v>
      </c>
      <c r="O994">
        <v>11331</v>
      </c>
      <c r="P994" t="s">
        <v>33</v>
      </c>
      <c r="Q994" t="s">
        <v>27</v>
      </c>
      <c r="R994" t="s">
        <v>28</v>
      </c>
      <c r="S994" t="s">
        <v>34</v>
      </c>
      <c r="T994" t="s">
        <v>35</v>
      </c>
      <c r="U994">
        <f t="shared" si="75"/>
        <v>47750</v>
      </c>
      <c r="V994" t="str">
        <f t="shared" si="76"/>
        <v>Excellent</v>
      </c>
      <c r="W994" t="str">
        <f t="shared" si="77"/>
        <v>Normal</v>
      </c>
      <c r="X994" t="str">
        <f t="shared" si="78"/>
        <v>Mid</v>
      </c>
      <c r="Y994" t="str">
        <f t="shared" si="79"/>
        <v>20-24</v>
      </c>
    </row>
    <row r="995" spans="1:25" x14ac:dyDescent="0.3">
      <c r="A995">
        <v>1994</v>
      </c>
      <c r="B995" t="s">
        <v>83</v>
      </c>
      <c r="C995" t="s">
        <v>37</v>
      </c>
      <c r="D995">
        <v>28</v>
      </c>
      <c r="E995" t="s">
        <v>38</v>
      </c>
      <c r="F995" t="s">
        <v>44</v>
      </c>
      <c r="G995" t="s">
        <v>51</v>
      </c>
      <c r="H995" t="s">
        <v>260</v>
      </c>
      <c r="I995">
        <v>9</v>
      </c>
      <c r="J995">
        <v>31929</v>
      </c>
      <c r="K995">
        <v>3.8</v>
      </c>
      <c r="L995">
        <v>93.6</v>
      </c>
      <c r="M995">
        <v>24</v>
      </c>
      <c r="N995">
        <v>39</v>
      </c>
      <c r="O995">
        <v>7310</v>
      </c>
      <c r="P995" t="s">
        <v>47</v>
      </c>
      <c r="Q995" t="s">
        <v>48</v>
      </c>
      <c r="R995" t="s">
        <v>28</v>
      </c>
      <c r="S995" t="s">
        <v>34</v>
      </c>
      <c r="T995" t="s">
        <v>50</v>
      </c>
      <c r="U995">
        <f t="shared" si="75"/>
        <v>39239</v>
      </c>
      <c r="V995" t="str">
        <f t="shared" si="76"/>
        <v>Needs Improvement</v>
      </c>
      <c r="W995" t="str">
        <f t="shared" si="77"/>
        <v>High</v>
      </c>
      <c r="X995" t="str">
        <f t="shared" si="78"/>
        <v>Senior</v>
      </c>
      <c r="Y995" t="str">
        <f t="shared" si="79"/>
        <v>25-34</v>
      </c>
    </row>
    <row r="996" spans="1:25" x14ac:dyDescent="0.3">
      <c r="A996">
        <v>1995</v>
      </c>
      <c r="B996" t="s">
        <v>178</v>
      </c>
      <c r="C996" t="s">
        <v>37</v>
      </c>
      <c r="D996">
        <v>40</v>
      </c>
      <c r="E996" t="s">
        <v>55</v>
      </c>
      <c r="F996" t="s">
        <v>143</v>
      </c>
      <c r="G996" t="s">
        <v>59</v>
      </c>
      <c r="H996" t="s">
        <v>927</v>
      </c>
      <c r="I996">
        <v>5</v>
      </c>
      <c r="J996">
        <v>46136</v>
      </c>
      <c r="K996">
        <v>2.8</v>
      </c>
      <c r="L996">
        <v>93.5</v>
      </c>
      <c r="M996">
        <v>4</v>
      </c>
      <c r="N996">
        <v>19</v>
      </c>
      <c r="O996">
        <v>1996</v>
      </c>
      <c r="P996" t="s">
        <v>47</v>
      </c>
      <c r="Q996" t="s">
        <v>48</v>
      </c>
      <c r="R996" t="s">
        <v>42</v>
      </c>
      <c r="S996" t="s">
        <v>34</v>
      </c>
      <c r="T996" t="s">
        <v>35</v>
      </c>
      <c r="U996">
        <f t="shared" si="75"/>
        <v>48132</v>
      </c>
      <c r="V996" t="str">
        <f t="shared" si="76"/>
        <v>Needs Improvement</v>
      </c>
      <c r="W996" t="str">
        <f t="shared" si="77"/>
        <v>Normal</v>
      </c>
      <c r="X996" t="str">
        <f t="shared" si="78"/>
        <v>Mid</v>
      </c>
      <c r="Y996" t="str">
        <f t="shared" si="79"/>
        <v>35-44</v>
      </c>
    </row>
    <row r="997" spans="1:25" x14ac:dyDescent="0.3">
      <c r="A997">
        <v>1996</v>
      </c>
      <c r="B997" t="s">
        <v>111</v>
      </c>
      <c r="C997" t="s">
        <v>21</v>
      </c>
      <c r="D997">
        <v>31</v>
      </c>
      <c r="E997" t="s">
        <v>55</v>
      </c>
      <c r="F997" t="s">
        <v>143</v>
      </c>
      <c r="G997" t="s">
        <v>51</v>
      </c>
      <c r="H997" t="s">
        <v>928</v>
      </c>
      <c r="I997">
        <v>7</v>
      </c>
      <c r="J997">
        <v>62459</v>
      </c>
      <c r="K997">
        <v>3.5</v>
      </c>
      <c r="L997">
        <v>83.7</v>
      </c>
      <c r="M997">
        <v>1</v>
      </c>
      <c r="N997">
        <v>28</v>
      </c>
      <c r="O997">
        <v>13496</v>
      </c>
      <c r="P997" t="s">
        <v>26</v>
      </c>
      <c r="Q997" t="s">
        <v>48</v>
      </c>
      <c r="R997" t="s">
        <v>28</v>
      </c>
      <c r="S997" t="s">
        <v>49</v>
      </c>
      <c r="T997" t="s">
        <v>50</v>
      </c>
      <c r="U997">
        <f t="shared" si="75"/>
        <v>75955</v>
      </c>
      <c r="V997" t="str">
        <f t="shared" si="76"/>
        <v>Needs Improvement</v>
      </c>
      <c r="W997" t="str">
        <f t="shared" si="77"/>
        <v>Normal</v>
      </c>
      <c r="X997" t="str">
        <f t="shared" si="78"/>
        <v>Senior</v>
      </c>
      <c r="Y997" t="str">
        <f t="shared" si="79"/>
        <v>25-34</v>
      </c>
    </row>
    <row r="998" spans="1:25" x14ac:dyDescent="0.3">
      <c r="A998">
        <v>1997</v>
      </c>
      <c r="B998" t="s">
        <v>85</v>
      </c>
      <c r="C998" t="s">
        <v>37</v>
      </c>
      <c r="D998">
        <v>33</v>
      </c>
      <c r="E998" t="s">
        <v>22</v>
      </c>
      <c r="F998" t="s">
        <v>66</v>
      </c>
      <c r="G998" t="s">
        <v>45</v>
      </c>
      <c r="H998" t="s">
        <v>678</v>
      </c>
      <c r="I998">
        <v>6</v>
      </c>
      <c r="J998">
        <v>53773</v>
      </c>
      <c r="K998">
        <v>3.7</v>
      </c>
      <c r="L998">
        <v>98.1</v>
      </c>
      <c r="M998">
        <v>13</v>
      </c>
      <c r="N998">
        <v>27</v>
      </c>
      <c r="O998">
        <v>4653</v>
      </c>
      <c r="P998" t="s">
        <v>53</v>
      </c>
      <c r="Q998" t="s">
        <v>27</v>
      </c>
      <c r="R998" t="s">
        <v>28</v>
      </c>
      <c r="S998" t="s">
        <v>49</v>
      </c>
      <c r="T998" t="s">
        <v>50</v>
      </c>
      <c r="U998">
        <f t="shared" si="75"/>
        <v>58426</v>
      </c>
      <c r="V998" t="str">
        <f t="shared" si="76"/>
        <v>Excellent</v>
      </c>
      <c r="W998" t="str">
        <f t="shared" si="77"/>
        <v>Normal</v>
      </c>
      <c r="X998" t="str">
        <f t="shared" si="78"/>
        <v>Mid</v>
      </c>
      <c r="Y998" t="str">
        <f t="shared" si="79"/>
        <v>25-34</v>
      </c>
    </row>
    <row r="999" spans="1:25" x14ac:dyDescent="0.3">
      <c r="A999">
        <v>1998</v>
      </c>
      <c r="B999" t="s">
        <v>88</v>
      </c>
      <c r="C999" t="s">
        <v>21</v>
      </c>
      <c r="D999">
        <v>23</v>
      </c>
      <c r="E999" t="s">
        <v>91</v>
      </c>
      <c r="F999" t="s">
        <v>92</v>
      </c>
      <c r="G999" t="s">
        <v>51</v>
      </c>
      <c r="H999" t="s">
        <v>419</v>
      </c>
      <c r="I999">
        <v>8</v>
      </c>
      <c r="J999">
        <v>76041</v>
      </c>
      <c r="K999">
        <v>3.8</v>
      </c>
      <c r="L999">
        <v>89.3</v>
      </c>
      <c r="M999">
        <v>20</v>
      </c>
      <c r="N999">
        <v>54</v>
      </c>
      <c r="O999">
        <v>7317</v>
      </c>
      <c r="P999" t="s">
        <v>53</v>
      </c>
      <c r="Q999" t="s">
        <v>27</v>
      </c>
      <c r="R999" t="s">
        <v>28</v>
      </c>
      <c r="S999" t="s">
        <v>29</v>
      </c>
      <c r="T999" t="s">
        <v>50</v>
      </c>
      <c r="U999">
        <f t="shared" si="75"/>
        <v>83358</v>
      </c>
      <c r="V999" t="str">
        <f t="shared" si="76"/>
        <v>Needs Improvement</v>
      </c>
      <c r="W999" t="str">
        <f t="shared" si="77"/>
        <v>Normal</v>
      </c>
      <c r="X999" t="str">
        <f t="shared" si="78"/>
        <v>Senior</v>
      </c>
      <c r="Y999" t="str">
        <f t="shared" si="79"/>
        <v>20-24</v>
      </c>
    </row>
    <row r="1000" spans="1:25" x14ac:dyDescent="0.3">
      <c r="A1000">
        <v>1999</v>
      </c>
      <c r="B1000" t="s">
        <v>148</v>
      </c>
      <c r="C1000" t="s">
        <v>37</v>
      </c>
      <c r="D1000">
        <v>30</v>
      </c>
      <c r="E1000" t="s">
        <v>62</v>
      </c>
      <c r="F1000" t="s">
        <v>97</v>
      </c>
      <c r="G1000" t="s">
        <v>59</v>
      </c>
      <c r="H1000" t="s">
        <v>929</v>
      </c>
      <c r="I1000">
        <v>3</v>
      </c>
      <c r="J1000">
        <v>57025</v>
      </c>
      <c r="K1000">
        <v>4</v>
      </c>
      <c r="L1000">
        <v>82.7</v>
      </c>
      <c r="M1000">
        <v>19</v>
      </c>
      <c r="N1000">
        <v>36</v>
      </c>
      <c r="O1000">
        <v>5814</v>
      </c>
      <c r="P1000" t="s">
        <v>41</v>
      </c>
      <c r="Q1000" t="s">
        <v>48</v>
      </c>
      <c r="R1000" t="s">
        <v>58</v>
      </c>
      <c r="S1000" t="s">
        <v>49</v>
      </c>
      <c r="T1000" t="s">
        <v>35</v>
      </c>
      <c r="U1000">
        <f t="shared" si="75"/>
        <v>62839</v>
      </c>
      <c r="V1000" t="str">
        <f t="shared" si="76"/>
        <v>Needs Improvement</v>
      </c>
      <c r="W1000" t="str">
        <f t="shared" si="77"/>
        <v>Normal</v>
      </c>
      <c r="X1000" t="str">
        <f t="shared" si="78"/>
        <v>Mid</v>
      </c>
      <c r="Y1000" t="str">
        <f t="shared" si="79"/>
        <v>25-34</v>
      </c>
    </row>
    <row r="1001" spans="1:25" x14ac:dyDescent="0.3">
      <c r="A1001">
        <v>2000</v>
      </c>
      <c r="B1001" t="s">
        <v>20</v>
      </c>
      <c r="C1001" t="s">
        <v>21</v>
      </c>
      <c r="D1001">
        <v>43</v>
      </c>
      <c r="E1001" t="s">
        <v>38</v>
      </c>
      <c r="F1001" t="s">
        <v>44</v>
      </c>
      <c r="G1001" t="s">
        <v>24</v>
      </c>
      <c r="H1001" t="s">
        <v>930</v>
      </c>
      <c r="I1001">
        <v>2</v>
      </c>
      <c r="J1001">
        <v>84959</v>
      </c>
      <c r="K1001">
        <v>4.5</v>
      </c>
      <c r="L1001">
        <v>85.1</v>
      </c>
      <c r="M1001">
        <v>22</v>
      </c>
      <c r="N1001">
        <v>43</v>
      </c>
      <c r="O1001">
        <v>3413</v>
      </c>
      <c r="P1001" t="s">
        <v>47</v>
      </c>
      <c r="Q1001" t="s">
        <v>48</v>
      </c>
      <c r="R1001" t="s">
        <v>70</v>
      </c>
      <c r="S1001" t="s">
        <v>29</v>
      </c>
      <c r="T1001" t="s">
        <v>30</v>
      </c>
      <c r="U1001">
        <f t="shared" si="75"/>
        <v>88372</v>
      </c>
      <c r="V1001" t="str">
        <f t="shared" si="76"/>
        <v>Needs Improvement</v>
      </c>
      <c r="W1001" t="str">
        <f t="shared" si="77"/>
        <v>High</v>
      </c>
      <c r="X1001" t="str">
        <f t="shared" si="78"/>
        <v>Junior</v>
      </c>
      <c r="Y1001" t="str">
        <f t="shared" si="79"/>
        <v>35-44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A0092-5BE7-420A-96CB-BC8C101D6EBE}">
  <sheetPr>
    <pageSetUpPr autoPageBreaks="0"/>
  </sheetPr>
  <dimension ref="A1:Z7"/>
  <sheetViews>
    <sheetView showGridLines="0" tabSelected="1" zoomScale="59" zoomScaleNormal="56" workbookViewId="0">
      <selection activeCell="A7" sqref="A7:W7"/>
    </sheetView>
  </sheetViews>
  <sheetFormatPr defaultRowHeight="14.4" x14ac:dyDescent="0.3"/>
  <cols>
    <col min="1" max="2" width="8.88671875" style="9"/>
    <col min="3" max="3" width="5" style="9" customWidth="1"/>
    <col min="4" max="4" width="8.88671875" style="9"/>
    <col min="5" max="5" width="10.33203125" style="9" customWidth="1"/>
    <col min="6" max="6" width="7.21875" style="9" customWidth="1"/>
    <col min="7" max="7" width="8.88671875" style="9"/>
    <col min="8" max="8" width="10.77734375" style="9" customWidth="1"/>
    <col min="9" max="9" width="6.5546875" style="9" customWidth="1"/>
    <col min="10" max="10" width="8.88671875" style="9"/>
    <col min="11" max="11" width="11.5546875" style="9" customWidth="1"/>
    <col min="12" max="12" width="6.88671875" style="9" customWidth="1"/>
    <col min="13" max="13" width="8.88671875" style="9"/>
    <col min="14" max="14" width="10.88671875" style="9" customWidth="1"/>
    <col min="15" max="15" width="7" style="9" customWidth="1"/>
    <col min="16" max="16" width="8.88671875" style="9"/>
    <col min="17" max="17" width="10.77734375" style="9" customWidth="1"/>
    <col min="18" max="18" width="6.77734375" style="9" customWidth="1"/>
    <col min="19" max="19" width="8.88671875" style="9"/>
    <col min="20" max="20" width="11" style="9" customWidth="1"/>
    <col min="21" max="21" width="7.21875" style="9" customWidth="1"/>
    <col min="22" max="22" width="8.88671875" style="9"/>
    <col min="23" max="23" width="10.109375" style="9" customWidth="1"/>
    <col min="24" max="16384" width="8.88671875" style="9"/>
  </cols>
  <sheetData>
    <row r="1" spans="1:26" ht="14.4" customHeight="1" x14ac:dyDescent="0.3">
      <c r="A1" s="12" t="s">
        <v>951</v>
      </c>
      <c r="B1" s="11"/>
      <c r="C1" s="11"/>
      <c r="D1" s="11"/>
      <c r="E1" s="11"/>
      <c r="F1" s="11"/>
      <c r="G1" s="11"/>
      <c r="H1" s="11"/>
      <c r="I1" s="11"/>
      <c r="J1" s="11"/>
      <c r="K1" s="11"/>
      <c r="L1" s="11"/>
      <c r="M1" s="11"/>
      <c r="N1" s="11"/>
      <c r="O1" s="11"/>
      <c r="P1" s="11"/>
      <c r="Q1" s="11"/>
      <c r="R1" s="11"/>
      <c r="S1" s="11"/>
      <c r="T1" s="11"/>
      <c r="U1" s="11"/>
      <c r="V1" s="11"/>
      <c r="W1" s="11"/>
      <c r="X1" s="11"/>
      <c r="Y1" s="11"/>
      <c r="Z1" s="11"/>
    </row>
    <row r="2" spans="1:26" ht="14.4" customHeight="1" x14ac:dyDescent="0.3">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s="8" customFormat="1" ht="28.2" customHeight="1" x14ac:dyDescent="0.3"/>
    <row r="4" spans="1:26" ht="14.4" customHeight="1" x14ac:dyDescent="0.3">
      <c r="A4" s="6" t="s">
        <v>952</v>
      </c>
      <c r="B4" s="6"/>
      <c r="C4" s="8"/>
      <c r="D4" s="7" t="s">
        <v>946</v>
      </c>
      <c r="E4" s="7"/>
      <c r="F4" s="8"/>
      <c r="G4" s="7" t="s">
        <v>947</v>
      </c>
      <c r="H4" s="7"/>
      <c r="I4" s="8"/>
      <c r="J4" s="7" t="s">
        <v>948</v>
      </c>
      <c r="K4" s="7"/>
      <c r="L4" s="8"/>
      <c r="M4" s="7" t="s">
        <v>949</v>
      </c>
      <c r="N4" s="7"/>
      <c r="O4" s="8"/>
      <c r="P4" s="7" t="s">
        <v>943</v>
      </c>
      <c r="Q4" s="7"/>
      <c r="R4" s="8"/>
      <c r="S4" s="7" t="s">
        <v>944</v>
      </c>
      <c r="T4" s="7"/>
      <c r="U4" s="8"/>
      <c r="V4" s="7" t="s">
        <v>945</v>
      </c>
      <c r="W4" s="7"/>
    </row>
    <row r="5" spans="1:26" x14ac:dyDescent="0.3">
      <c r="A5" s="6"/>
      <c r="B5" s="6"/>
      <c r="C5" s="8"/>
      <c r="D5" s="7"/>
      <c r="E5" s="7"/>
      <c r="F5" s="8"/>
      <c r="G5" s="7"/>
      <c r="H5" s="7"/>
      <c r="I5" s="8"/>
      <c r="J5" s="7"/>
      <c r="K5" s="7"/>
      <c r="L5" s="8"/>
      <c r="M5" s="7"/>
      <c r="N5" s="7"/>
      <c r="O5" s="8"/>
      <c r="P5" s="7"/>
      <c r="Q5" s="7"/>
      <c r="R5" s="8"/>
      <c r="S5" s="7"/>
      <c r="T5" s="7"/>
      <c r="U5" s="8"/>
      <c r="V5" s="7"/>
      <c r="W5" s="7"/>
    </row>
    <row r="6" spans="1:26" x14ac:dyDescent="0.3">
      <c r="A6" s="6"/>
      <c r="B6" s="6"/>
      <c r="C6" s="8"/>
      <c r="D6" s="7"/>
      <c r="E6" s="7"/>
      <c r="F6" s="8"/>
      <c r="G6" s="7"/>
      <c r="H6" s="7"/>
      <c r="I6" s="8"/>
      <c r="J6" s="7"/>
      <c r="K6" s="7"/>
      <c r="L6" s="8"/>
      <c r="M6" s="7"/>
      <c r="N6" s="7"/>
      <c r="O6" s="8"/>
      <c r="P6" s="7"/>
      <c r="Q6" s="7"/>
      <c r="R6" s="8"/>
      <c r="S6" s="7"/>
      <c r="T6" s="7"/>
      <c r="U6" s="8"/>
      <c r="V6" s="7"/>
      <c r="W6" s="7"/>
    </row>
    <row r="7" spans="1:26" x14ac:dyDescent="0.3">
      <c r="A7" s="8"/>
      <c r="B7" s="8"/>
      <c r="C7" s="8"/>
      <c r="D7" s="8"/>
      <c r="E7" s="8"/>
      <c r="F7" s="8"/>
      <c r="G7" s="8"/>
      <c r="H7" s="8"/>
      <c r="I7" s="8"/>
      <c r="J7" s="8"/>
      <c r="K7" s="8"/>
      <c r="L7" s="8"/>
      <c r="M7" s="8"/>
      <c r="N7" s="8"/>
      <c r="O7" s="8"/>
      <c r="P7" s="8"/>
      <c r="Q7" s="8"/>
      <c r="R7" s="8"/>
      <c r="S7" s="8"/>
      <c r="T7" s="8"/>
      <c r="U7" s="8"/>
      <c r="V7" s="8"/>
      <c r="W7" s="8"/>
    </row>
  </sheetData>
  <mergeCells count="18">
    <mergeCell ref="A1:Z2"/>
    <mergeCell ref="A3:XFD3"/>
    <mergeCell ref="A7:W7"/>
    <mergeCell ref="S4:T6"/>
    <mergeCell ref="V4:W6"/>
    <mergeCell ref="F4:F6"/>
    <mergeCell ref="I4:I6"/>
    <mergeCell ref="L4:L6"/>
    <mergeCell ref="O4:O6"/>
    <mergeCell ref="R4:R6"/>
    <mergeCell ref="U4:U6"/>
    <mergeCell ref="A4:B6"/>
    <mergeCell ref="D4:E6"/>
    <mergeCell ref="C4:C6"/>
    <mergeCell ref="G4:H6"/>
    <mergeCell ref="J4:K6"/>
    <mergeCell ref="M4:N6"/>
    <mergeCell ref="P4:Q6"/>
  </mergeCells>
  <printOptions gridLine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C45237-2AAD-4DF4-8153-30A40E81A5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Charts</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boinapalli pravallika</cp:lastModifiedBy>
  <dcterms:created xsi:type="dcterms:W3CDTF">2026-07-15T05:16:18Z</dcterms:created>
  <dcterms:modified xsi:type="dcterms:W3CDTF">2026-07-16T10:25:56Z</dcterms:modified>
</cp:coreProperties>
</file>